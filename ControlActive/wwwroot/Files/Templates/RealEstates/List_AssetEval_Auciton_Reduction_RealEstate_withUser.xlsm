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shofiyev\Desktop\List Templates\Macro enabled\"/>
    </mc:Choice>
  </mc:AlternateContent>
  <xr:revisionPtr revIDLastSave="0" documentId="13_ncr:1_{C121EBB1-0540-4A0C-B872-78318D4412D0}" xr6:coauthVersionLast="47" xr6:coauthVersionMax="47" xr10:uidLastSave="{00000000-0000-0000-0000-000000000000}"/>
  <bookViews>
    <workbookView xWindow="-120" yWindow="-120" windowWidth="29040" windowHeight="16440" xr2:uid="{742FD529-1E40-46FF-B0C6-93441502E022}"/>
  </bookViews>
  <sheets>
    <sheet name="Кўчмас мулк объектлари" sheetId="1" r:id="rId1"/>
    <sheet name="Tab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H4" i="1"/>
  <c r="H5" i="1"/>
  <c r="H6" i="1"/>
  <c r="H7" i="1"/>
  <c r="H8" i="1"/>
  <c r="H9" i="1"/>
  <c r="H10" i="1"/>
  <c r="H11" i="1"/>
  <c r="H12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I3" i="1"/>
  <c r="H3" i="1"/>
</calcChain>
</file>

<file path=xl/sharedStrings.xml><?xml version="1.0" encoding="utf-8"?>
<sst xmlns="http://schemas.openxmlformats.org/spreadsheetml/2006/main" count="551" uniqueCount="336">
  <si>
    <t>«Умумий Маълумотлар»</t>
  </si>
  <si>
    <t>«Активларни Баҳолаш»</t>
  </si>
  <si>
    <t>Объект номи</t>
  </si>
  <si>
    <t>Кадастр рақами</t>
  </si>
  <si>
    <t>Кадастрни рўйхатдан ўтказиш санаси</t>
  </si>
  <si>
    <t>Фаолият тури</t>
  </si>
  <si>
    <t>Ишга тушириш санаси</t>
  </si>
  <si>
    <t>Вилоят</t>
  </si>
  <si>
    <t>Туман / Шаҳар</t>
  </si>
  <si>
    <t>Манзил (махалла, кўчаси, уй, КФЙ)</t>
  </si>
  <si>
    <t>Объект эгаси номи</t>
  </si>
  <si>
    <t>Бино иншоот майдони (кв.м.)</t>
  </si>
  <si>
    <t>Умумий майдон (Га)</t>
  </si>
  <si>
    <t>Ишчилар сони</t>
  </si>
  <si>
    <t>Объектдан янада самарали фойдаланиш бўйича таклифлар</t>
  </si>
  <si>
    <t>Трансфер шакли</t>
  </si>
  <si>
    <t>Баҳолаш ташкилотининг номи</t>
  </si>
  <si>
    <t>Баҳолаш ҳисоботининг санаси</t>
  </si>
  <si>
    <t>Баҳолаш ҳисоботининг рўйхатга олиш рақами</t>
  </si>
  <si>
    <t>Баҳолаш ҳисоботини экспертизадан ўтказиш учун танланган ташкилот номи</t>
  </si>
  <si>
    <t>Экспертиза ҳисоботининг санаси</t>
  </si>
  <si>
    <t>Экспертиза ҳулосасини рўйхатга олиш рақами</t>
  </si>
  <si>
    <t>Инфратузилманинг мавжудлиги (газ, сув, электр, канализация, темир йўл)</t>
  </si>
  <si>
    <t>Вилоят(ID)</t>
  </si>
  <si>
    <t>Туман / Шаҳар (ID)</t>
  </si>
  <si>
    <t>Объект эгаси (ID)</t>
  </si>
  <si>
    <t>Таклиф (ID)</t>
  </si>
  <si>
    <r>
      <t xml:space="preserve">Активнинг бозор қиймати    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</si>
  <si>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Viloyatlar ro'yxati</t>
  </si>
  <si>
    <t>Tuman/shaharlar ro'yxati</t>
  </si>
  <si>
    <t>RegionId</t>
  </si>
  <si>
    <t>RegionName</t>
  </si>
  <si>
    <t>DistrictId</t>
  </si>
  <si>
    <t>DistrictName</t>
  </si>
  <si>
    <t>Сирдарё вилояти</t>
  </si>
  <si>
    <t>Жиззах вилояти</t>
  </si>
  <si>
    <t>Андижон вилояти</t>
  </si>
  <si>
    <t>Бухоро вилояти</t>
  </si>
  <si>
    <t>Қашқадарё вилояти</t>
  </si>
  <si>
    <t>Навоий вилояти</t>
  </si>
  <si>
    <t>Наманган вилояти</t>
  </si>
  <si>
    <t>Самарқанд вилояти</t>
  </si>
  <si>
    <t>Сурхондарё вилояти</t>
  </si>
  <si>
    <t>Тошкент вилояти</t>
  </si>
  <si>
    <t>Фарғона вилояти</t>
  </si>
  <si>
    <t>Хоразм вилояти</t>
  </si>
  <si>
    <t>Тошкент шаҳри</t>
  </si>
  <si>
    <t>Қорақалпоғистон Республикаси</t>
  </si>
  <si>
    <t>Таклифлар</t>
  </si>
  <si>
    <t>TaklifID</t>
  </si>
  <si>
    <t>Инфратузилма</t>
  </si>
  <si>
    <t>InfratuzilmaID</t>
  </si>
  <si>
    <t>Ташкилотлар</t>
  </si>
  <si>
    <t>TashklilotID</t>
  </si>
  <si>
    <t>TransferID</t>
  </si>
  <si>
    <t>Тойлоқ тумани</t>
  </si>
  <si>
    <t>Гулистон шаҳри</t>
  </si>
  <si>
    <t>Жиззах шаҳри</t>
  </si>
  <si>
    <t>Андижон шаҳри</t>
  </si>
  <si>
    <t>Бухоро шаҳри</t>
  </si>
  <si>
    <t>Қарши шаҳри</t>
  </si>
  <si>
    <t>Навоий шаҳри</t>
  </si>
  <si>
    <t>Наманган шаҳри</t>
  </si>
  <si>
    <t>Термиз шаҳри</t>
  </si>
  <si>
    <t>Нурафшон шаҳри</t>
  </si>
  <si>
    <t>Фарғона шаҳри</t>
  </si>
  <si>
    <t>Урганч шаҳри</t>
  </si>
  <si>
    <t>Бектемир тумани</t>
  </si>
  <si>
    <t>Нукус шаҳри</t>
  </si>
  <si>
    <t>Сотиш</t>
  </si>
  <si>
    <t>Сув таъминоти</t>
  </si>
  <si>
    <t>"Бухоро нефтни қайта ишлаш заводи" МЧЖ</t>
  </si>
  <si>
    <t>Беғараз</t>
  </si>
  <si>
    <t>Ургут тумани</t>
  </si>
  <si>
    <t>Янгиер шаҳри</t>
  </si>
  <si>
    <t>Арнасой тумани</t>
  </si>
  <si>
    <t>Бўз тумани Бустон</t>
  </si>
  <si>
    <t>Когон шаҳри</t>
  </si>
  <si>
    <t>Шаҳрисабз шаҳри</t>
  </si>
  <si>
    <t>Зарафшон шаҳри</t>
  </si>
  <si>
    <t>Косонсой тумани</t>
  </si>
  <si>
    <t>Бойсун тумани</t>
  </si>
  <si>
    <t>Ангрен шаҳри</t>
  </si>
  <si>
    <t>Марғилон шаҳри</t>
  </si>
  <si>
    <t>Хива шаҳри</t>
  </si>
  <si>
    <t>Мирзо Улуғбек тумани</t>
  </si>
  <si>
    <t>Амударё тумани</t>
  </si>
  <si>
    <t>Демонтаж</t>
  </si>
  <si>
    <t>Темир йўл тармоғи</t>
  </si>
  <si>
    <t>"Шуртан газ кимё мажмуаси" МЧЖ</t>
  </si>
  <si>
    <t>Қарз эвазига</t>
  </si>
  <si>
    <t>Қўшработ тумани</t>
  </si>
  <si>
    <t>Ширин шаҳри</t>
  </si>
  <si>
    <t>Бахмал тумани</t>
  </si>
  <si>
    <t>Булоқбоши тумани</t>
  </si>
  <si>
    <t>Бухоро тумани</t>
  </si>
  <si>
    <t>Деҳқонобод тумани</t>
  </si>
  <si>
    <t>Кармана тумани</t>
  </si>
  <si>
    <t>Мингбулоқ тумани</t>
  </si>
  <si>
    <t>Денов тумани</t>
  </si>
  <si>
    <t>Бекобод шаҳри</t>
  </si>
  <si>
    <t>Қувасой шаҳри</t>
  </si>
  <si>
    <t>Боғот тумани</t>
  </si>
  <si>
    <t>Миробод тумани</t>
  </si>
  <si>
    <t>Беруний тумани</t>
  </si>
  <si>
    <t>Балансда қолдириш</t>
  </si>
  <si>
    <t>Электр таъминоти</t>
  </si>
  <si>
    <t>Муборак нефт ва газ қазиб чиқариш бошқармаси</t>
  </si>
  <si>
    <t>Устав капиталига ҳисса сифатида</t>
  </si>
  <si>
    <t>Боёвут тумани</t>
  </si>
  <si>
    <t>Дўстлик тумани</t>
  </si>
  <si>
    <t>Жалақудуқ тумани</t>
  </si>
  <si>
    <t>Вобкент тумани</t>
  </si>
  <si>
    <t>Касби тумани</t>
  </si>
  <si>
    <t>Конимех тумани</t>
  </si>
  <si>
    <t>Наманган тумани</t>
  </si>
  <si>
    <t>Самарқанд шаҳри</t>
  </si>
  <si>
    <t>Жарқўрғон тумани</t>
  </si>
  <si>
    <t>Олмалиқ шаҳри</t>
  </si>
  <si>
    <t>Қўқон шаҳри</t>
  </si>
  <si>
    <t>Гурлан тумани</t>
  </si>
  <si>
    <t>Олмазор тумани</t>
  </si>
  <si>
    <t>Кегейли тумани</t>
  </si>
  <si>
    <t>Маҳаллий ижро этувчи ҳокимият органларига беғараз бериш</t>
  </si>
  <si>
    <t>Газ таъминоти</t>
  </si>
  <si>
    <t>Шўртан нефт ва газ қазиб чиқариш бошқармаси</t>
  </si>
  <si>
    <t>Устав капиталида улушни камайтириш эвазига</t>
  </si>
  <si>
    <t>Гулистон тумани</t>
  </si>
  <si>
    <t>Зарбдор тумани</t>
  </si>
  <si>
    <t>Избоскан тумани</t>
  </si>
  <si>
    <t>Жондор тумани</t>
  </si>
  <si>
    <t>Китоб тумани</t>
  </si>
  <si>
    <t>Навбаҳор тумани</t>
  </si>
  <si>
    <t>Норин тумани</t>
  </si>
  <si>
    <t>Каттақўрғон шаҳри</t>
  </si>
  <si>
    <t>Музробод тумани</t>
  </si>
  <si>
    <t>Оҳангарон шаҳри</t>
  </si>
  <si>
    <t>Бешариқ тумани</t>
  </si>
  <si>
    <t>Урганч тумани</t>
  </si>
  <si>
    <t>Сирғали тумани</t>
  </si>
  <si>
    <t>Қанликўл тумани</t>
  </si>
  <si>
    <t>Ижарага бериш</t>
  </si>
  <si>
    <t>Канализация</t>
  </si>
  <si>
    <t>Муборак газни қайта ишлаш заводи</t>
  </si>
  <si>
    <t>Айирбошлаш</t>
  </si>
  <si>
    <t>Мирзаобод тумани</t>
  </si>
  <si>
    <t>Зафаробод тумани</t>
  </si>
  <si>
    <t>Қўрғонтепа тумани</t>
  </si>
  <si>
    <t>Когон тумани</t>
  </si>
  <si>
    <t>Косон тумани</t>
  </si>
  <si>
    <t>Нурота тумани</t>
  </si>
  <si>
    <t>Поп тумани</t>
  </si>
  <si>
    <t>Булунғур тумани</t>
  </si>
  <si>
    <t>Олтинсой тумани</t>
  </si>
  <si>
    <t>Чирчиқ шаҳри</t>
  </si>
  <si>
    <t>Боғдод тумани</t>
  </si>
  <si>
    <t>Хива тумани</t>
  </si>
  <si>
    <t>Учтепа тумани</t>
  </si>
  <si>
    <t>Қораўзак тумани</t>
  </si>
  <si>
    <t>Устав капиталига бериш</t>
  </si>
  <si>
    <t>Водий нефт ва газ қазиб чиқариш бошқармаси</t>
  </si>
  <si>
    <t>Ижара</t>
  </si>
  <si>
    <t>Оқолтин тумани</t>
  </si>
  <si>
    <t>Зомин тумани</t>
  </si>
  <si>
    <t>Марҳамат тумани.</t>
  </si>
  <si>
    <t>Олот тумани</t>
  </si>
  <si>
    <t>Миришкор тумани</t>
  </si>
  <si>
    <t>Томди тумани</t>
  </si>
  <si>
    <t>Тўрақўрғон тумани</t>
  </si>
  <si>
    <t>Жомбой тумани</t>
  </si>
  <si>
    <t>Сариосиё тумани</t>
  </si>
  <si>
    <t>Янгийўл шаҳри</t>
  </si>
  <si>
    <t>Бувайда тумани</t>
  </si>
  <si>
    <t>Хонқа тумани</t>
  </si>
  <si>
    <t>Чилонзор тумани</t>
  </si>
  <si>
    <t>Қўнғирот тумани</t>
  </si>
  <si>
    <t>Давлат бошқарув органлари ва ташкилотларига беғараз бериш</t>
  </si>
  <si>
    <t>Устюрт газ қазиб чиқариш бошқармаси</t>
  </si>
  <si>
    <t>Сардоба тумани</t>
  </si>
  <si>
    <t>Мирзачўл тумани</t>
  </si>
  <si>
    <t>Олтинкўл тумани</t>
  </si>
  <si>
    <t>Пешку тумани</t>
  </si>
  <si>
    <t>Муборак тумани</t>
  </si>
  <si>
    <t>Учқудуқ тумани</t>
  </si>
  <si>
    <t>Уйчи тумани</t>
  </si>
  <si>
    <t>Иштихон тумани</t>
  </si>
  <si>
    <t>Термиз тумани</t>
  </si>
  <si>
    <t>Бекобод тумани</t>
  </si>
  <si>
    <t>Данғара тумани</t>
  </si>
  <si>
    <t>Ҳазорасп тумани</t>
  </si>
  <si>
    <t>Шайхонтоҳур тумани</t>
  </si>
  <si>
    <t>Мўйноқ тумани</t>
  </si>
  <si>
    <t>Бошқа ташкилотларга беғараз бериш</t>
  </si>
  <si>
    <t>Газли нефт ва газ қазиб чиқариш бошқармаси</t>
  </si>
  <si>
    <t>Сайхунобод тумани</t>
  </si>
  <si>
    <t>Пахтакор тумани</t>
  </si>
  <si>
    <t>Пахтаобод тумани</t>
  </si>
  <si>
    <t>Ромитан тумани</t>
  </si>
  <si>
    <t>Нишон тумани</t>
  </si>
  <si>
    <t>Хатирчи тумани</t>
  </si>
  <si>
    <t>Учқўрғон тумани</t>
  </si>
  <si>
    <t>Каттақўрғон тумани</t>
  </si>
  <si>
    <t>Узун тумани</t>
  </si>
  <si>
    <t>Бўка тумани</t>
  </si>
  <si>
    <t>Ёзёвон тумани</t>
  </si>
  <si>
    <t>Шовот тумани</t>
  </si>
  <si>
    <t>Юнусобод тумани</t>
  </si>
  <si>
    <t>Нукус тумани</t>
  </si>
  <si>
    <t>Маҳаллий ижро этувчи ҳокимият органларига давлат олдидаги қарзи эвазига бериш</t>
  </si>
  <si>
    <t>"Бухоро нефт базаси" МЧЖ</t>
  </si>
  <si>
    <t>Сирдарё тумани</t>
  </si>
  <si>
    <t>Фориш тумани</t>
  </si>
  <si>
    <t>Улуғнор тумани</t>
  </si>
  <si>
    <t>Шофиркон тумани</t>
  </si>
  <si>
    <t>Чироқчи тумани</t>
  </si>
  <si>
    <t>Қизилтепа тумани</t>
  </si>
  <si>
    <t>Чортоқ тумани</t>
  </si>
  <si>
    <t>Нарпай тумани</t>
  </si>
  <si>
    <t>Шеробод тумани</t>
  </si>
  <si>
    <t>Бўстонлиқ тумани</t>
  </si>
  <si>
    <t>Қува тумани</t>
  </si>
  <si>
    <t>Янгиариқ тумани</t>
  </si>
  <si>
    <t>Яккасарой тумани</t>
  </si>
  <si>
    <t>Тахиатош тумани</t>
  </si>
  <si>
    <t>Давлат бошқарув органлари ва ташкилотларига давлат олдидаги қарзи эвазига бериш</t>
  </si>
  <si>
    <t>"Тахиатош  нефт базаси" МЧЖ</t>
  </si>
  <si>
    <t>Ховос тумани</t>
  </si>
  <si>
    <t>Шароф Рашидов тумани</t>
  </si>
  <si>
    <t>Хўжаобод тумани</t>
  </si>
  <si>
    <t>Қоровулбозор тумани</t>
  </si>
  <si>
    <t>Шаҳрисабз тумани</t>
  </si>
  <si>
    <t>Чуст тумани</t>
  </si>
  <si>
    <t>Нуробод тумани</t>
  </si>
  <si>
    <t>Шўрчи тумани</t>
  </si>
  <si>
    <t>Зангиота тумани</t>
  </si>
  <si>
    <t>Қўштепа тумани</t>
  </si>
  <si>
    <t>Янгибозор тумани</t>
  </si>
  <si>
    <t>Яшнобод тумани</t>
  </si>
  <si>
    <t>Тахтакўпир тумани</t>
  </si>
  <si>
    <t>Бошқа ташкилотларга давлат олдидаги қарзи эвазига бериш</t>
  </si>
  <si>
    <t>Ғаллаорол тумани</t>
  </si>
  <si>
    <t>Шаҳрихон тумани</t>
  </si>
  <si>
    <t>Қоракўл тумани</t>
  </si>
  <si>
    <t>Яккабоғ тумани</t>
  </si>
  <si>
    <t>Янгиқўрғон тумани</t>
  </si>
  <si>
    <t>Оқдарё тумани</t>
  </si>
  <si>
    <t>Қизириқ тумани</t>
  </si>
  <si>
    <t>Қибрай тумани</t>
  </si>
  <si>
    <t>Олтиариқ тумани</t>
  </si>
  <si>
    <t>Қўшкўпир тумани</t>
  </si>
  <si>
    <t>Тўрткўл тумани</t>
  </si>
  <si>
    <t>Маҳаллий ижро этувчи ҳокимият органларига устав капиталдаги давлат улуши ёки "Ўзбекнефтгаз" АЖ улушини камайтириш эвазига бериш</t>
  </si>
  <si>
    <t>"Андижон  нефт базаси" МЧЖ</t>
  </si>
  <si>
    <t>Янгиобод тумани</t>
  </si>
  <si>
    <t>Асака тумани</t>
  </si>
  <si>
    <t>Ғиждувон тумани</t>
  </si>
  <si>
    <t>Қамаши тумани</t>
  </si>
  <si>
    <t>Паяриқ тумани</t>
  </si>
  <si>
    <t>Қумқўрғон тумани</t>
  </si>
  <si>
    <t>Қуйичирчиқ тумани</t>
  </si>
  <si>
    <t>Риштон тумани</t>
  </si>
  <si>
    <t>Хўжайли тумани</t>
  </si>
  <si>
    <t>Давлат бошқарув органлари ва ташкилотларига устав капиталдаги давлат улуши ёки "Ўзбекнефтгаз" АЖ улушини камайтириш эвазига бериш</t>
  </si>
  <si>
    <t>"Жиззах нефт базаси" МЧЖ</t>
  </si>
  <si>
    <t>Хонабод шаҳри</t>
  </si>
  <si>
    <t>Қарши тумани</t>
  </si>
  <si>
    <t>Пастдарғом тумани</t>
  </si>
  <si>
    <t>Ангор тумани</t>
  </si>
  <si>
    <t>Оққўрғон тумани</t>
  </si>
  <si>
    <t>Сўх тумани</t>
  </si>
  <si>
    <t>Чимбой тумани</t>
  </si>
  <si>
    <t>Бошқа ташкилотларга устав капиталдаги давлат улуши ёки "Ўзбекнефтгаз" АЖ улушини камайтириш эвазига бериш</t>
  </si>
  <si>
    <t>"Қарши нефт базаси"МЧЖ</t>
  </si>
  <si>
    <t>Балиқчи тумани</t>
  </si>
  <si>
    <t>Ғузор тумани</t>
  </si>
  <si>
    <t>Пахтачи тумани</t>
  </si>
  <si>
    <t>Оҳангарон тумани</t>
  </si>
  <si>
    <t>Тошлоқ тумани</t>
  </si>
  <si>
    <t>Шўманой тумани</t>
  </si>
  <si>
    <t>ПҚ-168 сон қарорига мувофиқ Агентлик орқали сотиш</t>
  </si>
  <si>
    <t>"Навоий нефт базаси" МЧЖ</t>
  </si>
  <si>
    <t>Самарқанд тумани</t>
  </si>
  <si>
    <t>Паркент тумани</t>
  </si>
  <si>
    <t>Ўзбекистон тумани</t>
  </si>
  <si>
    <t>Элликқалъа тумани</t>
  </si>
  <si>
    <t>"Тўрақўрғон нефт базаси" МЧЖ</t>
  </si>
  <si>
    <t>Пискент тумани</t>
  </si>
  <si>
    <t>Учкўприк тумани</t>
  </si>
  <si>
    <t>"Мароқанд нефт база" МЧЖ</t>
  </si>
  <si>
    <t>Тошкент тумани</t>
  </si>
  <si>
    <t>Фарғона тумани</t>
  </si>
  <si>
    <t>"Термиз нефт базаси" МЧЖ</t>
  </si>
  <si>
    <t>Ўртачирчиқ тумани</t>
  </si>
  <si>
    <t>Фурқат тумани</t>
  </si>
  <si>
    <t>"Гулистон нефт базаси" МЧЖ</t>
  </si>
  <si>
    <t>Чиноз тумани</t>
  </si>
  <si>
    <t>"Чинобод нефт базаси" МЧЖ</t>
  </si>
  <si>
    <t>Юқоричирчиқ тумани</t>
  </si>
  <si>
    <t>"Фарғона нефт базаси" МЧЖ</t>
  </si>
  <si>
    <t>Янгийўл тумани</t>
  </si>
  <si>
    <t>"Урганч нефт базаси" МЧЖ</t>
  </si>
  <si>
    <t>"Кучлик нефт базаси" МЧЖ</t>
  </si>
  <si>
    <t>"Ўзбекнефтгаз" АЖ</t>
  </si>
  <si>
    <t>"Гиссартнефтегаз" ҚК МЧЖ</t>
  </si>
  <si>
    <t>"Кўкдумалоқ-Газ" МЧЖ ҚК</t>
  </si>
  <si>
    <t>"Ўзнефтгаз бурғулаш ишлари" МЧЖ</t>
  </si>
  <si>
    <t>"UNG training" МЧЖ</t>
  </si>
  <si>
    <r>
      <t xml:space="preserve">Ҳисобот даври учун йиллик сақлаш харажати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</si>
  <si>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бошланғич баланс қиймати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</si>
  <si>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Амортизатсия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</si>
  <si>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баланс (қолдиқ) қиймати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</si>
  <si>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Baholash statusi</t>
  </si>
  <si>
    <t>Ишончли</t>
  </si>
  <si>
    <t>Ишончсиз</t>
  </si>
  <si>
    <t>«Аукционга қўйиш»</t>
  </si>
  <si>
    <t>Актив сотиладиган савдо майдончасининг номи</t>
  </si>
  <si>
    <t>Аукционга чиқарилган активлар сони</t>
  </si>
  <si>
    <t>Аукционга қўйилган сана</t>
  </si>
  <si>
    <t>Аукцион  санаси</t>
  </si>
  <si>
    <t xml:space="preserve">«Маълумотларни тўлдириш учун масъул шахс» </t>
  </si>
  <si>
    <t>Масъул шахс Ф.И.Ш</t>
  </si>
  <si>
    <t>Лавозим</t>
  </si>
  <si>
    <t>Алоқа тел. рақами</t>
  </si>
  <si>
    <t>Электрон почта адреси</t>
  </si>
  <si>
    <r>
      <t xml:space="preserve">Аукцион қўйилган             э-майдон манзили          </t>
    </r>
    <r>
      <rPr>
        <b/>
        <sz val="11"/>
        <color theme="5" tint="-0.249977111117893"/>
        <rFont val="Times New Roman"/>
        <family val="1"/>
        <charset val="204"/>
      </rPr>
      <t>(сайт ссилкаси)</t>
    </r>
  </si>
  <si>
    <r>
      <t xml:space="preserve">Актив қиймати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</si>
  <si>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>Аукцион муддати</t>
    </r>
    <r>
      <rPr>
        <b/>
        <sz val="11"/>
        <color theme="5" tint="-0.249977111117893"/>
        <rFont val="Times New Roman"/>
        <family val="1"/>
        <charset val="204"/>
      </rPr>
      <t xml:space="preserve"> (кун)</t>
    </r>
  </si>
  <si>
    <r>
      <t xml:space="preserve">Баҳолаш ҳисоботининг холати </t>
    </r>
    <r>
      <rPr>
        <b/>
        <sz val="11"/>
        <color theme="5" tint="-0.249977111117893"/>
        <rFont val="Times New Roman"/>
        <family val="1"/>
        <charset val="204"/>
      </rPr>
      <t>(ишончли/ишончсиз)</t>
    </r>
  </si>
  <si>
    <t>Қарор санаси</t>
  </si>
  <si>
    <t>Қарор рақами</t>
  </si>
  <si>
    <t>«Актив Қийматини Босқичма-Босқич Камайтириш»</t>
  </si>
  <si>
    <t>Ижроия органининг номи</t>
  </si>
  <si>
    <t>Пасайтириш қадами ( % )</t>
  </si>
  <si>
    <t>Қўлланиладиган қадамлар сони</t>
  </si>
  <si>
    <r>
      <t xml:space="preserve">Нархини камайтириш (миқдор)                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</si>
  <si>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Активнинг пасайишдан кейинги қиймати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</si>
</sst>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#####"/>
    <numFmt numFmtId="165" formatCode="0.0000;[Red]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theme="5" tint="-0.249977111117893"/>
      <name val="Times New Roman"/>
      <family val="1"/>
      <charset val="204"/>
    </font>
    <font>
      <sz val="22"/>
      <color theme="1"/>
      <name val="Calibri"/>
      <family val="2"/>
      <scheme val="minor"/>
    </font>
    <font>
      <sz val="13"/>
      <color rgb="FF000000"/>
      <name val="Times New Roman"/>
      <family val="1"/>
      <charset val="204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59999389629810485"/>
        <bgColor indexed="65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5" borderId="0" applyNumberFormat="0" applyBorder="0" applyAlignment="0" applyProtection="0"/>
    <xf numFmtId="0" fontId="2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</cellStyleXfs>
  <cellXfs count="4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0" fontId="3" fillId="4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 applyProtection="1">
      <alignment horizontal="center" vertical="center"/>
      <protection hidden="1"/>
    </xf>
    <xf numFmtId="0" fontId="1" fillId="5" borderId="1" xfId="3" applyBorder="1" applyAlignment="1" applyProtection="1">
      <alignment horizontal="center" vertical="center" wrapText="1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22" fontId="0" fillId="0" borderId="0" xfId="0" applyNumberFormat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7" borderId="6" xfId="0" applyFill="1" applyBorder="1" applyAlignment="1" applyProtection="1">
      <alignment horizontal="center" vertical="center" wrapText="1"/>
      <protection hidden="1"/>
    </xf>
    <xf numFmtId="0" fontId="0" fillId="7" borderId="6" xfId="0" applyFill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 wrapText="1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7" borderId="7" xfId="0" applyFill="1" applyBorder="1" applyAlignment="1" applyProtection="1">
      <alignment horizontal="center" vertical="center" wrapText="1"/>
      <protection hidden="1"/>
    </xf>
    <xf numFmtId="0" fontId="0" fillId="7" borderId="7" xfId="0" applyFill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wrapText="1"/>
      <protection locked="0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4" fillId="5" borderId="1" xfId="3" applyFont="1" applyBorder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 wrapText="1"/>
      <protection locked="0"/>
    </xf>
    <xf numFmtId="10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2" fillId="3" borderId="8" xfId="2" applyBorder="1" applyAlignment="1" applyProtection="1">
      <alignment horizontal="center" vertical="center" wrapText="1"/>
    </xf>
    <xf numFmtId="0" fontId="2" fillId="3" borderId="0" xfId="2" applyBorder="1" applyAlignment="1" applyProtection="1">
      <alignment horizontal="center" vertical="center" wrapText="1"/>
    </xf>
    <xf numFmtId="0" fontId="1" fillId="2" borderId="2" xfId="1" applyBorder="1" applyAlignment="1" applyProtection="1">
      <alignment horizontal="center" vertical="center" wrapText="1"/>
    </xf>
    <xf numFmtId="0" fontId="2" fillId="8" borderId="3" xfId="4" applyBorder="1" applyAlignment="1" applyProtection="1">
      <alignment horizontal="center" vertical="center" wrapText="1"/>
    </xf>
    <xf numFmtId="0" fontId="2" fillId="8" borderId="9" xfId="4" applyBorder="1" applyAlignment="1" applyProtection="1">
      <alignment horizontal="center" vertical="center" wrapText="1"/>
    </xf>
    <xf numFmtId="0" fontId="2" fillId="8" borderId="4" xfId="4" applyBorder="1" applyAlignment="1" applyProtection="1">
      <alignment horizontal="center" vertical="center" wrapText="1"/>
    </xf>
    <xf numFmtId="0" fontId="1" fillId="9" borderId="3" xfId="5" applyBorder="1" applyAlignment="1" applyProtection="1">
      <alignment horizontal="center" vertical="center" wrapText="1"/>
    </xf>
    <xf numFmtId="0" fontId="1" fillId="9" borderId="9" xfId="5" applyBorder="1" applyAlignment="1" applyProtection="1">
      <alignment horizontal="center" vertical="center" wrapText="1"/>
    </xf>
    <xf numFmtId="0" fontId="1" fillId="9" borderId="4" xfId="5" applyBorder="1" applyAlignment="1" applyProtection="1">
      <alignment horizontal="center" vertical="center" wrapText="1"/>
    </xf>
    <xf numFmtId="0" fontId="1" fillId="10" borderId="1" xfId="6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 wrapText="1"/>
      <protection hidden="1"/>
    </xf>
  </cellXfs>
  <cellStyles count="7">
    <cellStyle name="20% - Accent1" xfId="5" builtinId="30"/>
    <cellStyle name="40% - Accent1" xfId="1" builtinId="31"/>
    <cellStyle name="40% - Accent3" xfId="3" builtinId="39"/>
    <cellStyle name="40% - Accent5" xfId="6" builtinId="47"/>
    <cellStyle name="Accent1" xfId="4" builtinId="29"/>
    <cellStyle name="Accent5" xfId="2" builtinId="45"/>
    <cellStyle name="Normal" xfId="0" builtinId="0"/>
  </cellStyles>
  <dxfs count="97"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7" formatCode="m/d/yyyy\ h:mm"/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11D142-5F84-4F8B-93E8-381A1C58F1D5}" name="Жиззах_вилояти21" displayName="Жиззах_вилояти21" ref="I3:I16" totalsRowShown="0" headerRowDxfId="94" dataDxfId="93" tableBorderDxfId="92">
  <autoFilter ref="I3:I16" xr:uid="{5911D142-5F84-4F8B-93E8-381A1C58F1D5}"/>
  <tableColumns count="1">
    <tableColumn id="1" xr3:uid="{E6AC7907-A9D9-4D88-BBC4-2155243EFFCC}" name="Жиззах вилояти" dataDxfId="9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A7E475-C1BB-4BCF-A733-5DF3221A870C}" name="Сирдарё_вилояти22" displayName="Сирдарё_вилояти22" ref="H3:H14" totalsRowShown="0" headerRowDxfId="90" dataDxfId="89" tableBorderDxfId="88">
  <autoFilter ref="H3:H14" xr:uid="{53A7E475-C1BB-4BCF-A733-5DF3221A870C}"/>
  <tableColumns count="1">
    <tableColumn id="1" xr3:uid="{A818D387-90BE-4B80-87D0-CA64FE56F6B1}" name="Сирдарё вилояти" dataDxfId="8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5C44A0-63B8-4182-9429-65E7150A94B4}" name="Tumanlar23" displayName="Tumanlar23" ref="D3:F202" totalsRowShown="0" headerRowDxfId="86" dataDxfId="85">
  <autoFilter ref="D3:F202" xr:uid="{725C44A0-63B8-4182-9429-65E7150A94B4}"/>
  <tableColumns count="3">
    <tableColumn id="1" xr3:uid="{021156BF-A86E-44A9-A030-AD681F8166D5}" name="DistrictId" dataDxfId="84"/>
    <tableColumn id="2" xr3:uid="{D8D7528B-22F2-4180-BD73-1A3D8AC654E7}" name="DistrictName" dataDxfId="83"/>
    <tableColumn id="3" xr3:uid="{6E8479AB-7C06-44BB-8E57-B6328954D0BD}" name="RegionId" dataDxfId="8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42E56D-72B4-4F7D-A8F8-E88C2B0D3E7A}" name="Viloyatlar24" displayName="Viloyatlar24" ref="A3:B17" totalsRowShown="0" headerRowDxfId="81" dataDxfId="80">
  <autoFilter ref="A3:B17" xr:uid="{7E42E56D-72B4-4F7D-A8F8-E88C2B0D3E7A}"/>
  <tableColumns count="2">
    <tableColumn id="1" xr3:uid="{63EDC5D5-FF92-4CCC-A49B-C888CEEE8FA3}" name="RegionId" dataDxfId="79"/>
    <tableColumn id="3" xr3:uid="{6ABA5DE0-4653-45F3-A41E-D6072620188C}" name="RegionName" dataDxfId="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447A43-1017-4973-856A-C519D97FC319}" name="Andijon25" displayName="Andijon25" ref="J3:J18" totalsRowShown="0" headerRowDxfId="77" dataDxfId="76" tableBorderDxfId="75">
  <autoFilter ref="J3:J18" xr:uid="{7B447A43-1017-4973-856A-C519D97FC319}"/>
  <tableColumns count="1">
    <tableColumn id="1" xr3:uid="{361DF512-3296-4E2D-BCFB-326030FD52DA}" name="Андижон вилояти" dataDxfId="7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8C4478-61AB-4F6E-AA5F-01171F8A8125}" name="Buxoro26" displayName="Buxoro26" ref="K3:K16" totalsRowShown="0" headerRowDxfId="73" dataDxfId="72">
  <autoFilter ref="K3:K16" xr:uid="{1C8C4478-61AB-4F6E-AA5F-01171F8A8125}"/>
  <tableColumns count="1">
    <tableColumn id="1" xr3:uid="{AE4CA4A1-F1F1-4E27-B20F-57883214CE39}" name="Бухоро вилояти" dataDxfId="7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392EDE-7617-4BAF-AF64-382E01A41321}" name="Qashqadaryo27" displayName="Qashqadaryo27" ref="L3:L18" totalsRowShown="0" headerRowDxfId="70" dataDxfId="69" tableBorderDxfId="68">
  <autoFilter ref="L3:L18" xr:uid="{30392EDE-7617-4BAF-AF64-382E01A41321}"/>
  <tableColumns count="1">
    <tableColumn id="1" xr3:uid="{67044578-13AA-4606-90CF-3EE1B60FE4BB}" name="Қашқадарё вилояти" dataDxfId="6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B3367E5-CF56-4DA6-8D31-1F6FD7A6019B}" name="Navoiy28" displayName="Navoiy28" ref="M3:M13" totalsRowShown="0" headerRowDxfId="66" dataDxfId="65" tableBorderDxfId="64">
  <autoFilter ref="M3:M13" xr:uid="{0B3367E5-CF56-4DA6-8D31-1F6FD7A6019B}"/>
  <tableColumns count="1">
    <tableColumn id="1" xr3:uid="{F8062446-CB67-4818-8D3A-4B2E631184DF}" name="Навоий вилояти" dataDxfId="6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D7412CD-B8A9-43F2-A0C3-5DD6C44FD481}" name="Namangan29" displayName="Namangan29" ref="N3:N15" totalsRowShown="0" headerRowDxfId="62" dataDxfId="61" tableBorderDxfId="60">
  <autoFilter ref="N3:N15" xr:uid="{DD7412CD-B8A9-43F2-A0C3-5DD6C44FD481}"/>
  <tableColumns count="1">
    <tableColumn id="1" xr3:uid="{B5A9CED5-33B5-4580-8BF3-718C12EF47DE}" name="Наманган вилояти" dataDxfId="5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A0A4531-1849-4E4B-A88D-02A2F3C08985}" name="Samarqand30" displayName="Samarqand30" ref="O3:O19" totalsRowShown="0" headerRowDxfId="58" dataDxfId="57" tableBorderDxfId="56">
  <autoFilter ref="O3:O19" xr:uid="{5A0A4531-1849-4E4B-A88D-02A2F3C08985}"/>
  <tableColumns count="1">
    <tableColumn id="1" xr3:uid="{24E788BE-059A-4D2F-B37C-FA6A5FB5739E}" name="Самарқанд вилояти" dataDxfId="5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2275848-6AAC-4940-AAD9-2AE52B76967F}" name="Surxondaryo31" displayName="Surxondaryo31" ref="P3:P17" totalsRowShown="0" headerRowDxfId="54" dataDxfId="52" headerRowBorderDxfId="53" tableBorderDxfId="51" totalsRowBorderDxfId="50">
  <autoFilter ref="P3:P17" xr:uid="{A2275848-6AAC-4940-AAD9-2AE52B76967F}"/>
  <tableColumns count="1">
    <tableColumn id="1" xr3:uid="{6188F4D9-6411-4CF4-B7AC-B1C9E55F96C9}" name="Сурхондарё вилояти" dataDxfId="4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E446A6-0B72-449A-A2BB-313244FEBE54}" name="Toshkent32" displayName="Toshkent32" ref="Q3:Q25" totalsRowShown="0" headerRowDxfId="48" dataDxfId="46" headerRowBorderDxfId="47" tableBorderDxfId="45" totalsRowBorderDxfId="44">
  <autoFilter ref="Q3:Q25" xr:uid="{08E446A6-0B72-449A-A2BB-313244FEBE54}"/>
  <tableColumns count="1">
    <tableColumn id="1" xr3:uid="{ED187AA4-01B2-4B4E-BC45-35A7F32F442F}" name="Тошкент вилояти" dataDxfId="4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352CAC0-E5C0-4632-A9C3-D282F8401368}" name="Fargona33" displayName="Fargona33" ref="R3:R22" totalsRowShown="0" headerRowDxfId="42" dataDxfId="40" headerRowBorderDxfId="41" tableBorderDxfId="39" totalsRowBorderDxfId="38">
  <autoFilter ref="R3:R22" xr:uid="{D352CAC0-E5C0-4632-A9C3-D282F8401368}"/>
  <tableColumns count="1">
    <tableColumn id="1" xr3:uid="{82124673-F15E-45DE-BA8E-E91BD477385F}" name="Фарғона вилояти" dataDxfId="3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82276D1-99EE-438C-B330-D09E79746FED}" name="Xorazm34" displayName="Xorazm34" ref="S3:S15" totalsRowShown="0" headerRowDxfId="36" dataDxfId="34" headerRowBorderDxfId="35" tableBorderDxfId="33" totalsRowBorderDxfId="32">
  <autoFilter ref="S3:S15" xr:uid="{082276D1-99EE-438C-B330-D09E79746FED}"/>
  <tableColumns count="1">
    <tableColumn id="1" xr3:uid="{9226B6E2-3A54-414F-91DD-95481CEDC952}" name="Хоразм вилояти" dataDxfId="3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F0BB909-27B7-455D-87A1-C1834A80125A}" name="Toshkent_shahar35" displayName="Toshkent_shahar35" ref="T3:T14" totalsRowShown="0" headerRowDxfId="30" dataDxfId="28" headerRowBorderDxfId="29" tableBorderDxfId="27" totalsRowBorderDxfId="26">
  <autoFilter ref="T3:T14" xr:uid="{FF0BB909-27B7-455D-87A1-C1834A80125A}"/>
  <tableColumns count="1">
    <tableColumn id="1" xr3:uid="{9464A428-8C5F-40F8-A3F3-D9282FC1D2B3}" name="Тошкент шаҳри" dataDxfId="2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C34C5C3-E74B-444C-B306-D1D9208031F2}" name="Qoraqalpogiston36" displayName="Qoraqalpogiston36" ref="U3:U19" totalsRowShown="0" headerRowDxfId="24" dataDxfId="22" headerRowBorderDxfId="23" tableBorderDxfId="21" totalsRowBorderDxfId="20">
  <autoFilter ref="U3:U19" xr:uid="{7C34C5C3-E74B-444C-B306-D1D9208031F2}"/>
  <tableColumns count="1">
    <tableColumn id="1" xr3:uid="{909615C7-0A3A-4533-BEE8-2B50A88B6668}" name="Қорақалпоғистон Республикаси" dataDxfId="1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4F14DD-5115-4AB2-B8A9-5666963455EE}" name="Таклифлар37" displayName="Таклифлар37" ref="W3:X18" totalsRowShown="0" headerRowDxfId="18" dataDxfId="17">
  <autoFilter ref="W3:X18" xr:uid="{3B4F14DD-5115-4AB2-B8A9-5666963455EE}"/>
  <tableColumns count="2">
    <tableColumn id="1" xr3:uid="{09ECE261-2FEF-4D55-BFC9-A48A4A4CCB20}" name="Таклифлар" dataDxfId="16"/>
    <tableColumn id="2" xr3:uid="{C8C8C4A8-FC8A-4C83-AA1D-527AC5DBAD0C}" name="TaklifID" dataDxfId="1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D321A2F-60D9-4B6D-8A70-06A300BE08F2}" name="Инфратузилма38" displayName="Инфратузилма38" ref="Z3:AA8" totalsRowShown="0" headerRowDxfId="14" dataDxfId="13">
  <autoFilter ref="Z3:AA8" xr:uid="{BD321A2F-60D9-4B6D-8A70-06A300BE08F2}"/>
  <tableColumns count="2">
    <tableColumn id="1" xr3:uid="{4BEF6765-FA88-4A10-8216-1872C1BB0BBD}" name="Инфратузилма" dataDxfId="12"/>
    <tableColumn id="2" xr3:uid="{787C439D-C394-4AF5-AC8B-7D4856C1B212}" name="InfratuzilmaID" dataDxfId="1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E3295B9-E6B4-4C51-85F5-0A3401059F50}" name="Ташкилотлар39" displayName="Ташкилотлар39" ref="AC3:AD31" totalsRowShown="0" headerRowDxfId="10" dataDxfId="9">
  <autoFilter ref="AC3:AD31" xr:uid="{FE3295B9-E6B4-4C51-85F5-0A3401059F50}"/>
  <tableColumns count="2">
    <tableColumn id="1" xr3:uid="{8EA120A0-1361-49E6-8900-3D6D8F32B5F0}" name="Ташкилотлар" dataDxfId="8"/>
    <tableColumn id="2" xr3:uid="{1303019B-EAA2-45ED-AA52-29C3949F4C69}" name="TashklilotID" dataDxfId="7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66E5339-5FB8-4BD7-9CE5-36C4F60F64A7}" name="Transfer" displayName="Transfer" ref="AF3:AG9" totalsRowShown="0" headerRowDxfId="6" dataDxfId="5">
  <autoFilter ref="AF3:AG9" xr:uid="{566E5339-5FB8-4BD7-9CE5-36C4F60F64A7}"/>
  <tableColumns count="2">
    <tableColumn id="1" xr3:uid="{47DC76E6-1ACA-4E45-9366-5666E41468EA}" name="Трансфер шакли" dataDxfId="4"/>
    <tableColumn id="2" xr3:uid="{A15AE678-F0CE-4BCF-9399-083B39F68F79}" name="TransferID" dataDxfId="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B2E5CBA-3A94-4F60-B899-2AC2388EDDB9}" name="Table21" displayName="Table21" ref="Z11:Z13" totalsRowShown="0" headerRowDxfId="2" dataDxfId="1">
  <autoFilter ref="Z11:Z13" xr:uid="{7B2E5CBA-3A94-4F60-B899-2AC2388EDDB9}"/>
  <tableColumns count="1">
    <tableColumn id="1" xr3:uid="{13A4ED32-62FA-472E-B9DF-AE52AD7FB2B3}" name="Baholash status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1D489-83DA-4882-B242-3DD09368C48B}">
  <sheetPr codeName="Sheet1"/>
  <dimension ref="A1:CA1695"/>
  <sheetViews>
    <sheetView tabSelected="1" workbookViewId="0">
      <selection activeCell="AM3" sqref="AM3"/>
    </sheetView>
  </sheetViews>
  <sheetFormatPr defaultRowHeight="15" x14ac:dyDescent="0.25"/>
  <cols>
    <col min="1" max="1" width="24.7109375" style="1" customWidth="1"/>
    <col min="2" max="2" width="22.7109375" style="1" customWidth="1"/>
    <col min="3" max="3" width="16.42578125" style="1" customWidth="1"/>
    <col min="4" max="5" width="21.140625" style="1" customWidth="1"/>
    <col min="6" max="6" width="24.28515625" style="1" customWidth="1"/>
    <col min="7" max="7" width="25.85546875" style="1" customWidth="1"/>
    <col min="8" max="8" width="14.42578125" style="1" customWidth="1"/>
    <col min="9" max="9" width="19.42578125" style="1" customWidth="1"/>
    <col min="10" max="10" width="21" style="1" customWidth="1"/>
    <col min="11" max="11" width="40" style="1" customWidth="1"/>
    <col min="12" max="12" width="19.42578125" style="1" customWidth="1"/>
    <col min="13" max="13" width="21.85546875" style="1" customWidth="1"/>
    <col min="14" max="14" width="18.85546875" style="1" customWidth="1"/>
    <col min="15" max="15" width="40.28515625" style="1" customWidth="1"/>
    <col min="16" max="16" width="18.7109375" style="1" customWidth="1"/>
    <col min="17" max="17" width="20" style="1" customWidth="1"/>
    <col min="18" max="18" width="18.7109375" style="1" customWidth="1"/>
    <col min="19" max="19" width="22.5703125" style="1" customWidth="1"/>
    <col min="20" max="20" width="22.7109375" style="1" customWidth="1"/>
    <col min="21" max="21" width="37.42578125" style="1" customWidth="1"/>
    <col min="22" max="22" width="14.7109375" style="1" customWidth="1"/>
    <col min="23" max="23" width="38.28515625" style="1" customWidth="1"/>
    <col min="24" max="24" width="21.140625" style="1" customWidth="1"/>
    <col min="25" max="25" width="22.5703125" style="1" customWidth="1"/>
    <col min="26" max="26" width="20.42578125" style="1" customWidth="1"/>
    <col min="27" max="27" width="33" style="1" customWidth="1"/>
    <col min="28" max="28" width="20.7109375" style="1" customWidth="1"/>
    <col min="29" max="29" width="21.7109375" style="1" customWidth="1"/>
    <col min="30" max="30" width="27.42578125" style="1" customWidth="1"/>
    <col min="31" max="31" width="29.42578125" style="1" customWidth="1"/>
    <col min="32" max="32" width="23.85546875" style="1" customWidth="1"/>
    <col min="33" max="33" width="21.42578125" style="1" customWidth="1"/>
    <col min="34" max="34" width="23.42578125" style="1" customWidth="1"/>
    <col min="35" max="35" width="32.5703125" style="1" customWidth="1"/>
    <col min="36" max="36" width="20.5703125" style="1" customWidth="1"/>
    <col min="37" max="37" width="26.85546875" style="1" customWidth="1"/>
    <col min="38" max="38" width="26.5703125" style="1" customWidth="1"/>
    <col min="39" max="39" width="25.42578125" style="1" customWidth="1"/>
    <col min="40" max="40" width="24" style="1" customWidth="1"/>
    <col min="41" max="41" width="27.5703125" style="1" customWidth="1"/>
    <col min="42" max="42" width="29.28515625" style="1" customWidth="1"/>
    <col min="43" max="43" width="18.5703125" style="1" customWidth="1"/>
    <col min="44" max="44" width="20.85546875" style="1" customWidth="1"/>
    <col min="45" max="45" width="22" style="1" customWidth="1"/>
    <col min="46" max="46" width="25.7109375" style="1" customWidth="1"/>
    <col min="47" max="47" width="24.5703125" style="1" customWidth="1"/>
    <col min="48" max="48" width="22" style="1" customWidth="1"/>
    <col min="49" max="49" width="29.85546875" style="1" customWidth="1"/>
    <col min="50" max="50" width="29" style="1" customWidth="1"/>
    <col min="51" max="51" width="27.42578125" style="1" customWidth="1"/>
    <col min="52" max="52" width="28.5703125" style="1" customWidth="1"/>
    <col min="53" max="54" width="22" style="1" customWidth="1"/>
    <col min="55" max="55" width="21.85546875" style="1" customWidth="1"/>
    <col min="56" max="56" width="29.140625" style="1" customWidth="1"/>
    <col min="57" max="57" width="25" style="1" customWidth="1"/>
    <col min="58" max="58" width="26.140625" style="1" customWidth="1"/>
    <col min="59" max="59" width="26.5703125" style="1" customWidth="1"/>
    <col min="60" max="60" width="16.28515625" style="1" customWidth="1"/>
    <col min="61" max="61" width="21.85546875" style="1" customWidth="1"/>
    <col min="62" max="62" width="18.85546875" style="1" customWidth="1"/>
    <col min="63" max="63" width="18.28515625" style="1" customWidth="1"/>
    <col min="64" max="66" width="9.140625" style="1"/>
    <col min="67" max="67" width="15.42578125" style="1" customWidth="1"/>
    <col min="68" max="68" width="16.85546875" style="1" customWidth="1"/>
    <col min="69" max="69" width="14.7109375" style="1" customWidth="1"/>
    <col min="70" max="70" width="16.85546875" style="1" customWidth="1"/>
    <col min="71" max="71" width="15.5703125" style="1" customWidth="1"/>
    <col min="72" max="72" width="18.7109375" style="1" customWidth="1"/>
    <col min="73" max="73" width="16.28515625" style="1" customWidth="1"/>
    <col min="74" max="74" width="16.140625" style="1" customWidth="1"/>
    <col min="75" max="75" width="19" style="1" customWidth="1"/>
    <col min="76" max="76" width="17.7109375" style="1" customWidth="1"/>
    <col min="77" max="77" width="15.28515625" style="1" customWidth="1"/>
    <col min="78" max="78" width="13.7109375" style="1" customWidth="1"/>
    <col min="79" max="79" width="14.140625" style="1" customWidth="1"/>
    <col min="80" max="80" width="21.28515625" style="1" customWidth="1"/>
    <col min="81" max="81" width="18.140625" style="1" customWidth="1"/>
    <col min="82" max="82" width="17.7109375" style="1" customWidth="1"/>
    <col min="83" max="83" width="14.140625" style="1" customWidth="1"/>
    <col min="84" max="16384" width="9.140625" style="1"/>
  </cols>
  <sheetData>
    <row r="1" spans="1:79" ht="24" customHeight="1" x14ac:dyDescent="0.25">
      <c r="A1" s="34" t="s">
        <v>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6" t="s">
        <v>1</v>
      </c>
      <c r="X1" s="36"/>
      <c r="Y1" s="36"/>
      <c r="Z1" s="36"/>
      <c r="AA1" s="36"/>
      <c r="AB1" s="36"/>
      <c r="AC1" s="36"/>
      <c r="AD1" s="36"/>
      <c r="AE1" s="40" t="s">
        <v>314</v>
      </c>
      <c r="AF1" s="41"/>
      <c r="AG1" s="41"/>
      <c r="AH1" s="41"/>
      <c r="AI1" s="41"/>
      <c r="AJ1" s="41"/>
      <c r="AK1" s="42"/>
      <c r="AL1" s="43" t="s">
        <v>330</v>
      </c>
      <c r="AM1" s="43"/>
      <c r="AN1" s="43"/>
      <c r="AO1" s="43"/>
      <c r="AP1" s="43"/>
      <c r="AQ1" s="43"/>
      <c r="AR1" s="43"/>
      <c r="AS1" s="37" t="s">
        <v>319</v>
      </c>
      <c r="AT1" s="38"/>
      <c r="AU1" s="38"/>
      <c r="AV1" s="39"/>
      <c r="AW1"/>
      <c r="AX1"/>
      <c r="AY1"/>
      <c r="AZ1"/>
      <c r="BA1"/>
      <c r="BB1"/>
      <c r="BC1"/>
      <c r="BD1"/>
      <c r="BE1"/>
      <c r="BF1"/>
      <c r="BG1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</row>
    <row r="2" spans="1:79" ht="105.75" customHeight="1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4" t="s">
        <v>8</v>
      </c>
      <c r="H2" s="5" t="s">
        <v>23</v>
      </c>
      <c r="I2" s="5" t="s">
        <v>24</v>
      </c>
      <c r="J2" s="4" t="s">
        <v>9</v>
      </c>
      <c r="K2" s="28" t="s">
        <v>10</v>
      </c>
      <c r="L2" s="6" t="s">
        <v>25</v>
      </c>
      <c r="M2" s="29" t="s">
        <v>11</v>
      </c>
      <c r="N2" s="4" t="s">
        <v>12</v>
      </c>
      <c r="O2" s="4" t="s">
        <v>22</v>
      </c>
      <c r="P2" s="4" t="s">
        <v>13</v>
      </c>
      <c r="Q2" s="4" t="s">
        <v>307</v>
      </c>
      <c r="R2" s="4" t="s">
        <v>308</v>
      </c>
      <c r="S2" s="4" t="s">
        <v>309</v>
      </c>
      <c r="T2" s="4" t="s">
        <v>310</v>
      </c>
      <c r="U2" s="4" t="s">
        <v>14</v>
      </c>
      <c r="V2" s="30" t="s">
        <v>26</v>
      </c>
      <c r="W2" s="4" t="s">
        <v>16</v>
      </c>
      <c r="X2" s="4" t="s">
        <v>17</v>
      </c>
      <c r="Y2" s="4" t="s">
        <v>18</v>
      </c>
      <c r="Z2" s="4" t="s">
        <v>27</v>
      </c>
      <c r="AA2" s="4" t="s">
        <v>19</v>
      </c>
      <c r="AB2" s="4" t="s">
        <v>20</v>
      </c>
      <c r="AC2" s="4" t="s">
        <v>21</v>
      </c>
      <c r="AD2" s="4" t="s">
        <v>327</v>
      </c>
      <c r="AE2" s="4" t="s">
        <v>315</v>
      </c>
      <c r="AF2" s="4" t="s">
        <v>316</v>
      </c>
      <c r="AG2" s="4" t="s">
        <v>317</v>
      </c>
      <c r="AH2" s="4" t="s">
        <v>326</v>
      </c>
      <c r="AI2" s="4" t="s">
        <v>325</v>
      </c>
      <c r="AJ2" s="4" t="s">
        <v>318</v>
      </c>
      <c r="AK2" s="4" t="s">
        <v>324</v>
      </c>
      <c r="AL2" s="4" t="s">
        <v>331</v>
      </c>
      <c r="AM2" s="4" t="s">
        <v>328</v>
      </c>
      <c r="AN2" s="4" t="s">
        <v>329</v>
      </c>
      <c r="AO2" s="4" t="s">
        <v>332</v>
      </c>
      <c r="AP2" s="4" t="s">
        <v>334</v>
      </c>
      <c r="AQ2" s="4" t="s">
        <v>333</v>
      </c>
      <c r="AR2" s="4" t="s">
        <v>335</v>
      </c>
      <c r="AS2" s="4" t="s">
        <v>320</v>
      </c>
      <c r="AT2" s="4" t="s">
        <v>321</v>
      </c>
      <c r="AU2" s="4" t="s">
        <v>322</v>
      </c>
      <c r="AV2" s="4" t="s">
        <v>323</v>
      </c>
      <c r="AW2"/>
      <c r="AX2"/>
      <c r="AY2"/>
      <c r="AZ2"/>
      <c r="BA2"/>
      <c r="BB2"/>
      <c r="BC2"/>
      <c r="BD2"/>
      <c r="BE2"/>
      <c r="BF2"/>
      <c r="BG2"/>
    </row>
    <row r="3" spans="1:79" ht="16.5" x14ac:dyDescent="0.25">
      <c r="A3" s="2"/>
      <c r="B3" s="22"/>
      <c r="C3" s="23"/>
      <c r="D3" s="2"/>
      <c r="E3" s="23"/>
      <c r="F3" s="24"/>
      <c r="G3" s="2"/>
      <c r="H3" s="10" t="e">
        <f>_xlfn.XLOOKUP(F3,Viloyatlar24[RegionName],Viloyatlar24[RegionId])</f>
        <v>#N/A</v>
      </c>
      <c r="I3" s="10" t="e">
        <f>_xlfn.XLOOKUP('Кўчмас мулк объектлари'!G3,Tumanlar23[DistrictName],Tumanlar23[DistrictId])</f>
        <v>#N/A</v>
      </c>
      <c r="J3" s="25"/>
      <c r="K3" s="24"/>
      <c r="L3" s="10" t="e">
        <f>_xlfn.XLOOKUP(K3,Ташкилотлар39[Ташкилотлар],Ташкилотлар39[TashklilotID])</f>
        <v>#N/A</v>
      </c>
      <c r="M3" s="26"/>
      <c r="N3" s="26"/>
      <c r="O3" s="24"/>
      <c r="P3" s="2"/>
      <c r="Q3" s="26"/>
      <c r="R3" s="26"/>
      <c r="S3" s="26"/>
      <c r="T3" s="26"/>
      <c r="U3" s="24"/>
      <c r="V3" s="10" t="e">
        <f>_xlfn.XLOOKUP(U3,Таклифлар37[Таклифлар],Таклифлар37[TaklifID])</f>
        <v>#N/A</v>
      </c>
      <c r="W3" s="24"/>
      <c r="X3" s="23"/>
      <c r="Y3" s="7"/>
      <c r="Z3" s="26"/>
      <c r="AB3" s="23"/>
      <c r="AD3" s="2"/>
      <c r="AF3" s="23"/>
      <c r="AG3" s="23"/>
      <c r="AI3" s="26"/>
      <c r="AJ3" s="23"/>
      <c r="AK3" s="3"/>
      <c r="AM3" s="23"/>
      <c r="AO3" s="32"/>
      <c r="AP3" s="26"/>
      <c r="AR3" s="26"/>
      <c r="AS3" s="24"/>
      <c r="AT3" s="24"/>
      <c r="AU3" s="31"/>
      <c r="AV3" s="24"/>
      <c r="AW3"/>
      <c r="AX3"/>
      <c r="AY3"/>
      <c r="AZ3"/>
      <c r="BA3"/>
      <c r="BB3"/>
      <c r="BC3"/>
      <c r="BD3"/>
      <c r="BE3"/>
      <c r="BF3"/>
      <c r="BG3"/>
    </row>
    <row r="4" spans="1:79" x14ac:dyDescent="0.25">
      <c r="A4" s="2"/>
      <c r="B4" s="22"/>
      <c r="C4" s="23"/>
      <c r="D4" s="2"/>
      <c r="E4" s="23"/>
      <c r="F4" s="24"/>
      <c r="G4" s="2"/>
      <c r="H4" s="10" t="e">
        <f>_xlfn.XLOOKUP(F4,Viloyatlar24[RegionName],Viloyatlar24[RegionId])</f>
        <v>#N/A</v>
      </c>
      <c r="I4" s="10" t="e">
        <f>_xlfn.XLOOKUP('Кўчмас мулк объектлари'!G4,Tumanlar23[DistrictName],Tumanlar23[DistrictId])</f>
        <v>#N/A</v>
      </c>
      <c r="J4" s="2"/>
      <c r="K4" s="24"/>
      <c r="L4" s="10" t="e">
        <f>_xlfn.XLOOKUP(K4,Ташкилотлар39[Ташкилотлар],Ташкилотлар39[TashklilotID])</f>
        <v>#N/A</v>
      </c>
      <c r="M4" s="26"/>
      <c r="N4" s="26"/>
      <c r="O4" s="24"/>
      <c r="P4" s="2"/>
      <c r="Q4" s="26"/>
      <c r="R4" s="26"/>
      <c r="S4" s="26"/>
      <c r="T4" s="26"/>
      <c r="U4" s="24"/>
      <c r="V4" s="10" t="e">
        <f>_xlfn.XLOOKUP(U4,Таклифлар37[Таклифлар],Таклифлар37[TaklifID])</f>
        <v>#N/A</v>
      </c>
      <c r="W4" s="24"/>
      <c r="X4" s="23"/>
      <c r="Y4" s="7"/>
      <c r="Z4" s="26"/>
      <c r="AB4" s="23"/>
      <c r="AD4" s="2"/>
      <c r="AF4" s="2"/>
      <c r="AG4" s="23"/>
      <c r="AI4" s="26"/>
      <c r="AJ4" s="23"/>
      <c r="AK4" s="3"/>
      <c r="AM4" s="23"/>
      <c r="AO4" s="32"/>
      <c r="AP4" s="26"/>
      <c r="AR4" s="26"/>
      <c r="AS4" s="24"/>
      <c r="AT4" s="24"/>
      <c r="AU4" s="31"/>
      <c r="AV4" s="24"/>
      <c r="AW4"/>
      <c r="AX4"/>
      <c r="AY4"/>
      <c r="AZ4"/>
      <c r="BA4"/>
      <c r="BB4"/>
      <c r="BC4"/>
      <c r="BD4"/>
      <c r="BE4"/>
      <c r="BF4"/>
      <c r="BG4"/>
    </row>
    <row r="5" spans="1:79" x14ac:dyDescent="0.25">
      <c r="A5" s="2"/>
      <c r="B5" s="22"/>
      <c r="C5" s="23"/>
      <c r="D5" s="2"/>
      <c r="E5" s="23"/>
      <c r="F5" s="24"/>
      <c r="G5" s="2"/>
      <c r="H5" s="10" t="e">
        <f>_xlfn.XLOOKUP(F5,Viloyatlar24[RegionName],Viloyatlar24[RegionId])</f>
        <v>#N/A</v>
      </c>
      <c r="I5" s="10" t="e">
        <f>_xlfn.XLOOKUP('Кўчмас мулк объектлари'!G5,Tumanlar23[DistrictName],Tumanlar23[DistrictId])</f>
        <v>#N/A</v>
      </c>
      <c r="J5" s="2"/>
      <c r="K5" s="24"/>
      <c r="L5" s="10" t="e">
        <f>_xlfn.XLOOKUP(K5,Ташкилотлар39[Ташкилотлар],Ташкилотлар39[TashklilotID])</f>
        <v>#N/A</v>
      </c>
      <c r="M5" s="26"/>
      <c r="N5" s="26"/>
      <c r="O5" s="24"/>
      <c r="P5" s="2"/>
      <c r="Q5" s="26"/>
      <c r="R5" s="26"/>
      <c r="S5" s="26"/>
      <c r="T5" s="26"/>
      <c r="U5" s="24"/>
      <c r="V5" s="10" t="e">
        <f>_xlfn.XLOOKUP(U5,Таклифлар37[Таклифлар],Таклифлар37[TaklifID])</f>
        <v>#N/A</v>
      </c>
      <c r="W5" s="24"/>
      <c r="X5" s="23"/>
      <c r="Y5" s="7"/>
      <c r="Z5" s="26"/>
      <c r="AB5" s="23"/>
      <c r="AD5" s="2"/>
      <c r="AF5" s="2"/>
      <c r="AG5" s="23"/>
      <c r="AI5" s="26"/>
      <c r="AJ5" s="23"/>
      <c r="AK5" s="3"/>
      <c r="AM5" s="23"/>
      <c r="AO5" s="32"/>
      <c r="AP5" s="26"/>
      <c r="AR5" s="26"/>
      <c r="AS5" s="24"/>
      <c r="AT5" s="24"/>
      <c r="AU5" s="31"/>
      <c r="AV5" s="24"/>
      <c r="AW5"/>
      <c r="AX5"/>
      <c r="AY5"/>
      <c r="AZ5"/>
      <c r="BA5"/>
      <c r="BB5"/>
      <c r="BC5"/>
      <c r="BD5"/>
      <c r="BE5"/>
      <c r="BF5"/>
      <c r="BG5"/>
    </row>
    <row r="6" spans="1:79" x14ac:dyDescent="0.25">
      <c r="A6" s="2"/>
      <c r="B6" s="22"/>
      <c r="C6" s="23"/>
      <c r="D6" s="2"/>
      <c r="E6" s="23"/>
      <c r="F6" s="24"/>
      <c r="G6" s="2"/>
      <c r="H6" s="10" t="e">
        <f>_xlfn.XLOOKUP(F6,Viloyatlar24[RegionName],Viloyatlar24[RegionId])</f>
        <v>#N/A</v>
      </c>
      <c r="I6" s="10" t="e">
        <f>_xlfn.XLOOKUP('Кўчмас мулк объектлари'!G6,Tumanlar23[DistrictName],Tumanlar23[DistrictId])</f>
        <v>#N/A</v>
      </c>
      <c r="J6" s="2"/>
      <c r="K6" s="24"/>
      <c r="L6" s="10" t="e">
        <f>_xlfn.XLOOKUP(K6,Ташкилотлар39[Ташкилотлар],Ташкилотлар39[TashklilotID])</f>
        <v>#N/A</v>
      </c>
      <c r="M6" s="26"/>
      <c r="N6" s="26"/>
      <c r="O6" s="24"/>
      <c r="P6" s="2"/>
      <c r="Q6" s="26"/>
      <c r="R6" s="26"/>
      <c r="S6" s="26"/>
      <c r="T6" s="26"/>
      <c r="U6" s="24"/>
      <c r="V6" s="10" t="e">
        <f>_xlfn.XLOOKUP(U6,Таклифлар37[Таклифлар],Таклифлар37[TaklifID])</f>
        <v>#N/A</v>
      </c>
      <c r="W6" s="24"/>
      <c r="X6" s="23"/>
      <c r="Y6" s="7"/>
      <c r="Z6" s="26"/>
      <c r="AB6" s="23"/>
      <c r="AD6" s="2"/>
      <c r="AF6" s="2"/>
      <c r="AG6" s="23"/>
      <c r="AI6" s="26"/>
      <c r="AJ6" s="23"/>
      <c r="AK6" s="3"/>
      <c r="AM6" s="23"/>
      <c r="AO6" s="32"/>
      <c r="AP6" s="26"/>
      <c r="AR6" s="26"/>
      <c r="AS6" s="24"/>
      <c r="AT6" s="24"/>
      <c r="AU6" s="31"/>
      <c r="AV6" s="24"/>
      <c r="AW6"/>
      <c r="AX6"/>
      <c r="AY6"/>
      <c r="AZ6"/>
      <c r="BA6"/>
      <c r="BB6"/>
      <c r="BC6"/>
      <c r="BD6"/>
      <c r="BE6"/>
      <c r="BF6"/>
      <c r="BG6"/>
    </row>
    <row r="7" spans="1:79" x14ac:dyDescent="0.25">
      <c r="A7" s="2"/>
      <c r="B7" s="22"/>
      <c r="C7" s="23"/>
      <c r="D7" s="2"/>
      <c r="E7" s="23"/>
      <c r="F7" s="24"/>
      <c r="G7" s="2"/>
      <c r="H7" s="10" t="e">
        <f>_xlfn.XLOOKUP(F7,Viloyatlar24[RegionName],Viloyatlar24[RegionId])</f>
        <v>#N/A</v>
      </c>
      <c r="I7" s="10" t="e">
        <f>_xlfn.XLOOKUP('Кўчмас мулк объектлари'!G7,Tumanlar23[DistrictName],Tumanlar23[DistrictId])</f>
        <v>#N/A</v>
      </c>
      <c r="J7" s="2"/>
      <c r="K7" s="24"/>
      <c r="L7" s="10" t="e">
        <f>_xlfn.XLOOKUP(K7,Ташкилотлар39[Ташкилотлар],Ташкилотлар39[TashklilotID])</f>
        <v>#N/A</v>
      </c>
      <c r="M7" s="26"/>
      <c r="N7" s="26"/>
      <c r="O7" s="24"/>
      <c r="P7" s="2"/>
      <c r="Q7" s="26"/>
      <c r="R7" s="26"/>
      <c r="S7" s="26"/>
      <c r="T7" s="26"/>
      <c r="U7" s="24"/>
      <c r="V7" s="10" t="e">
        <f>_xlfn.XLOOKUP(U7,Таклифлар37[Таклифлар],Таклифлар37[TaklifID])</f>
        <v>#N/A</v>
      </c>
      <c r="W7" s="24"/>
      <c r="X7" s="23"/>
      <c r="Y7" s="7"/>
      <c r="Z7" s="26"/>
      <c r="AB7" s="23"/>
      <c r="AD7" s="2"/>
      <c r="AF7" s="2"/>
      <c r="AG7" s="23"/>
      <c r="AI7" s="26"/>
      <c r="AJ7" s="23"/>
      <c r="AK7" s="3"/>
      <c r="AM7" s="23"/>
      <c r="AO7" s="32"/>
      <c r="AP7" s="26"/>
      <c r="AR7" s="26"/>
      <c r="AS7" s="24"/>
      <c r="AT7" s="24"/>
      <c r="AU7" s="31"/>
      <c r="AV7" s="24"/>
      <c r="AW7"/>
      <c r="AX7"/>
      <c r="AY7"/>
      <c r="AZ7"/>
      <c r="BA7"/>
      <c r="BB7"/>
      <c r="BC7"/>
      <c r="BD7"/>
      <c r="BE7"/>
      <c r="BF7"/>
      <c r="BG7"/>
    </row>
    <row r="8" spans="1:79" x14ac:dyDescent="0.25">
      <c r="A8" s="2"/>
      <c r="B8" s="22"/>
      <c r="C8" s="23"/>
      <c r="D8" s="2"/>
      <c r="E8" s="23"/>
      <c r="F8" s="24"/>
      <c r="G8" s="2"/>
      <c r="H8" s="10" t="e">
        <f>_xlfn.XLOOKUP(F8,Viloyatlar24[RegionName],Viloyatlar24[RegionId])</f>
        <v>#N/A</v>
      </c>
      <c r="I8" s="10" t="e">
        <f>_xlfn.XLOOKUP('Кўчмас мулк объектлари'!G8,Tumanlar23[DistrictName],Tumanlar23[DistrictId])</f>
        <v>#N/A</v>
      </c>
      <c r="J8" s="2"/>
      <c r="K8" s="24"/>
      <c r="L8" s="10" t="e">
        <f>_xlfn.XLOOKUP(K8,Ташкилотлар39[Ташкилотлар],Ташкилотлар39[TashklilotID])</f>
        <v>#N/A</v>
      </c>
      <c r="M8" s="26"/>
      <c r="N8" s="26"/>
      <c r="O8" s="24"/>
      <c r="P8" s="2"/>
      <c r="Q8" s="26"/>
      <c r="R8" s="26"/>
      <c r="S8" s="26"/>
      <c r="T8" s="26"/>
      <c r="U8" s="24"/>
      <c r="V8" s="10" t="e">
        <f>_xlfn.XLOOKUP(U8,Таклифлар37[Таклифлар],Таклифлар37[TaklifID])</f>
        <v>#N/A</v>
      </c>
      <c r="W8" s="24"/>
      <c r="X8" s="23"/>
      <c r="Y8" s="7"/>
      <c r="Z8" s="26"/>
      <c r="AB8" s="23"/>
      <c r="AD8" s="2"/>
      <c r="AF8" s="2"/>
      <c r="AG8" s="23"/>
      <c r="AI8" s="26"/>
      <c r="AJ8" s="23"/>
      <c r="AK8" s="3"/>
      <c r="AM8" s="23"/>
      <c r="AO8" s="32"/>
      <c r="AP8" s="26"/>
      <c r="AR8" s="26"/>
      <c r="AS8" s="24"/>
      <c r="AT8" s="24"/>
      <c r="AU8" s="31"/>
      <c r="AV8" s="24"/>
      <c r="AW8"/>
      <c r="AX8"/>
      <c r="AY8"/>
      <c r="AZ8"/>
      <c r="BA8"/>
      <c r="BB8"/>
      <c r="BC8"/>
      <c r="BD8"/>
      <c r="BE8"/>
      <c r="BF8"/>
      <c r="BG8"/>
    </row>
    <row r="9" spans="1:79" x14ac:dyDescent="0.25">
      <c r="A9" s="2"/>
      <c r="B9" s="22"/>
      <c r="C9" s="23"/>
      <c r="D9" s="2"/>
      <c r="E9" s="23"/>
      <c r="F9" s="24"/>
      <c r="G9" s="2"/>
      <c r="H9" s="10" t="e">
        <f>_xlfn.XLOOKUP(F9,Viloyatlar24[RegionName],Viloyatlar24[RegionId])</f>
        <v>#N/A</v>
      </c>
      <c r="I9" s="10" t="e">
        <f>_xlfn.XLOOKUP('Кўчмас мулк объектлари'!G9,Tumanlar23[DistrictName],Tumanlar23[DistrictId])</f>
        <v>#N/A</v>
      </c>
      <c r="J9" s="2"/>
      <c r="K9" s="24"/>
      <c r="L9" s="10" t="e">
        <f>_xlfn.XLOOKUP(K9,Ташкилотлар39[Ташкилотлар],Ташкилотлар39[TashklilotID])</f>
        <v>#N/A</v>
      </c>
      <c r="M9" s="26"/>
      <c r="N9" s="26"/>
      <c r="O9" s="24"/>
      <c r="P9" s="2"/>
      <c r="Q9" s="26"/>
      <c r="R9" s="26"/>
      <c r="S9" s="26"/>
      <c r="T9" s="26"/>
      <c r="U9" s="24"/>
      <c r="V9" s="10" t="e">
        <f>_xlfn.XLOOKUP(U9,Таклифлар37[Таклифлар],Таклифлар37[TaklifID])</f>
        <v>#N/A</v>
      </c>
      <c r="W9" s="24"/>
      <c r="X9" s="23"/>
      <c r="Y9" s="7"/>
      <c r="Z9" s="26"/>
      <c r="AB9" s="23"/>
      <c r="AD9" s="2"/>
      <c r="AF9" s="2"/>
      <c r="AG9" s="23"/>
      <c r="AI9" s="26"/>
      <c r="AJ9" s="23"/>
      <c r="AK9" s="3"/>
      <c r="AM9" s="23"/>
      <c r="AO9" s="32"/>
      <c r="AP9" s="26"/>
      <c r="AR9" s="26"/>
      <c r="AS9" s="24"/>
      <c r="AT9" s="24"/>
      <c r="AU9" s="31"/>
      <c r="AV9" s="24"/>
      <c r="AW9"/>
      <c r="AX9"/>
      <c r="AY9"/>
      <c r="AZ9"/>
      <c r="BA9"/>
      <c r="BB9"/>
      <c r="BC9"/>
      <c r="BD9"/>
      <c r="BE9"/>
      <c r="BF9"/>
      <c r="BG9"/>
    </row>
    <row r="10" spans="1:79" x14ac:dyDescent="0.25">
      <c r="A10" s="2"/>
      <c r="B10" s="22"/>
      <c r="C10" s="23"/>
      <c r="D10" s="2"/>
      <c r="E10" s="23"/>
      <c r="F10" s="24"/>
      <c r="G10" s="2"/>
      <c r="H10" s="10" t="e">
        <f>_xlfn.XLOOKUP(F10,Viloyatlar24[RegionName],Viloyatlar24[RegionId])</f>
        <v>#N/A</v>
      </c>
      <c r="I10" s="10" t="e">
        <f>_xlfn.XLOOKUP('Кўчмас мулк объектлари'!G10,Tumanlar23[DistrictName],Tumanlar23[DistrictId])</f>
        <v>#N/A</v>
      </c>
      <c r="J10" s="2"/>
      <c r="K10" s="24"/>
      <c r="L10" s="10" t="e">
        <f>_xlfn.XLOOKUP(K10,Ташкилотлар39[Ташкилотлар],Ташкилотлар39[TashklilotID])</f>
        <v>#N/A</v>
      </c>
      <c r="M10" s="26"/>
      <c r="N10" s="26"/>
      <c r="O10" s="24"/>
      <c r="P10" s="2"/>
      <c r="Q10" s="26"/>
      <c r="R10" s="26"/>
      <c r="S10" s="26"/>
      <c r="T10" s="26"/>
      <c r="U10" s="24"/>
      <c r="V10" s="10" t="e">
        <f>_xlfn.XLOOKUP(U10,Таклифлар37[Таклифлар],Таклифлар37[TaklifID])</f>
        <v>#N/A</v>
      </c>
      <c r="W10" s="24"/>
      <c r="X10" s="23"/>
      <c r="Y10" s="7"/>
      <c r="Z10" s="26"/>
      <c r="AB10" s="23"/>
      <c r="AD10" s="2"/>
      <c r="AF10" s="2"/>
      <c r="AG10" s="23"/>
      <c r="AI10" s="26"/>
      <c r="AJ10" s="23"/>
      <c r="AK10" s="3"/>
      <c r="AM10" s="23"/>
      <c r="AO10" s="32"/>
      <c r="AP10" s="26"/>
      <c r="AR10" s="26"/>
      <c r="AS10" s="24"/>
      <c r="AT10" s="24"/>
      <c r="AU10" s="31"/>
      <c r="AV10" s="24"/>
      <c r="AW10"/>
      <c r="AX10"/>
      <c r="AY10"/>
      <c r="AZ10"/>
      <c r="BA10"/>
      <c r="BB10"/>
      <c r="BC10"/>
      <c r="BD10"/>
      <c r="BE10"/>
      <c r="BF10"/>
      <c r="BG10"/>
    </row>
    <row r="11" spans="1:79" x14ac:dyDescent="0.25">
      <c r="A11" s="2"/>
      <c r="B11" s="22"/>
      <c r="C11" s="23"/>
      <c r="D11" s="2"/>
      <c r="E11" s="23"/>
      <c r="F11" s="24"/>
      <c r="G11" s="2"/>
      <c r="H11" s="10" t="e">
        <f>_xlfn.XLOOKUP(F11,Viloyatlar24[RegionName],Viloyatlar24[RegionId])</f>
        <v>#N/A</v>
      </c>
      <c r="I11" s="10" t="e">
        <f>_xlfn.XLOOKUP('Кўчмас мулк объектлари'!G11,Tumanlar23[DistrictName],Tumanlar23[DistrictId])</f>
        <v>#N/A</v>
      </c>
      <c r="J11" s="2"/>
      <c r="K11" s="24"/>
      <c r="L11" s="10" t="e">
        <f>_xlfn.XLOOKUP(K11,Ташкилотлар39[Ташкилотлар],Ташкилотлар39[TashklilotID])</f>
        <v>#N/A</v>
      </c>
      <c r="M11" s="26"/>
      <c r="N11" s="26"/>
      <c r="O11" s="24"/>
      <c r="P11" s="2"/>
      <c r="Q11" s="26"/>
      <c r="R11" s="26"/>
      <c r="S11" s="26"/>
      <c r="T11" s="26"/>
      <c r="U11" s="24"/>
      <c r="V11" s="10" t="e">
        <f>_xlfn.XLOOKUP(U11,Таклифлар37[Таклифлар],Таклифлар37[TaklifID])</f>
        <v>#N/A</v>
      </c>
      <c r="W11" s="24"/>
      <c r="X11" s="23"/>
      <c r="Y11" s="7"/>
      <c r="Z11" s="26"/>
      <c r="AB11" s="23"/>
      <c r="AD11" s="2"/>
      <c r="AF11" s="2"/>
      <c r="AG11" s="23"/>
      <c r="AI11" s="26"/>
      <c r="AJ11" s="23"/>
      <c r="AK11" s="3"/>
      <c r="AM11" s="23"/>
      <c r="AO11" s="32"/>
      <c r="AP11" s="26"/>
      <c r="AR11" s="26"/>
      <c r="AS11" s="24"/>
      <c r="AT11" s="24"/>
      <c r="AU11" s="31"/>
      <c r="AV11" s="24"/>
      <c r="AW11"/>
      <c r="AX11"/>
      <c r="AY11"/>
      <c r="AZ11"/>
      <c r="BA11"/>
      <c r="BB11"/>
      <c r="BC11"/>
      <c r="BD11"/>
      <c r="BE11"/>
      <c r="BF11"/>
      <c r="BG11"/>
    </row>
    <row r="12" spans="1:79" x14ac:dyDescent="0.25">
      <c r="A12" s="2"/>
      <c r="B12" s="22"/>
      <c r="C12" s="23"/>
      <c r="D12" s="2"/>
      <c r="E12" s="23"/>
      <c r="F12" s="24"/>
      <c r="G12" s="2"/>
      <c r="H12" s="10" t="e">
        <f>_xlfn.XLOOKUP(F12,Viloyatlar24[RegionName],Viloyatlar24[RegionId])</f>
        <v>#N/A</v>
      </c>
      <c r="I12" s="10" t="e">
        <f>_xlfn.XLOOKUP('Кўчмас мулк объектлари'!G12,Tumanlar23[DistrictName],Tumanlar23[DistrictId])</f>
        <v>#N/A</v>
      </c>
      <c r="J12" s="2"/>
      <c r="K12" s="24"/>
      <c r="L12" s="10" t="e">
        <f>_xlfn.XLOOKUP(K12,Ташкилотлар39[Ташкилотлар],Ташкилотлар39[TashklilotID])</f>
        <v>#N/A</v>
      </c>
      <c r="M12" s="26"/>
      <c r="N12" s="26"/>
      <c r="O12" s="24"/>
      <c r="P12" s="2"/>
      <c r="Q12" s="26"/>
      <c r="R12" s="26"/>
      <c r="S12" s="26"/>
      <c r="T12" s="26"/>
      <c r="U12" s="24"/>
      <c r="V12" s="10" t="e">
        <f>_xlfn.XLOOKUP(U12,Таклифлар37[Таклифлар],Таклифлар37[TaklifID])</f>
        <v>#N/A</v>
      </c>
      <c r="W12" s="24"/>
      <c r="X12" s="23"/>
      <c r="Y12" s="7"/>
      <c r="Z12" s="26"/>
      <c r="AB12" s="23"/>
      <c r="AD12" s="2"/>
      <c r="AF12" s="2"/>
      <c r="AG12" s="23"/>
      <c r="AI12" s="26"/>
      <c r="AJ12" s="23"/>
      <c r="AK12" s="3"/>
      <c r="AM12" s="23"/>
      <c r="AO12" s="32"/>
      <c r="AP12" s="26"/>
      <c r="AR12" s="26"/>
      <c r="AS12" s="24"/>
      <c r="AT12" s="24"/>
      <c r="AU12" s="31"/>
      <c r="AV12" s="24"/>
      <c r="AW12"/>
      <c r="AX12"/>
      <c r="AY12"/>
      <c r="AZ12"/>
      <c r="BA12"/>
      <c r="BB12"/>
      <c r="BC12"/>
      <c r="BD12"/>
      <c r="BE12"/>
      <c r="BF12"/>
      <c r="BG12"/>
    </row>
    <row r="13" spans="1:79" x14ac:dyDescent="0.25">
      <c r="A13" s="2"/>
      <c r="B13" s="22"/>
      <c r="C13" s="23"/>
      <c r="D13" s="2"/>
      <c r="E13" s="23"/>
      <c r="F13" s="24"/>
      <c r="G13" s="2"/>
      <c r="H13" s="10" t="e">
        <f>_xlfn.XLOOKUP(F13,Viloyatlar24[RegionName],Viloyatlar24[RegionId])</f>
        <v>#N/A</v>
      </c>
      <c r="I13" s="10" t="e">
        <f>_xlfn.XLOOKUP('Кўчмас мулк объектлари'!G13,Tumanlar23[DistrictName],Tumanlar23[DistrictId])</f>
        <v>#N/A</v>
      </c>
      <c r="J13" s="2"/>
      <c r="K13" s="24"/>
      <c r="L13" s="10" t="e">
        <f>_xlfn.XLOOKUP(K13,Ташкилотлар39[Ташкилотлар],Ташкилотлар39[TashklilotID])</f>
        <v>#N/A</v>
      </c>
      <c r="M13" s="26"/>
      <c r="N13" s="26"/>
      <c r="O13" s="24"/>
      <c r="P13" s="2"/>
      <c r="Q13" s="26"/>
      <c r="R13" s="26"/>
      <c r="S13" s="26"/>
      <c r="T13" s="26"/>
      <c r="U13" s="24"/>
      <c r="V13" s="10" t="e">
        <f>_xlfn.XLOOKUP(U13,Таклифлар37[Таклифлар],Таклифлар37[TaklifID])</f>
        <v>#N/A</v>
      </c>
      <c r="W13" s="24"/>
      <c r="X13" s="23"/>
      <c r="Y13" s="7"/>
      <c r="Z13" s="26"/>
      <c r="AB13" s="23"/>
      <c r="AD13" s="2"/>
      <c r="AF13" s="2"/>
      <c r="AG13" s="23"/>
      <c r="AI13" s="26"/>
      <c r="AJ13" s="23"/>
      <c r="AK13" s="3"/>
      <c r="AM13" s="23"/>
      <c r="AO13" s="32"/>
      <c r="AP13" s="26"/>
      <c r="AR13" s="26"/>
      <c r="AS13" s="24"/>
      <c r="AT13" s="24"/>
      <c r="AU13" s="31"/>
      <c r="AV13" s="24"/>
      <c r="AW13"/>
      <c r="AX13"/>
      <c r="AY13"/>
      <c r="AZ13"/>
      <c r="BA13"/>
      <c r="BB13"/>
      <c r="BC13"/>
      <c r="BD13"/>
      <c r="BE13"/>
      <c r="BF13"/>
      <c r="BG13"/>
    </row>
    <row r="14" spans="1:79" x14ac:dyDescent="0.25">
      <c r="A14" s="2"/>
      <c r="B14" s="22"/>
      <c r="C14" s="23"/>
      <c r="D14" s="2"/>
      <c r="E14" s="23"/>
      <c r="F14" s="24"/>
      <c r="G14" s="2"/>
      <c r="H14" s="10" t="e">
        <f>_xlfn.XLOOKUP(F14,Viloyatlar24[RegionName],Viloyatlar24[RegionId])</f>
        <v>#N/A</v>
      </c>
      <c r="I14" s="10" t="e">
        <f>_xlfn.XLOOKUP('Кўчмас мулк объектлари'!G14,Tumanlar23[DistrictName],Tumanlar23[DistrictId])</f>
        <v>#N/A</v>
      </c>
      <c r="J14" s="2"/>
      <c r="K14" s="24"/>
      <c r="L14" s="10" t="e">
        <f>_xlfn.XLOOKUP(K14,Ташкилотлар39[Ташкилотлар],Ташкилотлар39[TashklilotID])</f>
        <v>#N/A</v>
      </c>
      <c r="M14" s="26"/>
      <c r="N14" s="26"/>
      <c r="O14" s="24"/>
      <c r="P14" s="2"/>
      <c r="Q14" s="26"/>
      <c r="R14" s="26"/>
      <c r="S14" s="26"/>
      <c r="T14" s="26"/>
      <c r="U14" s="24"/>
      <c r="V14" s="10" t="e">
        <f>_xlfn.XLOOKUP(U14,Таклифлар37[Таклифлар],Таклифлар37[TaklifID])</f>
        <v>#N/A</v>
      </c>
      <c r="W14" s="24"/>
      <c r="X14" s="23"/>
      <c r="Y14" s="7"/>
      <c r="Z14" s="26"/>
      <c r="AB14" s="23"/>
      <c r="AD14" s="2"/>
      <c r="AF14" s="2"/>
      <c r="AG14" s="23"/>
      <c r="AI14" s="26"/>
      <c r="AJ14" s="23"/>
      <c r="AK14" s="3"/>
      <c r="AM14" s="23"/>
      <c r="AO14" s="32"/>
      <c r="AP14" s="26"/>
      <c r="AR14" s="26"/>
      <c r="AS14" s="24"/>
      <c r="AT14" s="24"/>
      <c r="AU14" s="31"/>
      <c r="AV14" s="24"/>
      <c r="AW14"/>
      <c r="AX14"/>
      <c r="AY14"/>
      <c r="AZ14"/>
      <c r="BA14"/>
      <c r="BB14"/>
      <c r="BC14"/>
      <c r="BD14"/>
      <c r="BE14"/>
      <c r="BF14"/>
      <c r="BG14"/>
    </row>
    <row r="15" spans="1:79" x14ac:dyDescent="0.25">
      <c r="A15" s="2"/>
      <c r="B15" s="22"/>
      <c r="C15" s="23"/>
      <c r="D15" s="2"/>
      <c r="E15" s="23"/>
      <c r="F15" s="24"/>
      <c r="G15" s="2"/>
      <c r="H15" s="10" t="e">
        <f>_xlfn.XLOOKUP(F15,Viloyatlar24[RegionName],Viloyatlar24[RegionId])</f>
        <v>#N/A</v>
      </c>
      <c r="I15" s="10" t="e">
        <f>_xlfn.XLOOKUP('Кўчмас мулк объектлари'!G15,Tumanlar23[DistrictName],Tumanlar23[DistrictId])</f>
        <v>#N/A</v>
      </c>
      <c r="J15" s="2"/>
      <c r="K15" s="24"/>
      <c r="L15" s="10" t="e">
        <f>_xlfn.XLOOKUP(K15,Ташкилотлар39[Ташкилотлар],Ташкилотлар39[TashklilotID])</f>
        <v>#N/A</v>
      </c>
      <c r="M15" s="26"/>
      <c r="N15" s="26"/>
      <c r="O15" s="24"/>
      <c r="P15" s="2"/>
      <c r="Q15" s="26"/>
      <c r="R15" s="26"/>
      <c r="S15" s="26"/>
      <c r="T15" s="26"/>
      <c r="U15" s="24"/>
      <c r="V15" s="10" t="e">
        <f>_xlfn.XLOOKUP(U15,Таклифлар37[Таклифлар],Таклифлар37[TaklifID])</f>
        <v>#N/A</v>
      </c>
      <c r="W15" s="24"/>
      <c r="X15" s="23"/>
      <c r="Y15" s="7"/>
      <c r="Z15" s="26"/>
      <c r="AB15" s="23"/>
      <c r="AD15" s="2"/>
      <c r="AF15" s="2"/>
      <c r="AG15" s="23"/>
      <c r="AI15" s="26"/>
      <c r="AJ15" s="23"/>
      <c r="AK15" s="3"/>
      <c r="AM15" s="23"/>
      <c r="AO15" s="32"/>
      <c r="AP15" s="26"/>
      <c r="AR15" s="26"/>
      <c r="AS15" s="24"/>
      <c r="AT15" s="24"/>
      <c r="AU15" s="31"/>
      <c r="AV15" s="24"/>
      <c r="AW15"/>
      <c r="AX15"/>
      <c r="AY15"/>
      <c r="AZ15"/>
      <c r="BA15"/>
      <c r="BB15"/>
      <c r="BC15"/>
      <c r="BD15"/>
      <c r="BE15"/>
      <c r="BF15"/>
      <c r="BG15"/>
    </row>
    <row r="16" spans="1:79" x14ac:dyDescent="0.25">
      <c r="A16" s="2"/>
      <c r="B16" s="22"/>
      <c r="C16" s="23"/>
      <c r="D16" s="2"/>
      <c r="E16" s="23"/>
      <c r="F16" s="24"/>
      <c r="G16" s="2"/>
      <c r="H16" s="10" t="e">
        <f>_xlfn.XLOOKUP(F16,Viloyatlar24[RegionName],Viloyatlar24[RegionId])</f>
        <v>#N/A</v>
      </c>
      <c r="I16" s="10" t="e">
        <f>_xlfn.XLOOKUP('Кўчмас мулк объектлари'!G16,Tumanlar23[DistrictName],Tumanlar23[DistrictId])</f>
        <v>#N/A</v>
      </c>
      <c r="J16" s="2"/>
      <c r="K16" s="24"/>
      <c r="L16" s="10" t="e">
        <f>_xlfn.XLOOKUP(K16,Ташкилотлар39[Ташкилотлар],Ташкилотлар39[TashklilotID])</f>
        <v>#N/A</v>
      </c>
      <c r="M16" s="26"/>
      <c r="N16" s="26"/>
      <c r="O16" s="24"/>
      <c r="P16" s="2"/>
      <c r="Q16" s="26"/>
      <c r="R16" s="26"/>
      <c r="S16" s="26"/>
      <c r="T16" s="26"/>
      <c r="U16" s="24"/>
      <c r="V16" s="10" t="e">
        <f>_xlfn.XLOOKUP(U16,Таклифлар37[Таклифлар],Таклифлар37[TaklifID])</f>
        <v>#N/A</v>
      </c>
      <c r="W16" s="24"/>
      <c r="X16" s="23"/>
      <c r="Y16" s="7"/>
      <c r="Z16" s="26"/>
      <c r="AB16" s="23"/>
      <c r="AD16" s="2"/>
      <c r="AF16" s="2"/>
      <c r="AG16" s="23"/>
      <c r="AI16" s="26"/>
      <c r="AJ16" s="23"/>
      <c r="AK16" s="3"/>
      <c r="AM16" s="23"/>
      <c r="AO16" s="32"/>
      <c r="AP16" s="26"/>
      <c r="AR16" s="26"/>
      <c r="AS16" s="24"/>
      <c r="AT16" s="24"/>
      <c r="AU16" s="31"/>
      <c r="AV16" s="24"/>
      <c r="AW16"/>
      <c r="AX16"/>
      <c r="AY16"/>
      <c r="AZ16"/>
      <c r="BA16"/>
      <c r="BB16"/>
      <c r="BC16"/>
      <c r="BD16"/>
      <c r="BE16"/>
      <c r="BF16"/>
      <c r="BG16"/>
    </row>
    <row r="17" spans="1:59" x14ac:dyDescent="0.25">
      <c r="A17" s="2"/>
      <c r="B17" s="22"/>
      <c r="C17" s="23"/>
      <c r="D17" s="2"/>
      <c r="E17" s="23"/>
      <c r="F17" s="24"/>
      <c r="G17" s="2"/>
      <c r="H17" s="10" t="e">
        <f>_xlfn.XLOOKUP(F17,Viloyatlar24[RegionName],Viloyatlar24[RegionId])</f>
        <v>#N/A</v>
      </c>
      <c r="I17" s="10" t="e">
        <f>_xlfn.XLOOKUP('Кўчмас мулк объектлари'!G17,Tumanlar23[DistrictName],Tumanlar23[DistrictId])</f>
        <v>#N/A</v>
      </c>
      <c r="J17" s="2"/>
      <c r="K17" s="24"/>
      <c r="L17" s="10" t="e">
        <f>_xlfn.XLOOKUP(K17,Ташкилотлар39[Ташкилотлар],Ташкилотлар39[TashklilotID])</f>
        <v>#N/A</v>
      </c>
      <c r="M17" s="26"/>
      <c r="N17" s="26"/>
      <c r="O17" s="24"/>
      <c r="P17" s="2"/>
      <c r="Q17" s="26"/>
      <c r="R17" s="26"/>
      <c r="S17" s="26"/>
      <c r="T17" s="26"/>
      <c r="U17" s="24"/>
      <c r="V17" s="10" t="e">
        <f>_xlfn.XLOOKUP(U17,Таклифлар37[Таклифлар],Таклифлар37[TaklifID])</f>
        <v>#N/A</v>
      </c>
      <c r="W17" s="24"/>
      <c r="X17" s="23"/>
      <c r="Y17" s="7"/>
      <c r="Z17" s="26"/>
      <c r="AB17" s="23"/>
      <c r="AD17" s="2"/>
      <c r="AF17" s="2"/>
      <c r="AG17" s="23"/>
      <c r="AI17" s="26"/>
      <c r="AJ17" s="23"/>
      <c r="AK17" s="3"/>
      <c r="AM17" s="23"/>
      <c r="AO17" s="32"/>
      <c r="AP17" s="26"/>
      <c r="AR17" s="26"/>
      <c r="AS17" s="24"/>
      <c r="AT17" s="24"/>
      <c r="AU17" s="31"/>
      <c r="AV17" s="24"/>
      <c r="AW17"/>
      <c r="AX17"/>
      <c r="AY17"/>
      <c r="AZ17"/>
      <c r="BA17"/>
      <c r="BB17"/>
      <c r="BC17"/>
      <c r="BD17"/>
      <c r="BE17"/>
      <c r="BF17"/>
      <c r="BG17"/>
    </row>
    <row r="18" spans="1:59" x14ac:dyDescent="0.25">
      <c r="A18" s="2"/>
      <c r="B18" s="22"/>
      <c r="C18" s="23"/>
      <c r="D18" s="2"/>
      <c r="E18" s="23"/>
      <c r="F18" s="24"/>
      <c r="G18" s="2"/>
      <c r="H18" s="10" t="e">
        <f>_xlfn.XLOOKUP(F18,Viloyatlar24[RegionName],Viloyatlar24[RegionId])</f>
        <v>#N/A</v>
      </c>
      <c r="I18" s="10" t="e">
        <f>_xlfn.XLOOKUP('Кўчмас мулк объектлари'!G18,Tumanlar23[DistrictName],Tumanlar23[DistrictId])</f>
        <v>#N/A</v>
      </c>
      <c r="J18" s="2"/>
      <c r="K18" s="24"/>
      <c r="L18" s="10" t="e">
        <f>_xlfn.XLOOKUP(K18,Ташкилотлар39[Ташкилотлар],Ташкилотлар39[TashklilotID])</f>
        <v>#N/A</v>
      </c>
      <c r="M18" s="26"/>
      <c r="N18" s="26"/>
      <c r="O18" s="24"/>
      <c r="P18" s="2"/>
      <c r="Q18" s="26"/>
      <c r="R18" s="26"/>
      <c r="S18" s="26"/>
      <c r="T18" s="26"/>
      <c r="U18" s="24"/>
      <c r="V18" s="10" t="e">
        <f>_xlfn.XLOOKUP(U18,Таклифлар37[Таклифлар],Таклифлар37[TaklifID])</f>
        <v>#N/A</v>
      </c>
      <c r="W18" s="24"/>
      <c r="X18" s="23"/>
      <c r="Y18" s="7"/>
      <c r="Z18" s="26"/>
      <c r="AB18" s="23"/>
      <c r="AD18" s="2"/>
      <c r="AF18" s="2"/>
      <c r="AG18" s="23"/>
      <c r="AI18" s="26"/>
      <c r="AJ18" s="23"/>
      <c r="AK18" s="2"/>
      <c r="AM18" s="23"/>
      <c r="AO18" s="32"/>
      <c r="AP18" s="26"/>
      <c r="AR18" s="26"/>
      <c r="AS18" s="24"/>
      <c r="AT18" s="24"/>
      <c r="AU18" s="31"/>
      <c r="AV18" s="24"/>
      <c r="AW18"/>
      <c r="AX18"/>
      <c r="AY18"/>
      <c r="AZ18"/>
      <c r="BA18"/>
      <c r="BB18"/>
      <c r="BC18"/>
      <c r="BD18"/>
      <c r="BE18"/>
      <c r="BF18"/>
      <c r="BG18"/>
    </row>
    <row r="19" spans="1:59" x14ac:dyDescent="0.25">
      <c r="A19" s="2"/>
      <c r="B19" s="22"/>
      <c r="C19" s="23"/>
      <c r="D19" s="2"/>
      <c r="E19" s="23"/>
      <c r="F19" s="24"/>
      <c r="G19" s="2"/>
      <c r="H19" s="10" t="e">
        <f>_xlfn.XLOOKUP(F19,Viloyatlar24[RegionName],Viloyatlar24[RegionId])</f>
        <v>#N/A</v>
      </c>
      <c r="I19" s="10" t="e">
        <f>_xlfn.XLOOKUP('Кўчмас мулк объектлари'!G19,Tumanlar23[DistrictName],Tumanlar23[DistrictId])</f>
        <v>#N/A</v>
      </c>
      <c r="J19" s="2"/>
      <c r="K19" s="24"/>
      <c r="L19" s="10" t="e">
        <f>_xlfn.XLOOKUP(K19,Ташкилотлар39[Ташкилотлар],Ташкилотлар39[TashklilotID])</f>
        <v>#N/A</v>
      </c>
      <c r="M19" s="26"/>
      <c r="N19" s="26"/>
      <c r="O19" s="24"/>
      <c r="P19" s="2"/>
      <c r="Q19" s="26"/>
      <c r="R19" s="26"/>
      <c r="S19" s="26"/>
      <c r="T19" s="26"/>
      <c r="U19" s="24"/>
      <c r="V19" s="10" t="e">
        <f>_xlfn.XLOOKUP(U19,Таклифлар37[Таклифлар],Таклифлар37[TaklifID])</f>
        <v>#N/A</v>
      </c>
      <c r="W19" s="24"/>
      <c r="X19" s="23"/>
      <c r="Y19" s="7"/>
      <c r="Z19" s="26"/>
      <c r="AB19" s="23"/>
      <c r="AD19" s="2"/>
      <c r="AF19" s="2"/>
      <c r="AG19" s="23"/>
      <c r="AI19" s="26"/>
      <c r="AJ19" s="23"/>
      <c r="AK19" s="2"/>
      <c r="AM19" s="23"/>
      <c r="AO19" s="32"/>
      <c r="AP19" s="26"/>
      <c r="AR19" s="26"/>
      <c r="AS19" s="24"/>
      <c r="AT19" s="24"/>
      <c r="AU19" s="31"/>
      <c r="AV19" s="24"/>
      <c r="AW19"/>
      <c r="AX19"/>
      <c r="AY19"/>
      <c r="AZ19"/>
      <c r="BA19"/>
      <c r="BB19"/>
      <c r="BC19"/>
      <c r="BD19"/>
      <c r="BE19"/>
      <c r="BF19"/>
      <c r="BG19"/>
    </row>
    <row r="20" spans="1:59" x14ac:dyDescent="0.25">
      <c r="A20" s="2"/>
      <c r="B20" s="22"/>
      <c r="C20" s="23"/>
      <c r="D20" s="2"/>
      <c r="E20" s="23"/>
      <c r="F20" s="24"/>
      <c r="G20" s="2"/>
      <c r="H20" s="10" t="e">
        <f>_xlfn.XLOOKUP(F20,Viloyatlar24[RegionName],Viloyatlar24[RegionId])</f>
        <v>#N/A</v>
      </c>
      <c r="I20" s="10" t="e">
        <f>_xlfn.XLOOKUP('Кўчмас мулк объектлари'!G20,Tumanlar23[DistrictName],Tumanlar23[DistrictId])</f>
        <v>#N/A</v>
      </c>
      <c r="J20" s="2"/>
      <c r="K20" s="24"/>
      <c r="L20" s="10" t="e">
        <f>_xlfn.XLOOKUP(K20,Ташкилотлар39[Ташкилотлар],Ташкилотлар39[TashklilotID])</f>
        <v>#N/A</v>
      </c>
      <c r="M20" s="26"/>
      <c r="N20" s="26"/>
      <c r="O20" s="24"/>
      <c r="P20" s="2"/>
      <c r="Q20" s="26"/>
      <c r="R20" s="26"/>
      <c r="S20" s="26"/>
      <c r="T20" s="26"/>
      <c r="U20" s="24"/>
      <c r="V20" s="10" t="e">
        <f>_xlfn.XLOOKUP(U20,Таклифлар37[Таклифлар],Таклифлар37[TaklifID])</f>
        <v>#N/A</v>
      </c>
      <c r="W20" s="24"/>
      <c r="X20" s="23"/>
      <c r="Y20" s="7"/>
      <c r="Z20" s="26"/>
      <c r="AB20" s="23"/>
      <c r="AD20" s="2"/>
      <c r="AF20" s="2"/>
      <c r="AG20" s="23"/>
      <c r="AI20" s="26"/>
      <c r="AJ20" s="23"/>
      <c r="AK20" s="2"/>
      <c r="AM20" s="23"/>
      <c r="AO20" s="32"/>
      <c r="AP20" s="26"/>
      <c r="AR20" s="26"/>
      <c r="AS20" s="24"/>
      <c r="AT20" s="24"/>
      <c r="AU20" s="31"/>
      <c r="AV20" s="24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2"/>
      <c r="B21" s="22"/>
      <c r="C21" s="23"/>
      <c r="D21" s="2"/>
      <c r="E21" s="23"/>
      <c r="F21" s="24"/>
      <c r="G21" s="2"/>
      <c r="H21" s="10" t="e">
        <f>_xlfn.XLOOKUP(F21,Viloyatlar24[RegionName],Viloyatlar24[RegionId])</f>
        <v>#N/A</v>
      </c>
      <c r="I21" s="10" t="e">
        <f>_xlfn.XLOOKUP('Кўчмас мулк объектлари'!G21,Tumanlar23[DistrictName],Tumanlar23[DistrictId])</f>
        <v>#N/A</v>
      </c>
      <c r="J21" s="2"/>
      <c r="K21" s="24"/>
      <c r="L21" s="10" t="e">
        <f>_xlfn.XLOOKUP(K21,Ташкилотлар39[Ташкилотлар],Ташкилотлар39[TashklilotID])</f>
        <v>#N/A</v>
      </c>
      <c r="M21" s="26"/>
      <c r="N21" s="26"/>
      <c r="O21" s="24"/>
      <c r="P21" s="2"/>
      <c r="Q21" s="26"/>
      <c r="R21" s="26"/>
      <c r="S21" s="26"/>
      <c r="T21" s="26"/>
      <c r="U21" s="24"/>
      <c r="V21" s="10" t="e">
        <f>_xlfn.XLOOKUP(U21,Таклифлар37[Таклифлар],Таклифлар37[TaklifID])</f>
        <v>#N/A</v>
      </c>
      <c r="W21" s="24"/>
      <c r="X21" s="23"/>
      <c r="Y21" s="7"/>
      <c r="Z21" s="26"/>
      <c r="AB21" s="23"/>
      <c r="AD21" s="2"/>
      <c r="AF21" s="2"/>
      <c r="AG21" s="23"/>
      <c r="AI21" s="26"/>
      <c r="AJ21" s="23"/>
      <c r="AK21" s="2"/>
      <c r="AM21" s="23"/>
      <c r="AO21" s="32"/>
      <c r="AP21" s="26"/>
      <c r="AR21" s="26"/>
      <c r="AS21" s="24"/>
      <c r="AT21" s="24"/>
      <c r="AU21" s="31"/>
      <c r="AV21" s="24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2"/>
      <c r="B22" s="22"/>
      <c r="C22" s="23"/>
      <c r="D22" s="2"/>
      <c r="E22" s="23"/>
      <c r="F22" s="24"/>
      <c r="G22" s="2"/>
      <c r="H22" s="10" t="e">
        <f>_xlfn.XLOOKUP(F22,Viloyatlar24[RegionName],Viloyatlar24[RegionId])</f>
        <v>#N/A</v>
      </c>
      <c r="I22" s="10" t="e">
        <f>_xlfn.XLOOKUP('Кўчмас мулк объектлари'!G22,Tumanlar23[DistrictName],Tumanlar23[DistrictId])</f>
        <v>#N/A</v>
      </c>
      <c r="J22" s="2"/>
      <c r="K22" s="24"/>
      <c r="L22" s="10" t="e">
        <f>_xlfn.XLOOKUP(K22,Ташкилотлар39[Ташкилотлар],Ташкилотлар39[TashklilotID])</f>
        <v>#N/A</v>
      </c>
      <c r="M22" s="26"/>
      <c r="N22" s="26"/>
      <c r="O22" s="24"/>
      <c r="P22" s="2"/>
      <c r="Q22" s="26"/>
      <c r="R22" s="26"/>
      <c r="S22" s="26"/>
      <c r="T22" s="26"/>
      <c r="U22" s="24"/>
      <c r="V22" s="10" t="e">
        <f>_xlfn.XLOOKUP(U22,Таклифлар37[Таклифлар],Таклифлар37[TaklifID])</f>
        <v>#N/A</v>
      </c>
      <c r="W22" s="24"/>
      <c r="X22" s="23"/>
      <c r="Y22" s="7"/>
      <c r="Z22" s="26"/>
      <c r="AB22" s="23"/>
      <c r="AD22" s="2"/>
      <c r="AF22" s="2"/>
      <c r="AG22" s="23"/>
      <c r="AI22" s="26"/>
      <c r="AJ22" s="23"/>
      <c r="AK22" s="2"/>
      <c r="AM22" s="23"/>
      <c r="AO22" s="32"/>
      <c r="AP22" s="26"/>
      <c r="AR22" s="26"/>
      <c r="AS22" s="24"/>
      <c r="AT22" s="24"/>
      <c r="AU22" s="31"/>
      <c r="AV22" s="24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2"/>
      <c r="B23" s="22"/>
      <c r="C23" s="23"/>
      <c r="D23" s="2"/>
      <c r="E23" s="23"/>
      <c r="F23" s="24"/>
      <c r="G23" s="2"/>
      <c r="H23" s="10" t="e">
        <f>_xlfn.XLOOKUP(F23,Viloyatlar24[RegionName],Viloyatlar24[RegionId])</f>
        <v>#N/A</v>
      </c>
      <c r="I23" s="10" t="e">
        <f>_xlfn.XLOOKUP('Кўчмас мулк объектлари'!G23,Tumanlar23[DistrictName],Tumanlar23[DistrictId])</f>
        <v>#N/A</v>
      </c>
      <c r="J23" s="2"/>
      <c r="K23" s="24"/>
      <c r="L23" s="10" t="e">
        <f>_xlfn.XLOOKUP(K23,Ташкилотлар39[Ташкилотлар],Ташкилотлар39[TashklilotID])</f>
        <v>#N/A</v>
      </c>
      <c r="M23" s="26"/>
      <c r="N23" s="26"/>
      <c r="O23" s="24"/>
      <c r="P23" s="2"/>
      <c r="Q23" s="26"/>
      <c r="R23" s="26"/>
      <c r="S23" s="26"/>
      <c r="T23" s="26"/>
      <c r="U23" s="24"/>
      <c r="V23" s="10" t="e">
        <f>_xlfn.XLOOKUP(U23,Таклифлар37[Таклифлар],Таклифлар37[TaklifID])</f>
        <v>#N/A</v>
      </c>
      <c r="W23" s="24"/>
      <c r="X23" s="23"/>
      <c r="Y23" s="7"/>
      <c r="Z23" s="26"/>
      <c r="AB23" s="23"/>
      <c r="AD23" s="2"/>
      <c r="AF23" s="2"/>
      <c r="AG23" s="23"/>
      <c r="AI23" s="26"/>
      <c r="AJ23" s="23"/>
      <c r="AK23" s="2"/>
      <c r="AM23" s="23"/>
      <c r="AO23" s="32"/>
      <c r="AP23" s="26"/>
      <c r="AR23" s="26"/>
      <c r="AS23" s="24"/>
      <c r="AT23" s="24"/>
      <c r="AU23" s="31"/>
      <c r="AV23" s="24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2"/>
      <c r="B24" s="22"/>
      <c r="C24" s="23"/>
      <c r="D24" s="2"/>
      <c r="E24" s="23"/>
      <c r="F24" s="24"/>
      <c r="G24" s="2"/>
      <c r="H24" s="10" t="e">
        <f>_xlfn.XLOOKUP(F24,Viloyatlar24[RegionName],Viloyatlar24[RegionId])</f>
        <v>#N/A</v>
      </c>
      <c r="I24" s="10" t="e">
        <f>_xlfn.XLOOKUP('Кўчмас мулк объектлари'!G24,Tumanlar23[DistrictName],Tumanlar23[DistrictId])</f>
        <v>#N/A</v>
      </c>
      <c r="J24" s="2"/>
      <c r="K24" s="24"/>
      <c r="L24" s="10" t="e">
        <f>_xlfn.XLOOKUP(K24,Ташкилотлар39[Ташкилотлар],Ташкилотлар39[TashklilotID])</f>
        <v>#N/A</v>
      </c>
      <c r="M24" s="26"/>
      <c r="N24" s="26"/>
      <c r="O24" s="24"/>
      <c r="P24" s="2"/>
      <c r="Q24" s="26"/>
      <c r="R24" s="26"/>
      <c r="S24" s="26"/>
      <c r="T24" s="26"/>
      <c r="U24" s="24"/>
      <c r="V24" s="10" t="e">
        <f>_xlfn.XLOOKUP(U24,Таклифлар37[Таклифлар],Таклифлар37[TaklifID])</f>
        <v>#N/A</v>
      </c>
      <c r="W24" s="24"/>
      <c r="X24" s="23"/>
      <c r="Y24" s="7"/>
      <c r="Z24" s="26"/>
      <c r="AB24" s="23"/>
      <c r="AD24" s="2"/>
      <c r="AF24" s="2"/>
      <c r="AG24" s="23"/>
      <c r="AI24" s="26"/>
      <c r="AJ24" s="23"/>
      <c r="AK24" s="2"/>
      <c r="AM24" s="23"/>
      <c r="AO24" s="32"/>
      <c r="AP24" s="26"/>
      <c r="AR24" s="26"/>
      <c r="AS24" s="24"/>
      <c r="AT24" s="24"/>
      <c r="AU24" s="31"/>
      <c r="AV24" s="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2"/>
      <c r="B25" s="22"/>
      <c r="C25" s="23"/>
      <c r="D25" s="2"/>
      <c r="E25" s="23"/>
      <c r="F25" s="24"/>
      <c r="G25" s="2"/>
      <c r="H25" s="10" t="e">
        <f>_xlfn.XLOOKUP(F25,Viloyatlar24[RegionName],Viloyatlar24[RegionId])</f>
        <v>#N/A</v>
      </c>
      <c r="I25" s="10" t="e">
        <f>_xlfn.XLOOKUP('Кўчмас мулк объектлари'!G25,Tumanlar23[DistrictName],Tumanlar23[DistrictId])</f>
        <v>#N/A</v>
      </c>
      <c r="J25" s="2"/>
      <c r="K25" s="24"/>
      <c r="L25" s="10" t="e">
        <f>_xlfn.XLOOKUP(K25,Ташкилотлар39[Ташкилотлар],Ташкилотлар39[TashklilotID])</f>
        <v>#N/A</v>
      </c>
      <c r="M25" s="26"/>
      <c r="N25" s="26"/>
      <c r="O25" s="24"/>
      <c r="P25" s="2"/>
      <c r="Q25" s="26"/>
      <c r="R25" s="26"/>
      <c r="S25" s="26"/>
      <c r="T25" s="26"/>
      <c r="U25" s="24"/>
      <c r="V25" s="10" t="e">
        <f>_xlfn.XLOOKUP(U25,Таклифлар37[Таклифлар],Таклифлар37[TaklifID])</f>
        <v>#N/A</v>
      </c>
      <c r="W25" s="24"/>
      <c r="X25" s="23"/>
      <c r="Y25" s="7"/>
      <c r="Z25" s="26"/>
      <c r="AB25" s="23"/>
      <c r="AD25" s="2"/>
      <c r="AF25" s="2"/>
      <c r="AG25" s="23"/>
      <c r="AI25" s="26"/>
      <c r="AJ25" s="23"/>
      <c r="AK25" s="2"/>
      <c r="AM25" s="23"/>
      <c r="AO25" s="32"/>
      <c r="AP25" s="26"/>
      <c r="AR25" s="26"/>
      <c r="AS25" s="24"/>
      <c r="AT25" s="24"/>
      <c r="AU25" s="31"/>
      <c r="AV25" s="24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2"/>
      <c r="B26" s="22"/>
      <c r="C26" s="23"/>
      <c r="D26" s="2"/>
      <c r="E26" s="23"/>
      <c r="F26" s="24"/>
      <c r="G26" s="2"/>
      <c r="H26" s="10" t="e">
        <f>_xlfn.XLOOKUP(F26,Viloyatlar24[RegionName],Viloyatlar24[RegionId])</f>
        <v>#N/A</v>
      </c>
      <c r="I26" s="10" t="e">
        <f>_xlfn.XLOOKUP('Кўчмас мулк объектлари'!G26,Tumanlar23[DistrictName],Tumanlar23[DistrictId])</f>
        <v>#N/A</v>
      </c>
      <c r="J26" s="2"/>
      <c r="K26" s="24"/>
      <c r="L26" s="10" t="e">
        <f>_xlfn.XLOOKUP(K26,Ташкилотлар39[Ташкилотлар],Ташкилотлар39[TashklilotID])</f>
        <v>#N/A</v>
      </c>
      <c r="M26" s="26"/>
      <c r="N26" s="26"/>
      <c r="O26" s="24"/>
      <c r="P26" s="2"/>
      <c r="Q26" s="26"/>
      <c r="R26" s="26"/>
      <c r="S26" s="26"/>
      <c r="T26" s="26"/>
      <c r="U26" s="24"/>
      <c r="V26" s="10" t="e">
        <f>_xlfn.XLOOKUP(U26,Таклифлар37[Таклифлар],Таклифлар37[TaklifID])</f>
        <v>#N/A</v>
      </c>
      <c r="W26" s="24"/>
      <c r="X26" s="23"/>
      <c r="Y26" s="7"/>
      <c r="Z26" s="26"/>
      <c r="AB26" s="23"/>
      <c r="AD26" s="2"/>
      <c r="AF26" s="2"/>
      <c r="AG26" s="23"/>
      <c r="AI26" s="26"/>
      <c r="AJ26" s="23"/>
      <c r="AK26" s="2"/>
      <c r="AM26" s="23"/>
      <c r="AO26" s="32"/>
      <c r="AP26" s="26"/>
      <c r="AR26" s="26"/>
      <c r="AS26" s="24"/>
      <c r="AT26" s="24"/>
      <c r="AU26" s="31"/>
      <c r="AV26" s="24"/>
      <c r="AW26"/>
      <c r="AX26"/>
      <c r="AY26"/>
      <c r="AZ26"/>
      <c r="BA26"/>
      <c r="BB26"/>
      <c r="BC26"/>
      <c r="BD26"/>
      <c r="BE26"/>
      <c r="BF26"/>
      <c r="BG26"/>
    </row>
    <row r="27" spans="1:59" x14ac:dyDescent="0.25">
      <c r="A27" s="2"/>
      <c r="B27" s="22"/>
      <c r="C27" s="23"/>
      <c r="D27" s="2"/>
      <c r="E27" s="23"/>
      <c r="F27" s="24"/>
      <c r="G27" s="2"/>
      <c r="H27" s="10" t="e">
        <f>_xlfn.XLOOKUP(F27,Viloyatlar24[RegionName],Viloyatlar24[RegionId])</f>
        <v>#N/A</v>
      </c>
      <c r="I27" s="10" t="e">
        <f>_xlfn.XLOOKUP('Кўчмас мулк объектлари'!G27,Tumanlar23[DistrictName],Tumanlar23[DistrictId])</f>
        <v>#N/A</v>
      </c>
      <c r="J27" s="2"/>
      <c r="K27" s="24"/>
      <c r="L27" s="10" t="e">
        <f>_xlfn.XLOOKUP(K27,Ташкилотлар39[Ташкилотлар],Ташкилотлар39[TashklilotID])</f>
        <v>#N/A</v>
      </c>
      <c r="M27" s="26"/>
      <c r="N27" s="26"/>
      <c r="O27" s="24"/>
      <c r="P27" s="2"/>
      <c r="Q27" s="26"/>
      <c r="R27" s="26"/>
      <c r="S27" s="26"/>
      <c r="T27" s="26"/>
      <c r="U27" s="24"/>
      <c r="V27" s="10" t="e">
        <f>_xlfn.XLOOKUP(U27,Таклифлар37[Таклифлар],Таклифлар37[TaklifID])</f>
        <v>#N/A</v>
      </c>
      <c r="W27" s="24"/>
      <c r="X27" s="23"/>
      <c r="Y27" s="7"/>
      <c r="Z27" s="26"/>
      <c r="AB27" s="23"/>
      <c r="AD27" s="2"/>
      <c r="AF27" s="2"/>
      <c r="AG27" s="23"/>
      <c r="AI27" s="26"/>
      <c r="AJ27" s="23"/>
      <c r="AK27" s="2"/>
      <c r="AM27" s="23"/>
      <c r="AO27" s="32"/>
      <c r="AP27" s="26"/>
      <c r="AR27" s="26"/>
      <c r="AS27" s="24"/>
      <c r="AT27" s="24"/>
      <c r="AU27" s="31"/>
      <c r="AV27" s="24"/>
      <c r="AW27"/>
      <c r="AX27"/>
      <c r="AY27"/>
      <c r="AZ27"/>
      <c r="BA27"/>
      <c r="BB27"/>
      <c r="BC27"/>
      <c r="BD27"/>
      <c r="BE27"/>
      <c r="BF27"/>
      <c r="BG27"/>
    </row>
    <row r="28" spans="1:59" x14ac:dyDescent="0.25">
      <c r="A28" s="2"/>
      <c r="B28" s="22"/>
      <c r="C28" s="23"/>
      <c r="D28" s="2"/>
      <c r="E28" s="23"/>
      <c r="F28" s="24"/>
      <c r="G28" s="2"/>
      <c r="H28" s="10" t="e">
        <f>_xlfn.XLOOKUP(F28,Viloyatlar24[RegionName],Viloyatlar24[RegionId])</f>
        <v>#N/A</v>
      </c>
      <c r="I28" s="10" t="e">
        <f>_xlfn.XLOOKUP('Кўчмас мулк объектлари'!G28,Tumanlar23[DistrictName],Tumanlar23[DistrictId])</f>
        <v>#N/A</v>
      </c>
      <c r="J28" s="2"/>
      <c r="K28" s="24"/>
      <c r="L28" s="10" t="e">
        <f>_xlfn.XLOOKUP(K28,Ташкилотлар39[Ташкилотлар],Ташкилотлар39[TashklilotID])</f>
        <v>#N/A</v>
      </c>
      <c r="M28" s="26"/>
      <c r="N28" s="26"/>
      <c r="O28" s="24"/>
      <c r="P28" s="2"/>
      <c r="Q28" s="26"/>
      <c r="R28" s="26"/>
      <c r="S28" s="26"/>
      <c r="T28" s="26"/>
      <c r="U28" s="24"/>
      <c r="V28" s="10" t="e">
        <f>_xlfn.XLOOKUP(U28,Таклифлар37[Таклифлар],Таклифлар37[TaklifID])</f>
        <v>#N/A</v>
      </c>
      <c r="W28" s="24"/>
      <c r="X28" s="23"/>
      <c r="Y28" s="7"/>
      <c r="Z28" s="26"/>
      <c r="AB28" s="23"/>
      <c r="AD28" s="2"/>
      <c r="AF28" s="2"/>
      <c r="AG28" s="23"/>
      <c r="AI28" s="26"/>
      <c r="AJ28" s="23"/>
      <c r="AK28" s="2"/>
      <c r="AM28" s="23"/>
      <c r="AO28" s="32"/>
      <c r="AP28" s="26"/>
      <c r="AR28" s="26"/>
      <c r="AS28" s="24"/>
      <c r="AT28" s="24"/>
      <c r="AU28" s="31"/>
      <c r="AV28" s="24"/>
      <c r="AW28"/>
      <c r="AX28"/>
      <c r="AY28"/>
      <c r="AZ28"/>
      <c r="BA28"/>
      <c r="BB28"/>
      <c r="BC28"/>
      <c r="BD28"/>
      <c r="BE28"/>
      <c r="BF28"/>
      <c r="BG28"/>
    </row>
    <row r="29" spans="1:59" x14ac:dyDescent="0.25">
      <c r="A29" s="2"/>
      <c r="B29" s="22"/>
      <c r="C29" s="23"/>
      <c r="D29" s="2"/>
      <c r="E29" s="23"/>
      <c r="F29" s="24"/>
      <c r="G29" s="2"/>
      <c r="H29" s="10" t="e">
        <f>_xlfn.XLOOKUP(F29,Viloyatlar24[RegionName],Viloyatlar24[RegionId])</f>
        <v>#N/A</v>
      </c>
      <c r="I29" s="10" t="e">
        <f>_xlfn.XLOOKUP('Кўчмас мулк объектлари'!G29,Tumanlar23[DistrictName],Tumanlar23[DistrictId])</f>
        <v>#N/A</v>
      </c>
      <c r="J29" s="2"/>
      <c r="K29" s="24"/>
      <c r="L29" s="10" t="e">
        <f>_xlfn.XLOOKUP(K29,Ташкилотлар39[Ташкилотлар],Ташкилотлар39[TashklilotID])</f>
        <v>#N/A</v>
      </c>
      <c r="M29" s="26"/>
      <c r="N29" s="26"/>
      <c r="O29" s="24"/>
      <c r="P29" s="2"/>
      <c r="Q29" s="26"/>
      <c r="R29" s="26"/>
      <c r="S29" s="26"/>
      <c r="T29" s="26"/>
      <c r="U29" s="24"/>
      <c r="V29" s="10" t="e">
        <f>_xlfn.XLOOKUP(U29,Таклифлар37[Таклифлар],Таклифлар37[TaklifID])</f>
        <v>#N/A</v>
      </c>
      <c r="W29" s="24"/>
      <c r="X29" s="23"/>
      <c r="Y29" s="7"/>
      <c r="Z29" s="26"/>
      <c r="AB29" s="23"/>
      <c r="AD29" s="2"/>
      <c r="AF29" s="2"/>
      <c r="AG29" s="23"/>
      <c r="AI29" s="26"/>
      <c r="AJ29" s="23"/>
      <c r="AK29" s="2"/>
      <c r="AM29" s="23"/>
      <c r="AO29" s="32"/>
      <c r="AP29" s="26"/>
      <c r="AR29" s="26"/>
      <c r="AS29" s="24"/>
      <c r="AT29" s="24"/>
      <c r="AU29" s="31"/>
      <c r="AV29" s="24"/>
      <c r="AW29"/>
      <c r="AX29"/>
      <c r="AY29"/>
      <c r="AZ29"/>
      <c r="BA29"/>
      <c r="BB29"/>
      <c r="BC29"/>
      <c r="BD29"/>
      <c r="BE29"/>
      <c r="BF29"/>
      <c r="BG29"/>
    </row>
    <row r="30" spans="1:59" x14ac:dyDescent="0.25">
      <c r="A30" s="2"/>
      <c r="B30" s="22"/>
      <c r="C30" s="23"/>
      <c r="D30" s="2"/>
      <c r="E30" s="23"/>
      <c r="F30" s="24"/>
      <c r="G30" s="2"/>
      <c r="H30" s="10" t="e">
        <f>_xlfn.XLOOKUP(F30,Viloyatlar24[RegionName],Viloyatlar24[RegionId])</f>
        <v>#N/A</v>
      </c>
      <c r="I30" s="10" t="e">
        <f>_xlfn.XLOOKUP('Кўчмас мулк объектлари'!G30,Tumanlar23[DistrictName],Tumanlar23[DistrictId])</f>
        <v>#N/A</v>
      </c>
      <c r="J30" s="2"/>
      <c r="K30" s="24"/>
      <c r="L30" s="10" t="e">
        <f>_xlfn.XLOOKUP(K30,Ташкилотлар39[Ташкилотлар],Ташкилотлар39[TashklilotID])</f>
        <v>#N/A</v>
      </c>
      <c r="M30" s="26"/>
      <c r="N30" s="26"/>
      <c r="O30" s="24"/>
      <c r="P30" s="2"/>
      <c r="Q30" s="26"/>
      <c r="R30" s="26"/>
      <c r="S30" s="26"/>
      <c r="T30" s="26"/>
      <c r="U30" s="24"/>
      <c r="V30" s="10" t="e">
        <f>_xlfn.XLOOKUP(U30,Таклифлар37[Таклифлар],Таклифлар37[TaklifID])</f>
        <v>#N/A</v>
      </c>
      <c r="W30" s="24"/>
      <c r="X30" s="23"/>
      <c r="Y30" s="7"/>
      <c r="Z30" s="26"/>
      <c r="AB30" s="23"/>
      <c r="AD30" s="2"/>
      <c r="AF30" s="2"/>
      <c r="AG30" s="23"/>
      <c r="AI30" s="26"/>
      <c r="AJ30" s="23"/>
      <c r="AK30" s="2"/>
      <c r="AM30" s="23"/>
      <c r="AO30" s="32"/>
      <c r="AP30" s="26"/>
      <c r="AR30" s="26"/>
      <c r="AS30" s="24"/>
      <c r="AT30" s="24"/>
      <c r="AU30" s="31"/>
      <c r="AV30" s="24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2"/>
      <c r="B31" s="22"/>
      <c r="C31" s="23"/>
      <c r="D31" s="2"/>
      <c r="E31" s="23"/>
      <c r="F31" s="24"/>
      <c r="G31" s="2"/>
      <c r="H31" s="10" t="e">
        <f>_xlfn.XLOOKUP(F31,Viloyatlar24[RegionName],Viloyatlar24[RegionId])</f>
        <v>#N/A</v>
      </c>
      <c r="I31" s="10" t="e">
        <f>_xlfn.XLOOKUP('Кўчмас мулк объектлари'!G31,Tumanlar23[DistrictName],Tumanlar23[DistrictId])</f>
        <v>#N/A</v>
      </c>
      <c r="J31" s="2"/>
      <c r="K31" s="24"/>
      <c r="L31" s="10" t="e">
        <f>_xlfn.XLOOKUP(K31,Ташкилотлар39[Ташкилотлар],Ташкилотлар39[TashklilotID])</f>
        <v>#N/A</v>
      </c>
      <c r="M31" s="26"/>
      <c r="N31" s="26"/>
      <c r="O31" s="24"/>
      <c r="P31" s="2"/>
      <c r="Q31" s="26"/>
      <c r="R31" s="26"/>
      <c r="S31" s="26"/>
      <c r="T31" s="26"/>
      <c r="U31" s="24"/>
      <c r="V31" s="10" t="e">
        <f>_xlfn.XLOOKUP(U31,Таклифлар37[Таклифлар],Таклифлар37[TaklifID])</f>
        <v>#N/A</v>
      </c>
      <c r="W31" s="24"/>
      <c r="X31" s="23"/>
      <c r="Y31" s="7"/>
      <c r="Z31" s="26"/>
      <c r="AB31" s="23"/>
      <c r="AD31" s="2"/>
      <c r="AF31" s="2"/>
      <c r="AG31" s="23"/>
      <c r="AI31" s="26"/>
      <c r="AJ31" s="23"/>
      <c r="AK31" s="2"/>
      <c r="AM31" s="23"/>
      <c r="AO31" s="32"/>
      <c r="AP31" s="26"/>
      <c r="AR31" s="26"/>
      <c r="AS31" s="24"/>
      <c r="AT31" s="24"/>
      <c r="AU31" s="31"/>
      <c r="AV31" s="24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 s="2"/>
      <c r="B32" s="22"/>
      <c r="C32" s="23"/>
      <c r="D32" s="2"/>
      <c r="E32" s="23"/>
      <c r="F32" s="24"/>
      <c r="G32" s="2"/>
      <c r="H32" s="10" t="e">
        <f>_xlfn.XLOOKUP(F32,Viloyatlar24[RegionName],Viloyatlar24[RegionId])</f>
        <v>#N/A</v>
      </c>
      <c r="I32" s="10" t="e">
        <f>_xlfn.XLOOKUP('Кўчмас мулк объектлари'!G32,Tumanlar23[DistrictName],Tumanlar23[DistrictId])</f>
        <v>#N/A</v>
      </c>
      <c r="J32" s="2"/>
      <c r="K32" s="24"/>
      <c r="L32" s="10" t="e">
        <f>_xlfn.XLOOKUP(K32,Ташкилотлар39[Ташкилотлар],Ташкилотлар39[TashklilotID])</f>
        <v>#N/A</v>
      </c>
      <c r="M32" s="26"/>
      <c r="N32" s="26"/>
      <c r="O32" s="24"/>
      <c r="P32" s="2"/>
      <c r="Q32" s="26"/>
      <c r="R32" s="26"/>
      <c r="S32" s="26"/>
      <c r="T32" s="26"/>
      <c r="U32" s="24"/>
      <c r="V32" s="10" t="e">
        <f>_xlfn.XLOOKUP(U32,Таклифлар37[Таклифлар],Таклифлар37[TaklifID])</f>
        <v>#N/A</v>
      </c>
      <c r="W32" s="24"/>
      <c r="X32" s="23"/>
      <c r="Y32" s="7"/>
      <c r="Z32" s="26"/>
      <c r="AB32" s="23"/>
      <c r="AD32" s="2"/>
      <c r="AF32" s="2"/>
      <c r="AG32" s="23"/>
      <c r="AI32" s="26"/>
      <c r="AJ32" s="23"/>
      <c r="AK32" s="2"/>
      <c r="AM32" s="23"/>
      <c r="AO32" s="32"/>
      <c r="AP32" s="26"/>
      <c r="AR32" s="26"/>
      <c r="AS32" s="24"/>
      <c r="AT32" s="24"/>
      <c r="AU32" s="31"/>
      <c r="AV32" s="24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 s="2"/>
      <c r="B33" s="22"/>
      <c r="C33" s="23"/>
      <c r="D33" s="2"/>
      <c r="E33" s="23"/>
      <c r="F33" s="24"/>
      <c r="G33" s="2"/>
      <c r="H33" s="10" t="e">
        <f>_xlfn.XLOOKUP(F33,Viloyatlar24[RegionName],Viloyatlar24[RegionId])</f>
        <v>#N/A</v>
      </c>
      <c r="I33" s="10" t="e">
        <f>_xlfn.XLOOKUP('Кўчмас мулк объектлари'!G33,Tumanlar23[DistrictName],Tumanlar23[DistrictId])</f>
        <v>#N/A</v>
      </c>
      <c r="J33" s="2"/>
      <c r="K33" s="24"/>
      <c r="L33" s="10" t="e">
        <f>_xlfn.XLOOKUP(K33,Ташкилотлар39[Ташкилотлар],Ташкилотлар39[TashklilotID])</f>
        <v>#N/A</v>
      </c>
      <c r="M33" s="26"/>
      <c r="N33" s="26"/>
      <c r="O33" s="24"/>
      <c r="P33" s="2"/>
      <c r="Q33" s="26"/>
      <c r="R33" s="26"/>
      <c r="S33" s="26"/>
      <c r="T33" s="26"/>
      <c r="U33" s="24"/>
      <c r="V33" s="10" t="e">
        <f>_xlfn.XLOOKUP(U33,Таклифлар37[Таклифлар],Таклифлар37[TaklifID])</f>
        <v>#N/A</v>
      </c>
      <c r="W33" s="24"/>
      <c r="X33" s="23"/>
      <c r="Y33" s="7"/>
      <c r="Z33" s="26"/>
      <c r="AB33" s="23"/>
      <c r="AD33" s="2"/>
      <c r="AF33" s="2"/>
      <c r="AG33" s="23"/>
      <c r="AI33" s="26"/>
      <c r="AJ33" s="23"/>
      <c r="AK33" s="2"/>
      <c r="AM33" s="23"/>
      <c r="AO33" s="32"/>
      <c r="AP33" s="26"/>
      <c r="AR33" s="26"/>
      <c r="AS33" s="24"/>
      <c r="AT33" s="24"/>
      <c r="AU33" s="31"/>
      <c r="AV33" s="24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 s="2"/>
      <c r="B34" s="22"/>
      <c r="C34" s="23"/>
      <c r="D34" s="2"/>
      <c r="E34" s="23"/>
      <c r="F34" s="24"/>
      <c r="G34" s="2"/>
      <c r="H34" s="10" t="e">
        <f>_xlfn.XLOOKUP(F34,Viloyatlar24[RegionName],Viloyatlar24[RegionId])</f>
        <v>#N/A</v>
      </c>
      <c r="I34" s="10" t="e">
        <f>_xlfn.XLOOKUP('Кўчмас мулк объектлари'!G34,Tumanlar23[DistrictName],Tumanlar23[DistrictId])</f>
        <v>#N/A</v>
      </c>
      <c r="J34" s="2"/>
      <c r="K34" s="24"/>
      <c r="L34" s="10" t="e">
        <f>_xlfn.XLOOKUP(K34,Ташкилотлар39[Ташкилотлар],Ташкилотлар39[TashklilotID])</f>
        <v>#N/A</v>
      </c>
      <c r="M34" s="26"/>
      <c r="N34" s="26"/>
      <c r="O34" s="24"/>
      <c r="P34" s="2"/>
      <c r="Q34" s="26"/>
      <c r="R34" s="26"/>
      <c r="S34" s="26"/>
      <c r="T34" s="26"/>
      <c r="U34" s="24"/>
      <c r="V34" s="10" t="e">
        <f>_xlfn.XLOOKUP(U34,Таклифлар37[Таклифлар],Таклифлар37[TaklifID])</f>
        <v>#N/A</v>
      </c>
      <c r="W34" s="24"/>
      <c r="X34" s="23"/>
      <c r="Y34" s="7"/>
      <c r="Z34" s="26"/>
      <c r="AB34" s="23"/>
      <c r="AD34" s="2"/>
      <c r="AF34" s="2"/>
      <c r="AG34" s="23"/>
      <c r="AI34" s="26"/>
      <c r="AJ34" s="23"/>
      <c r="AK34" s="2"/>
      <c r="AM34" s="23"/>
      <c r="AO34" s="32"/>
      <c r="AP34" s="26"/>
      <c r="AR34" s="26"/>
      <c r="AS34" s="24"/>
      <c r="AT34" s="24"/>
      <c r="AU34" s="31"/>
      <c r="AV34" s="2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 s="2"/>
      <c r="B35" s="22"/>
      <c r="C35" s="23"/>
      <c r="D35" s="2"/>
      <c r="E35" s="23"/>
      <c r="F35" s="24"/>
      <c r="G35" s="2"/>
      <c r="H35" s="10" t="e">
        <f>_xlfn.XLOOKUP(F35,Viloyatlar24[RegionName],Viloyatlar24[RegionId])</f>
        <v>#N/A</v>
      </c>
      <c r="I35" s="10" t="e">
        <f>_xlfn.XLOOKUP('Кўчмас мулк объектлари'!G35,Tumanlar23[DistrictName],Tumanlar23[DistrictId])</f>
        <v>#N/A</v>
      </c>
      <c r="J35" s="2"/>
      <c r="K35" s="24"/>
      <c r="L35" s="10" t="e">
        <f>_xlfn.XLOOKUP(K35,Ташкилотлар39[Ташкилотлар],Ташкилотлар39[TashklilotID])</f>
        <v>#N/A</v>
      </c>
      <c r="M35" s="26"/>
      <c r="N35" s="26"/>
      <c r="O35" s="24"/>
      <c r="P35" s="2"/>
      <c r="Q35" s="26"/>
      <c r="R35" s="26"/>
      <c r="S35" s="26"/>
      <c r="T35" s="26"/>
      <c r="U35" s="24"/>
      <c r="V35" s="10" t="e">
        <f>_xlfn.XLOOKUP(U35,Таклифлар37[Таклифлар],Таклифлар37[TaklifID])</f>
        <v>#N/A</v>
      </c>
      <c r="W35" s="24"/>
      <c r="X35" s="23"/>
      <c r="Y35" s="7"/>
      <c r="Z35" s="26"/>
      <c r="AB35" s="23"/>
      <c r="AD35" s="2"/>
      <c r="AF35" s="2"/>
      <c r="AG35" s="23"/>
      <c r="AI35" s="26"/>
      <c r="AJ35" s="23"/>
      <c r="AK35" s="2"/>
      <c r="AM35" s="23"/>
      <c r="AO35" s="32"/>
      <c r="AP35" s="26"/>
      <c r="AR35" s="26"/>
      <c r="AS35" s="24"/>
      <c r="AT35" s="24"/>
      <c r="AU35" s="31"/>
      <c r="AV35" s="24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 s="2"/>
      <c r="B36" s="22"/>
      <c r="C36" s="23"/>
      <c r="D36" s="2"/>
      <c r="E36" s="23"/>
      <c r="F36" s="24"/>
      <c r="G36" s="2"/>
      <c r="H36" s="10" t="e">
        <f>_xlfn.XLOOKUP(F36,Viloyatlar24[RegionName],Viloyatlar24[RegionId])</f>
        <v>#N/A</v>
      </c>
      <c r="I36" s="10" t="e">
        <f>_xlfn.XLOOKUP('Кўчмас мулк объектлари'!G36,Tumanlar23[DistrictName],Tumanlar23[DistrictId])</f>
        <v>#N/A</v>
      </c>
      <c r="J36" s="2"/>
      <c r="K36" s="24"/>
      <c r="L36" s="10" t="e">
        <f>_xlfn.XLOOKUP(K36,Ташкилотлар39[Ташкилотлар],Ташкилотлар39[TashklilotID])</f>
        <v>#N/A</v>
      </c>
      <c r="M36" s="26"/>
      <c r="N36" s="26"/>
      <c r="O36" s="24"/>
      <c r="P36" s="2"/>
      <c r="Q36" s="26"/>
      <c r="R36" s="26"/>
      <c r="S36" s="26"/>
      <c r="T36" s="26"/>
      <c r="U36" s="24"/>
      <c r="V36" s="10" t="e">
        <f>_xlfn.XLOOKUP(U36,Таклифлар37[Таклифлар],Таклифлар37[TaklifID])</f>
        <v>#N/A</v>
      </c>
      <c r="W36" s="24"/>
      <c r="X36" s="23"/>
      <c r="Y36" s="7"/>
      <c r="Z36" s="26"/>
      <c r="AB36" s="23"/>
      <c r="AD36" s="2"/>
      <c r="AF36" s="2"/>
      <c r="AG36" s="23"/>
      <c r="AI36" s="26"/>
      <c r="AJ36" s="23"/>
      <c r="AK36" s="2"/>
      <c r="AM36" s="23"/>
      <c r="AO36" s="32"/>
      <c r="AP36" s="26"/>
      <c r="AR36" s="26"/>
      <c r="AS36" s="24"/>
      <c r="AT36" s="24"/>
      <c r="AU36" s="31"/>
      <c r="AV36" s="24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 s="2"/>
      <c r="B37" s="22"/>
      <c r="C37" s="23"/>
      <c r="D37" s="2"/>
      <c r="E37" s="23"/>
      <c r="F37" s="24"/>
      <c r="G37" s="2"/>
      <c r="H37" s="10" t="e">
        <f>_xlfn.XLOOKUP(F37,Viloyatlar24[RegionName],Viloyatlar24[RegionId])</f>
        <v>#N/A</v>
      </c>
      <c r="I37" s="10" t="e">
        <f>_xlfn.XLOOKUP('Кўчмас мулк объектлари'!G37,Tumanlar23[DistrictName],Tumanlar23[DistrictId])</f>
        <v>#N/A</v>
      </c>
      <c r="J37" s="2"/>
      <c r="K37" s="24"/>
      <c r="L37" s="10" t="e">
        <f>_xlfn.XLOOKUP(K37,Ташкилотлар39[Ташкилотлар],Ташкилотлар39[TashklilotID])</f>
        <v>#N/A</v>
      </c>
      <c r="M37" s="26"/>
      <c r="N37" s="26"/>
      <c r="O37" s="24"/>
      <c r="P37" s="2"/>
      <c r="Q37" s="26"/>
      <c r="R37" s="26"/>
      <c r="S37" s="26"/>
      <c r="T37" s="26"/>
      <c r="U37" s="24"/>
      <c r="V37" s="10" t="e">
        <f>_xlfn.XLOOKUP(U37,Таклифлар37[Таклифлар],Таклифлар37[TaklifID])</f>
        <v>#N/A</v>
      </c>
      <c r="W37" s="24"/>
      <c r="X37" s="23"/>
      <c r="Y37" s="7"/>
      <c r="Z37" s="26"/>
      <c r="AB37" s="23"/>
      <c r="AD37" s="2"/>
      <c r="AF37" s="2"/>
      <c r="AG37" s="23"/>
      <c r="AI37" s="26"/>
      <c r="AJ37" s="23"/>
      <c r="AK37" s="2"/>
      <c r="AM37" s="23"/>
      <c r="AO37" s="32"/>
      <c r="AP37" s="26"/>
      <c r="AR37" s="26"/>
      <c r="AS37" s="24"/>
      <c r="AT37" s="24"/>
      <c r="AU37" s="31"/>
      <c r="AV37" s="24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 s="2"/>
      <c r="B38" s="22"/>
      <c r="C38" s="23"/>
      <c r="D38" s="2"/>
      <c r="E38" s="23"/>
      <c r="F38" s="24"/>
      <c r="G38" s="2"/>
      <c r="H38" s="10" t="e">
        <f>_xlfn.XLOOKUP(F38,Viloyatlar24[RegionName],Viloyatlar24[RegionId])</f>
        <v>#N/A</v>
      </c>
      <c r="I38" s="10" t="e">
        <f>_xlfn.XLOOKUP('Кўчмас мулк объектлари'!G38,Tumanlar23[DistrictName],Tumanlar23[DistrictId])</f>
        <v>#N/A</v>
      </c>
      <c r="J38" s="2"/>
      <c r="K38" s="24"/>
      <c r="L38" s="10" t="e">
        <f>_xlfn.XLOOKUP(K38,Ташкилотлар39[Ташкилотлар],Ташкилотлар39[TashklilotID])</f>
        <v>#N/A</v>
      </c>
      <c r="M38" s="26"/>
      <c r="N38" s="26"/>
      <c r="O38" s="24"/>
      <c r="P38" s="2"/>
      <c r="Q38" s="26"/>
      <c r="R38" s="26"/>
      <c r="S38" s="26"/>
      <c r="T38" s="26"/>
      <c r="U38" s="24"/>
      <c r="V38" s="10" t="e">
        <f>_xlfn.XLOOKUP(U38,Таклифлар37[Таклифлар],Таклифлар37[TaklifID])</f>
        <v>#N/A</v>
      </c>
      <c r="W38" s="24"/>
      <c r="X38" s="23"/>
      <c r="Y38" s="7"/>
      <c r="Z38" s="26"/>
      <c r="AB38" s="23"/>
      <c r="AD38" s="2"/>
      <c r="AF38" s="2"/>
      <c r="AG38" s="23"/>
      <c r="AI38" s="26"/>
      <c r="AJ38" s="23"/>
      <c r="AK38" s="2"/>
      <c r="AM38" s="23"/>
      <c r="AO38" s="32"/>
      <c r="AP38" s="26"/>
      <c r="AR38" s="26"/>
      <c r="AS38" s="24"/>
      <c r="AT38" s="24"/>
      <c r="AU38" s="31"/>
      <c r="AV38" s="24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 s="2"/>
      <c r="B39" s="22"/>
      <c r="C39" s="23"/>
      <c r="D39" s="2"/>
      <c r="E39" s="23"/>
      <c r="F39" s="24"/>
      <c r="G39" s="2"/>
      <c r="H39" s="10" t="e">
        <f>_xlfn.XLOOKUP(F39,Viloyatlar24[RegionName],Viloyatlar24[RegionId])</f>
        <v>#N/A</v>
      </c>
      <c r="I39" s="10" t="e">
        <f>_xlfn.XLOOKUP('Кўчмас мулк объектлари'!G39,Tumanlar23[DistrictName],Tumanlar23[DistrictId])</f>
        <v>#N/A</v>
      </c>
      <c r="J39" s="2"/>
      <c r="K39" s="24"/>
      <c r="L39" s="10" t="e">
        <f>_xlfn.XLOOKUP(K39,Ташкилотлар39[Ташкилотлар],Ташкилотлар39[TashklilotID])</f>
        <v>#N/A</v>
      </c>
      <c r="M39" s="26"/>
      <c r="N39" s="26"/>
      <c r="O39" s="24"/>
      <c r="P39" s="2"/>
      <c r="Q39" s="26"/>
      <c r="R39" s="26"/>
      <c r="S39" s="26"/>
      <c r="T39" s="26"/>
      <c r="U39" s="24"/>
      <c r="V39" s="10" t="e">
        <f>_xlfn.XLOOKUP(U39,Таклифлар37[Таклифлар],Таклифлар37[TaklifID])</f>
        <v>#N/A</v>
      </c>
      <c r="W39" s="24"/>
      <c r="X39" s="23"/>
      <c r="Y39" s="7"/>
      <c r="Z39" s="26"/>
      <c r="AB39" s="23"/>
      <c r="AD39" s="2"/>
      <c r="AF39" s="2"/>
      <c r="AG39" s="23"/>
      <c r="AI39" s="26"/>
      <c r="AJ39" s="23"/>
      <c r="AK39" s="2"/>
      <c r="AM39" s="23"/>
      <c r="AO39" s="32"/>
      <c r="AP39" s="26"/>
      <c r="AR39" s="26"/>
      <c r="AS39" s="24"/>
      <c r="AT39" s="24"/>
      <c r="AU39" s="31"/>
      <c r="AV39" s="24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 s="2"/>
      <c r="B40" s="22"/>
      <c r="C40" s="23"/>
      <c r="D40" s="2"/>
      <c r="E40" s="23"/>
      <c r="F40" s="24"/>
      <c r="G40" s="2"/>
      <c r="H40" s="10" t="e">
        <f>_xlfn.XLOOKUP(F40,Viloyatlar24[RegionName],Viloyatlar24[RegionId])</f>
        <v>#N/A</v>
      </c>
      <c r="I40" s="10" t="e">
        <f>_xlfn.XLOOKUP('Кўчмас мулк объектлари'!G40,Tumanlar23[DistrictName],Tumanlar23[DistrictId])</f>
        <v>#N/A</v>
      </c>
      <c r="J40" s="2"/>
      <c r="K40" s="24"/>
      <c r="L40" s="10" t="e">
        <f>_xlfn.XLOOKUP(K40,Ташкилотлар39[Ташкилотлар],Ташкилотлар39[TashklilotID])</f>
        <v>#N/A</v>
      </c>
      <c r="M40" s="26"/>
      <c r="N40" s="26"/>
      <c r="O40" s="24"/>
      <c r="P40" s="2"/>
      <c r="Q40" s="26"/>
      <c r="R40" s="26"/>
      <c r="S40" s="26"/>
      <c r="T40" s="26"/>
      <c r="U40" s="24"/>
      <c r="V40" s="10" t="e">
        <f>_xlfn.XLOOKUP(U40,Таклифлар37[Таклифлар],Таклифлар37[TaklifID])</f>
        <v>#N/A</v>
      </c>
      <c r="W40" s="24"/>
      <c r="X40" s="23"/>
      <c r="Y40" s="7"/>
      <c r="Z40" s="26"/>
      <c r="AB40" s="23"/>
      <c r="AD40" s="2"/>
      <c r="AF40" s="2"/>
      <c r="AG40" s="23"/>
      <c r="AI40" s="26"/>
      <c r="AJ40" s="23"/>
      <c r="AK40" s="2"/>
      <c r="AM40" s="23"/>
      <c r="AO40" s="32"/>
      <c r="AP40" s="26"/>
      <c r="AR40" s="26"/>
      <c r="AS40" s="24"/>
      <c r="AT40" s="24"/>
      <c r="AU40" s="31"/>
      <c r="AV40" s="24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 s="2"/>
      <c r="B41" s="22"/>
      <c r="C41" s="23"/>
      <c r="D41" s="2"/>
      <c r="E41" s="23"/>
      <c r="F41" s="24"/>
      <c r="G41" s="2"/>
      <c r="H41" s="10" t="e">
        <f>_xlfn.XLOOKUP(F41,Viloyatlar24[RegionName],Viloyatlar24[RegionId])</f>
        <v>#N/A</v>
      </c>
      <c r="I41" s="10" t="e">
        <f>_xlfn.XLOOKUP('Кўчмас мулк объектлари'!G41,Tumanlar23[DistrictName],Tumanlar23[DistrictId])</f>
        <v>#N/A</v>
      </c>
      <c r="J41" s="2"/>
      <c r="K41" s="24"/>
      <c r="L41" s="10" t="e">
        <f>_xlfn.XLOOKUP(K41,Ташкилотлар39[Ташкилотлар],Ташкилотлар39[TashklilotID])</f>
        <v>#N/A</v>
      </c>
      <c r="M41" s="26"/>
      <c r="N41" s="26"/>
      <c r="O41" s="24"/>
      <c r="P41" s="2"/>
      <c r="Q41" s="26"/>
      <c r="R41" s="26"/>
      <c r="S41" s="26"/>
      <c r="T41" s="26"/>
      <c r="U41" s="24"/>
      <c r="V41" s="10" t="e">
        <f>_xlfn.XLOOKUP(U41,Таклифлар37[Таклифлар],Таклифлар37[TaklifID])</f>
        <v>#N/A</v>
      </c>
      <c r="W41" s="24"/>
      <c r="X41" s="23"/>
      <c r="Y41" s="7"/>
      <c r="Z41" s="26"/>
      <c r="AB41" s="23"/>
      <c r="AD41" s="2"/>
      <c r="AF41" s="2"/>
      <c r="AG41" s="23"/>
      <c r="AI41" s="26"/>
      <c r="AJ41" s="23"/>
      <c r="AK41" s="2"/>
      <c r="AM41" s="23"/>
      <c r="AO41" s="32"/>
      <c r="AP41" s="26"/>
      <c r="AR41" s="26"/>
      <c r="AS41" s="24"/>
      <c r="AT41" s="24"/>
      <c r="AU41" s="31"/>
      <c r="AV41" s="24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 s="2"/>
      <c r="B42" s="22"/>
      <c r="C42" s="23"/>
      <c r="D42" s="2"/>
      <c r="E42" s="23"/>
      <c r="F42" s="24"/>
      <c r="G42" s="2"/>
      <c r="H42" s="10" t="e">
        <f>_xlfn.XLOOKUP(F42,Viloyatlar24[RegionName],Viloyatlar24[RegionId])</f>
        <v>#N/A</v>
      </c>
      <c r="I42" s="10" t="e">
        <f>_xlfn.XLOOKUP('Кўчмас мулк объектлари'!G42,Tumanlar23[DistrictName],Tumanlar23[DistrictId])</f>
        <v>#N/A</v>
      </c>
      <c r="J42" s="2"/>
      <c r="K42" s="24"/>
      <c r="L42" s="10" t="e">
        <f>_xlfn.XLOOKUP(K42,Ташкилотлар39[Ташкилотлар],Ташкилотлар39[TashklilotID])</f>
        <v>#N/A</v>
      </c>
      <c r="M42" s="26"/>
      <c r="N42" s="26"/>
      <c r="O42" s="24"/>
      <c r="P42" s="2"/>
      <c r="Q42" s="26"/>
      <c r="R42" s="26"/>
      <c r="S42" s="26"/>
      <c r="T42" s="26"/>
      <c r="U42" s="24"/>
      <c r="V42" s="10" t="e">
        <f>_xlfn.XLOOKUP(U42,Таклифлар37[Таклифлар],Таклифлар37[TaklifID])</f>
        <v>#N/A</v>
      </c>
      <c r="W42" s="24"/>
      <c r="X42" s="23"/>
      <c r="Y42" s="7"/>
      <c r="Z42" s="26"/>
      <c r="AB42" s="23"/>
      <c r="AD42" s="2"/>
      <c r="AF42" s="2"/>
      <c r="AG42" s="23"/>
      <c r="AI42" s="26"/>
      <c r="AJ42" s="23"/>
      <c r="AK42" s="2"/>
      <c r="AM42" s="23"/>
      <c r="AO42" s="32"/>
      <c r="AP42" s="26"/>
      <c r="AR42" s="26"/>
      <c r="AS42" s="24"/>
      <c r="AT42" s="24"/>
      <c r="AU42" s="31"/>
      <c r="AV42" s="24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 s="2"/>
      <c r="B43" s="22"/>
      <c r="C43" s="23"/>
      <c r="D43" s="2"/>
      <c r="E43" s="23"/>
      <c r="F43" s="24"/>
      <c r="G43" s="2"/>
      <c r="H43" s="10" t="e">
        <f>_xlfn.XLOOKUP(F43,Viloyatlar24[RegionName],Viloyatlar24[RegionId])</f>
        <v>#N/A</v>
      </c>
      <c r="I43" s="10" t="e">
        <f>_xlfn.XLOOKUP('Кўчмас мулк объектлари'!G43,Tumanlar23[DistrictName],Tumanlar23[DistrictId])</f>
        <v>#N/A</v>
      </c>
      <c r="J43" s="2"/>
      <c r="K43" s="24"/>
      <c r="L43" s="10" t="e">
        <f>_xlfn.XLOOKUP(K43,Ташкилотлар39[Ташкилотлар],Ташкилотлар39[TashklilotID])</f>
        <v>#N/A</v>
      </c>
      <c r="M43" s="26"/>
      <c r="N43" s="26"/>
      <c r="O43" s="24"/>
      <c r="P43" s="2"/>
      <c r="Q43" s="26"/>
      <c r="R43" s="26"/>
      <c r="S43" s="26"/>
      <c r="T43" s="26"/>
      <c r="U43" s="24"/>
      <c r="V43" s="10" t="e">
        <f>_xlfn.XLOOKUP(U43,Таклифлар37[Таклифлар],Таклифлар37[TaklifID])</f>
        <v>#N/A</v>
      </c>
      <c r="W43" s="24"/>
      <c r="X43" s="23"/>
      <c r="Y43" s="7"/>
      <c r="Z43" s="26"/>
      <c r="AB43" s="23"/>
      <c r="AD43" s="2"/>
      <c r="AF43" s="2"/>
      <c r="AG43" s="23"/>
      <c r="AI43" s="26"/>
      <c r="AJ43" s="23"/>
      <c r="AK43" s="2"/>
      <c r="AM43" s="23"/>
      <c r="AO43" s="32"/>
      <c r="AP43" s="26"/>
      <c r="AR43" s="26"/>
      <c r="AS43" s="24"/>
      <c r="AT43" s="24"/>
      <c r="AU43" s="31"/>
      <c r="AV43" s="24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 s="2"/>
      <c r="B44" s="22"/>
      <c r="C44" s="23"/>
      <c r="D44" s="2"/>
      <c r="E44" s="23"/>
      <c r="F44" s="24"/>
      <c r="G44" s="2"/>
      <c r="H44" s="10" t="e">
        <f>_xlfn.XLOOKUP(F44,Viloyatlar24[RegionName],Viloyatlar24[RegionId])</f>
        <v>#N/A</v>
      </c>
      <c r="I44" s="10" t="e">
        <f>_xlfn.XLOOKUP('Кўчмас мулк объектлари'!G44,Tumanlar23[DistrictName],Tumanlar23[DistrictId])</f>
        <v>#N/A</v>
      </c>
      <c r="J44" s="2"/>
      <c r="K44" s="24"/>
      <c r="L44" s="10" t="e">
        <f>_xlfn.XLOOKUP(K44,Ташкилотлар39[Ташкилотлар],Ташкилотлар39[TashklilotID])</f>
        <v>#N/A</v>
      </c>
      <c r="M44" s="26"/>
      <c r="N44" s="26"/>
      <c r="O44" s="24"/>
      <c r="P44" s="2"/>
      <c r="Q44" s="26"/>
      <c r="R44" s="26"/>
      <c r="S44" s="26"/>
      <c r="T44" s="26"/>
      <c r="U44" s="24"/>
      <c r="V44" s="10" t="e">
        <f>_xlfn.XLOOKUP(U44,Таклифлар37[Таклифлар],Таклифлар37[TaklifID])</f>
        <v>#N/A</v>
      </c>
      <c r="W44" s="24"/>
      <c r="X44" s="23"/>
      <c r="Y44" s="7"/>
      <c r="Z44" s="26"/>
      <c r="AB44" s="23"/>
      <c r="AD44" s="2"/>
      <c r="AF44" s="2"/>
      <c r="AG44" s="23"/>
      <c r="AI44" s="26"/>
      <c r="AJ44" s="23"/>
      <c r="AK44" s="2"/>
      <c r="AM44" s="23"/>
      <c r="AO44" s="32"/>
      <c r="AP44" s="26"/>
      <c r="AR44" s="26"/>
      <c r="AS44" s="24"/>
      <c r="AT44" s="24"/>
      <c r="AU44" s="31"/>
      <c r="AV44" s="2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 s="2"/>
      <c r="B45" s="22"/>
      <c r="C45" s="23"/>
      <c r="D45" s="2"/>
      <c r="E45" s="23"/>
      <c r="F45" s="24"/>
      <c r="G45" s="2"/>
      <c r="H45" s="10" t="e">
        <f>_xlfn.XLOOKUP(F45,Viloyatlar24[RegionName],Viloyatlar24[RegionId])</f>
        <v>#N/A</v>
      </c>
      <c r="I45" s="10" t="e">
        <f>_xlfn.XLOOKUP('Кўчмас мулк объектлари'!G45,Tumanlar23[DistrictName],Tumanlar23[DistrictId])</f>
        <v>#N/A</v>
      </c>
      <c r="J45" s="2"/>
      <c r="K45" s="24"/>
      <c r="L45" s="10" t="e">
        <f>_xlfn.XLOOKUP(K45,Ташкилотлар39[Ташкилотлар],Ташкилотлар39[TashklilotID])</f>
        <v>#N/A</v>
      </c>
      <c r="M45" s="26"/>
      <c r="N45" s="26"/>
      <c r="O45" s="24"/>
      <c r="P45" s="2"/>
      <c r="Q45" s="26"/>
      <c r="R45" s="26"/>
      <c r="S45" s="26"/>
      <c r="T45" s="26"/>
      <c r="U45" s="24"/>
      <c r="V45" s="10" t="e">
        <f>_xlfn.XLOOKUP(U45,Таклифлар37[Таклифлар],Таклифлар37[TaklifID])</f>
        <v>#N/A</v>
      </c>
      <c r="W45" s="24"/>
      <c r="X45" s="23"/>
      <c r="Y45" s="7"/>
      <c r="Z45" s="26"/>
      <c r="AB45" s="23"/>
      <c r="AD45" s="2"/>
      <c r="AF45" s="2"/>
      <c r="AG45" s="23"/>
      <c r="AI45" s="26"/>
      <c r="AJ45" s="23"/>
      <c r="AK45" s="2"/>
      <c r="AM45" s="23"/>
      <c r="AO45" s="32"/>
      <c r="AP45" s="26"/>
      <c r="AR45" s="26"/>
      <c r="AS45" s="24"/>
      <c r="AT45" s="24"/>
      <c r="AU45" s="31"/>
      <c r="AV45" s="24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 s="2"/>
      <c r="B46" s="22"/>
      <c r="C46" s="23"/>
      <c r="D46" s="2"/>
      <c r="E46" s="23"/>
      <c r="F46" s="24"/>
      <c r="G46" s="2"/>
      <c r="H46" s="10" t="e">
        <f>_xlfn.XLOOKUP(F46,Viloyatlar24[RegionName],Viloyatlar24[RegionId])</f>
        <v>#N/A</v>
      </c>
      <c r="I46" s="10" t="e">
        <f>_xlfn.XLOOKUP('Кўчмас мулк объектлари'!G46,Tumanlar23[DistrictName],Tumanlar23[DistrictId])</f>
        <v>#N/A</v>
      </c>
      <c r="J46" s="2"/>
      <c r="K46" s="24"/>
      <c r="L46" s="10" t="e">
        <f>_xlfn.XLOOKUP(K46,Ташкилотлар39[Ташкилотлар],Ташкилотлар39[TashklilotID])</f>
        <v>#N/A</v>
      </c>
      <c r="M46" s="26"/>
      <c r="N46" s="26"/>
      <c r="O46" s="24"/>
      <c r="P46" s="2"/>
      <c r="Q46" s="26"/>
      <c r="R46" s="26"/>
      <c r="S46" s="26"/>
      <c r="T46" s="26"/>
      <c r="U46" s="24"/>
      <c r="V46" s="10" t="e">
        <f>_xlfn.XLOOKUP(U46,Таклифлар37[Таклифлар],Таклифлар37[TaklifID])</f>
        <v>#N/A</v>
      </c>
      <c r="W46" s="24"/>
      <c r="X46" s="23"/>
      <c r="Y46" s="7"/>
      <c r="Z46" s="26"/>
      <c r="AB46" s="23"/>
      <c r="AD46" s="2"/>
      <c r="AF46" s="2"/>
      <c r="AG46" s="23"/>
      <c r="AI46" s="26"/>
      <c r="AJ46" s="23"/>
      <c r="AK46" s="2"/>
      <c r="AM46" s="23"/>
      <c r="AO46" s="32"/>
      <c r="AP46" s="26"/>
      <c r="AR46" s="26"/>
      <c r="AS46" s="24"/>
      <c r="AT46" s="24"/>
      <c r="AU46" s="31"/>
      <c r="AV46" s="24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 s="2"/>
      <c r="B47" s="22"/>
      <c r="C47" s="23"/>
      <c r="D47" s="2"/>
      <c r="E47" s="23"/>
      <c r="F47" s="24"/>
      <c r="G47" s="2"/>
      <c r="H47" s="10" t="e">
        <f>_xlfn.XLOOKUP(F47,Viloyatlar24[RegionName],Viloyatlar24[RegionId])</f>
        <v>#N/A</v>
      </c>
      <c r="I47" s="10" t="e">
        <f>_xlfn.XLOOKUP('Кўчмас мулк объектлари'!G47,Tumanlar23[DistrictName],Tumanlar23[DistrictId])</f>
        <v>#N/A</v>
      </c>
      <c r="J47" s="2"/>
      <c r="K47" s="24"/>
      <c r="L47" s="10" t="e">
        <f>_xlfn.XLOOKUP(K47,Ташкилотлар39[Ташкилотлар],Ташкилотлар39[TashklilotID])</f>
        <v>#N/A</v>
      </c>
      <c r="M47" s="26"/>
      <c r="N47" s="26"/>
      <c r="O47" s="24"/>
      <c r="P47" s="2"/>
      <c r="Q47" s="26"/>
      <c r="R47" s="26"/>
      <c r="S47" s="26"/>
      <c r="T47" s="26"/>
      <c r="U47" s="24"/>
      <c r="V47" s="10" t="e">
        <f>_xlfn.XLOOKUP(U47,Таклифлар37[Таклифлар],Таклифлар37[TaklifID])</f>
        <v>#N/A</v>
      </c>
      <c r="W47" s="24"/>
      <c r="X47" s="23"/>
      <c r="Y47" s="7"/>
      <c r="Z47" s="26"/>
      <c r="AB47" s="23"/>
      <c r="AD47" s="2"/>
      <c r="AF47" s="2"/>
      <c r="AG47" s="23"/>
      <c r="AI47" s="26"/>
      <c r="AJ47" s="23"/>
      <c r="AK47" s="2"/>
      <c r="AM47" s="23"/>
      <c r="AO47" s="32"/>
      <c r="AP47" s="26"/>
      <c r="AR47" s="26"/>
      <c r="AS47" s="24"/>
      <c r="AT47" s="24"/>
      <c r="AU47" s="31"/>
      <c r="AV47" s="24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 s="2"/>
      <c r="B48" s="22"/>
      <c r="C48" s="23"/>
      <c r="D48" s="2"/>
      <c r="E48" s="23"/>
      <c r="F48" s="24"/>
      <c r="G48" s="2"/>
      <c r="H48" s="10" t="e">
        <f>_xlfn.XLOOKUP(F48,Viloyatlar24[RegionName],Viloyatlar24[RegionId])</f>
        <v>#N/A</v>
      </c>
      <c r="I48" s="10" t="e">
        <f>_xlfn.XLOOKUP('Кўчмас мулк объектлари'!G48,Tumanlar23[DistrictName],Tumanlar23[DistrictId])</f>
        <v>#N/A</v>
      </c>
      <c r="J48" s="2"/>
      <c r="K48" s="24"/>
      <c r="L48" s="10" t="e">
        <f>_xlfn.XLOOKUP(K48,Ташкилотлар39[Ташкилотлар],Ташкилотлар39[TashklilotID])</f>
        <v>#N/A</v>
      </c>
      <c r="M48" s="26"/>
      <c r="N48" s="26"/>
      <c r="O48" s="24"/>
      <c r="P48" s="2"/>
      <c r="Q48" s="26"/>
      <c r="R48" s="26"/>
      <c r="S48" s="26"/>
      <c r="T48" s="26"/>
      <c r="U48" s="24"/>
      <c r="V48" s="10" t="e">
        <f>_xlfn.XLOOKUP(U48,Таклифлар37[Таклифлар],Таклифлар37[TaklifID])</f>
        <v>#N/A</v>
      </c>
      <c r="W48" s="24"/>
      <c r="X48" s="23"/>
      <c r="Y48" s="7"/>
      <c r="Z48" s="26"/>
      <c r="AB48" s="23"/>
      <c r="AD48" s="2"/>
      <c r="AF48" s="2"/>
      <c r="AG48" s="23"/>
      <c r="AI48" s="26"/>
      <c r="AJ48" s="23"/>
      <c r="AK48" s="2"/>
      <c r="AM48" s="23"/>
      <c r="AO48" s="32"/>
      <c r="AP48" s="26"/>
      <c r="AR48" s="26"/>
      <c r="AS48" s="24"/>
      <c r="AT48" s="24"/>
      <c r="AU48" s="31"/>
      <c r="AV48" s="24"/>
      <c r="AW48"/>
      <c r="AX48"/>
      <c r="AY48"/>
      <c r="AZ48"/>
      <c r="BA48"/>
      <c r="BB48"/>
      <c r="BC48"/>
      <c r="BD48"/>
      <c r="BE48"/>
      <c r="BF48"/>
      <c r="BG48"/>
    </row>
    <row r="49" spans="1:59" x14ac:dyDescent="0.25">
      <c r="A49" s="2"/>
      <c r="B49" s="22"/>
      <c r="C49" s="23"/>
      <c r="D49" s="2"/>
      <c r="E49" s="23"/>
      <c r="F49" s="24"/>
      <c r="G49" s="2"/>
      <c r="H49" s="10" t="e">
        <f>_xlfn.XLOOKUP(F49,Viloyatlar24[RegionName],Viloyatlar24[RegionId])</f>
        <v>#N/A</v>
      </c>
      <c r="I49" s="10" t="e">
        <f>_xlfn.XLOOKUP('Кўчмас мулк объектлари'!G49,Tumanlar23[DistrictName],Tumanlar23[DistrictId])</f>
        <v>#N/A</v>
      </c>
      <c r="J49" s="2"/>
      <c r="K49" s="24"/>
      <c r="L49" s="10" t="e">
        <f>_xlfn.XLOOKUP(K49,Ташкилотлар39[Ташкилотлар],Ташкилотлар39[TashklilotID])</f>
        <v>#N/A</v>
      </c>
      <c r="M49" s="26"/>
      <c r="N49" s="26"/>
      <c r="O49" s="24"/>
      <c r="P49" s="2"/>
      <c r="Q49" s="26"/>
      <c r="R49" s="26"/>
      <c r="S49" s="26"/>
      <c r="T49" s="26"/>
      <c r="U49" s="24"/>
      <c r="V49" s="10" t="e">
        <f>_xlfn.XLOOKUP(U49,Таклифлар37[Таклифлар],Таклифлар37[TaklifID])</f>
        <v>#N/A</v>
      </c>
      <c r="W49" s="24"/>
      <c r="X49" s="23"/>
      <c r="Y49" s="7"/>
      <c r="Z49" s="26"/>
      <c r="AB49" s="23"/>
      <c r="AD49" s="2"/>
      <c r="AF49" s="2"/>
      <c r="AG49" s="23"/>
      <c r="AI49" s="26"/>
      <c r="AJ49" s="23"/>
      <c r="AK49" s="2"/>
      <c r="AM49" s="23"/>
      <c r="AO49" s="32"/>
      <c r="AP49" s="26"/>
      <c r="AR49" s="26"/>
      <c r="AS49" s="24"/>
      <c r="AT49" s="24"/>
      <c r="AU49" s="31"/>
      <c r="AV49" s="24"/>
      <c r="AW49"/>
      <c r="AX49"/>
      <c r="AY49"/>
      <c r="AZ49"/>
      <c r="BA49"/>
      <c r="BB49"/>
      <c r="BC49"/>
      <c r="BD49"/>
      <c r="BE49"/>
      <c r="BF49"/>
      <c r="BG49"/>
    </row>
    <row r="50" spans="1:59" x14ac:dyDescent="0.25">
      <c r="A50" s="2"/>
      <c r="B50" s="22"/>
      <c r="C50" s="23"/>
      <c r="D50" s="2"/>
      <c r="E50" s="23"/>
      <c r="F50" s="24"/>
      <c r="G50" s="2"/>
      <c r="H50" s="10" t="e">
        <f>_xlfn.XLOOKUP(F50,Viloyatlar24[RegionName],Viloyatlar24[RegionId])</f>
        <v>#N/A</v>
      </c>
      <c r="I50" s="10" t="e">
        <f>_xlfn.XLOOKUP('Кўчмас мулк объектлари'!G50,Tumanlar23[DistrictName],Tumanlar23[DistrictId])</f>
        <v>#N/A</v>
      </c>
      <c r="J50" s="2"/>
      <c r="K50" s="24"/>
      <c r="L50" s="10" t="e">
        <f>_xlfn.XLOOKUP(K50,Ташкилотлар39[Ташкилотлар],Ташкилотлар39[TashklilotID])</f>
        <v>#N/A</v>
      </c>
      <c r="M50" s="26"/>
      <c r="N50" s="26"/>
      <c r="O50" s="24"/>
      <c r="P50" s="2"/>
      <c r="Q50" s="26"/>
      <c r="R50" s="26"/>
      <c r="S50" s="26"/>
      <c r="T50" s="26"/>
      <c r="U50" s="24"/>
      <c r="V50" s="10" t="e">
        <f>_xlfn.XLOOKUP(U50,Таклифлар37[Таклифлар],Таклифлар37[TaklifID])</f>
        <v>#N/A</v>
      </c>
      <c r="W50" s="24"/>
      <c r="X50" s="23"/>
      <c r="Y50" s="7"/>
      <c r="Z50" s="26"/>
      <c r="AB50" s="23"/>
      <c r="AD50" s="2"/>
      <c r="AF50" s="2"/>
      <c r="AG50" s="23"/>
      <c r="AI50" s="26"/>
      <c r="AJ50" s="23"/>
      <c r="AK50" s="2"/>
      <c r="AM50" s="23"/>
      <c r="AO50" s="32"/>
      <c r="AP50" s="26"/>
      <c r="AR50" s="26"/>
      <c r="AS50" s="24"/>
      <c r="AT50" s="24"/>
      <c r="AU50" s="31"/>
      <c r="AV50" s="24"/>
      <c r="AW50"/>
      <c r="AX50"/>
      <c r="AY50"/>
      <c r="AZ50"/>
      <c r="BA50"/>
      <c r="BB50"/>
      <c r="BC50"/>
      <c r="BD50"/>
      <c r="BE50"/>
      <c r="BF50"/>
      <c r="BG50"/>
    </row>
    <row r="51" spans="1:59" x14ac:dyDescent="0.25">
      <c r="A51" s="2"/>
      <c r="B51" s="22"/>
      <c r="C51" s="23"/>
      <c r="D51" s="2"/>
      <c r="E51" s="23"/>
      <c r="F51" s="24"/>
      <c r="G51" s="2"/>
      <c r="H51" s="10" t="e">
        <f>_xlfn.XLOOKUP(F51,Viloyatlar24[RegionName],Viloyatlar24[RegionId])</f>
        <v>#N/A</v>
      </c>
      <c r="I51" s="10" t="e">
        <f>_xlfn.XLOOKUP('Кўчмас мулк объектлари'!G51,Tumanlar23[DistrictName],Tumanlar23[DistrictId])</f>
        <v>#N/A</v>
      </c>
      <c r="J51" s="2"/>
      <c r="K51" s="24"/>
      <c r="L51" s="10" t="e">
        <f>_xlfn.XLOOKUP(K51,Ташкилотлар39[Ташкилотлар],Ташкилотлар39[TashklilotID])</f>
        <v>#N/A</v>
      </c>
      <c r="M51" s="26"/>
      <c r="N51" s="26"/>
      <c r="O51" s="24"/>
      <c r="P51" s="2"/>
      <c r="Q51" s="26"/>
      <c r="R51" s="26"/>
      <c r="S51" s="26"/>
      <c r="T51" s="26"/>
      <c r="U51" s="24"/>
      <c r="V51" s="10" t="e">
        <f>_xlfn.XLOOKUP(U51,Таклифлар37[Таклифлар],Таклифлар37[TaklifID])</f>
        <v>#N/A</v>
      </c>
      <c r="W51" s="24"/>
      <c r="X51" s="23"/>
      <c r="Y51" s="7"/>
      <c r="Z51" s="26"/>
      <c r="AB51" s="23"/>
      <c r="AD51" s="2"/>
      <c r="AF51" s="2"/>
      <c r="AG51" s="23"/>
      <c r="AI51" s="26"/>
      <c r="AJ51" s="23"/>
      <c r="AK51" s="2"/>
      <c r="AM51" s="23"/>
      <c r="AO51" s="32"/>
      <c r="AP51" s="26"/>
      <c r="AR51" s="26"/>
      <c r="AS51" s="24"/>
      <c r="AT51" s="24"/>
      <c r="AU51" s="31"/>
      <c r="AV51" s="24"/>
      <c r="AW51"/>
      <c r="AX51"/>
      <c r="AY51"/>
      <c r="AZ51"/>
      <c r="BA51"/>
      <c r="BB51"/>
      <c r="BC51"/>
      <c r="BD51"/>
      <c r="BE51"/>
      <c r="BF51"/>
      <c r="BG51"/>
    </row>
    <row r="52" spans="1:59" x14ac:dyDescent="0.25">
      <c r="A52" s="2"/>
      <c r="B52" s="22"/>
      <c r="C52" s="23"/>
      <c r="D52" s="2"/>
      <c r="E52" s="23"/>
      <c r="F52" s="24"/>
      <c r="G52" s="2"/>
      <c r="H52" s="10" t="e">
        <f>_xlfn.XLOOKUP(F52,Viloyatlar24[RegionName],Viloyatlar24[RegionId])</f>
        <v>#N/A</v>
      </c>
      <c r="I52" s="10" t="e">
        <f>_xlfn.XLOOKUP('Кўчмас мулк объектлари'!G52,Tumanlar23[DistrictName],Tumanlar23[DistrictId])</f>
        <v>#N/A</v>
      </c>
      <c r="J52" s="2"/>
      <c r="K52" s="24"/>
      <c r="L52" s="10" t="e">
        <f>_xlfn.XLOOKUP(K52,Ташкилотлар39[Ташкилотлар],Ташкилотлар39[TashklilotID])</f>
        <v>#N/A</v>
      </c>
      <c r="M52" s="26"/>
      <c r="N52" s="26"/>
      <c r="O52" s="24"/>
      <c r="P52" s="2"/>
      <c r="Q52" s="26"/>
      <c r="R52" s="26"/>
      <c r="S52" s="26"/>
      <c r="T52" s="26"/>
      <c r="U52" s="24"/>
      <c r="V52" s="10" t="e">
        <f>_xlfn.XLOOKUP(U52,Таклифлар37[Таклифлар],Таклифлар37[TaklifID])</f>
        <v>#N/A</v>
      </c>
      <c r="W52" s="24"/>
      <c r="X52" s="23"/>
      <c r="Y52" s="7"/>
      <c r="Z52" s="26"/>
      <c r="AB52" s="23"/>
      <c r="AD52" s="2"/>
      <c r="AF52" s="2"/>
      <c r="AG52" s="23"/>
      <c r="AI52" s="26"/>
      <c r="AJ52" s="23"/>
      <c r="AK52" s="2"/>
      <c r="AM52" s="23"/>
      <c r="AO52" s="32"/>
      <c r="AP52" s="26"/>
      <c r="AR52" s="26"/>
      <c r="AS52" s="24"/>
      <c r="AT52" s="24"/>
      <c r="AU52" s="31"/>
      <c r="AV52" s="24"/>
      <c r="AW52"/>
      <c r="AX52"/>
      <c r="AY52"/>
      <c r="AZ52"/>
      <c r="BA52"/>
      <c r="BB52"/>
      <c r="BC52"/>
      <c r="BD52"/>
      <c r="BE52"/>
      <c r="BF52"/>
      <c r="BG52"/>
    </row>
    <row r="53" spans="1:59" x14ac:dyDescent="0.25">
      <c r="A53" s="2"/>
      <c r="B53" s="22"/>
      <c r="C53" s="23"/>
      <c r="D53" s="2"/>
      <c r="E53" s="23"/>
      <c r="F53" s="24"/>
      <c r="G53" s="2"/>
      <c r="H53" s="10" t="e">
        <f>_xlfn.XLOOKUP(F53,Viloyatlar24[RegionName],Viloyatlar24[RegionId])</f>
        <v>#N/A</v>
      </c>
      <c r="I53" s="10" t="e">
        <f>_xlfn.XLOOKUP('Кўчмас мулк объектлари'!G53,Tumanlar23[DistrictName],Tumanlar23[DistrictId])</f>
        <v>#N/A</v>
      </c>
      <c r="J53" s="2"/>
      <c r="K53" s="24"/>
      <c r="L53" s="10" t="e">
        <f>_xlfn.XLOOKUP(K53,Ташкилотлар39[Ташкилотлар],Ташкилотлар39[TashklilotID])</f>
        <v>#N/A</v>
      </c>
      <c r="M53" s="26"/>
      <c r="N53" s="26"/>
      <c r="O53" s="24"/>
      <c r="P53" s="2"/>
      <c r="Q53" s="26"/>
      <c r="R53" s="26"/>
      <c r="S53" s="26"/>
      <c r="T53" s="26"/>
      <c r="U53" s="24"/>
      <c r="V53" s="10" t="e">
        <f>_xlfn.XLOOKUP(U53,Таклифлар37[Таклифлар],Таклифлар37[TaklifID])</f>
        <v>#N/A</v>
      </c>
      <c r="W53" s="24"/>
      <c r="X53" s="23"/>
      <c r="Y53" s="7"/>
      <c r="Z53" s="26"/>
      <c r="AB53" s="23"/>
      <c r="AD53" s="2"/>
      <c r="AF53" s="2"/>
      <c r="AG53" s="23"/>
      <c r="AI53" s="26"/>
      <c r="AJ53" s="23"/>
      <c r="AK53" s="2"/>
      <c r="AM53" s="23"/>
      <c r="AO53" s="32"/>
      <c r="AP53" s="26"/>
      <c r="AR53" s="26"/>
      <c r="AS53" s="24"/>
      <c r="AT53" s="24"/>
      <c r="AU53" s="31"/>
      <c r="AV53" s="24"/>
      <c r="AW53"/>
      <c r="AX53"/>
      <c r="AY53"/>
      <c r="AZ53"/>
      <c r="BA53"/>
      <c r="BB53"/>
      <c r="BC53"/>
      <c r="BD53"/>
      <c r="BE53"/>
      <c r="BF53"/>
      <c r="BG53"/>
    </row>
    <row r="54" spans="1:59" x14ac:dyDescent="0.25">
      <c r="A54" s="2"/>
      <c r="B54" s="22"/>
      <c r="C54" s="23"/>
      <c r="D54" s="2"/>
      <c r="E54" s="23"/>
      <c r="F54" s="24"/>
      <c r="G54" s="2"/>
      <c r="H54" s="10" t="e">
        <f>_xlfn.XLOOKUP(F54,Viloyatlar24[RegionName],Viloyatlar24[RegionId])</f>
        <v>#N/A</v>
      </c>
      <c r="I54" s="10" t="e">
        <f>_xlfn.XLOOKUP('Кўчмас мулк объектлари'!G54,Tumanlar23[DistrictName],Tumanlar23[DistrictId])</f>
        <v>#N/A</v>
      </c>
      <c r="J54" s="2"/>
      <c r="K54" s="24"/>
      <c r="L54" s="10" t="e">
        <f>_xlfn.XLOOKUP(K54,Ташкилотлар39[Ташкилотлар],Ташкилотлар39[TashklilotID])</f>
        <v>#N/A</v>
      </c>
      <c r="M54" s="26"/>
      <c r="N54" s="26"/>
      <c r="O54" s="24"/>
      <c r="P54" s="2"/>
      <c r="Q54" s="26"/>
      <c r="R54" s="26"/>
      <c r="S54" s="26"/>
      <c r="T54" s="26"/>
      <c r="U54" s="24"/>
      <c r="V54" s="10" t="e">
        <f>_xlfn.XLOOKUP(U54,Таклифлар37[Таклифлар],Таклифлар37[TaklifID])</f>
        <v>#N/A</v>
      </c>
      <c r="W54" s="24"/>
      <c r="X54" s="23"/>
      <c r="Y54" s="7"/>
      <c r="Z54" s="26"/>
      <c r="AB54" s="23"/>
      <c r="AD54" s="2"/>
      <c r="AF54" s="2"/>
      <c r="AG54" s="23"/>
      <c r="AI54" s="26"/>
      <c r="AJ54" s="23"/>
      <c r="AK54" s="2"/>
      <c r="AM54" s="23"/>
      <c r="AO54" s="32"/>
      <c r="AP54" s="26"/>
      <c r="AR54" s="26"/>
      <c r="AS54" s="24"/>
      <c r="AT54" s="24"/>
      <c r="AU54" s="31"/>
      <c r="AV54" s="24"/>
      <c r="AW54"/>
      <c r="AX54"/>
      <c r="AY54"/>
      <c r="AZ54"/>
      <c r="BA54"/>
      <c r="BB54"/>
      <c r="BC54"/>
      <c r="BD54"/>
      <c r="BE54"/>
      <c r="BF54"/>
      <c r="BG54"/>
    </row>
    <row r="55" spans="1:59" x14ac:dyDescent="0.25">
      <c r="A55" s="2"/>
      <c r="B55" s="22"/>
      <c r="C55" s="23"/>
      <c r="D55" s="2"/>
      <c r="E55" s="23"/>
      <c r="F55" s="24"/>
      <c r="G55" s="2"/>
      <c r="H55" s="10" t="e">
        <f>_xlfn.XLOOKUP(F55,Viloyatlar24[RegionName],Viloyatlar24[RegionId])</f>
        <v>#N/A</v>
      </c>
      <c r="I55" s="10" t="e">
        <f>_xlfn.XLOOKUP('Кўчмас мулк объектлари'!G55,Tumanlar23[DistrictName],Tumanlar23[DistrictId])</f>
        <v>#N/A</v>
      </c>
      <c r="J55" s="2"/>
      <c r="K55" s="24"/>
      <c r="L55" s="10" t="e">
        <f>_xlfn.XLOOKUP(K55,Ташкилотлар39[Ташкилотлар],Ташкилотлар39[TashklilotID])</f>
        <v>#N/A</v>
      </c>
      <c r="M55" s="26"/>
      <c r="N55" s="26"/>
      <c r="O55" s="24"/>
      <c r="P55" s="2"/>
      <c r="Q55" s="26"/>
      <c r="R55" s="26"/>
      <c r="S55" s="26"/>
      <c r="T55" s="26"/>
      <c r="U55" s="24"/>
      <c r="V55" s="10" t="e">
        <f>_xlfn.XLOOKUP(U55,Таклифлар37[Таклифлар],Таклифлар37[TaklifID])</f>
        <v>#N/A</v>
      </c>
      <c r="W55" s="24"/>
      <c r="X55" s="23"/>
      <c r="Y55" s="7"/>
      <c r="Z55" s="26"/>
      <c r="AB55" s="23"/>
      <c r="AD55" s="2"/>
      <c r="AF55" s="2"/>
      <c r="AG55" s="23"/>
      <c r="AI55" s="26"/>
      <c r="AJ55" s="23"/>
      <c r="AK55" s="2"/>
      <c r="AM55" s="23"/>
      <c r="AO55" s="32"/>
      <c r="AP55" s="26"/>
      <c r="AR55" s="26"/>
      <c r="AS55" s="24"/>
      <c r="AT55" s="24"/>
      <c r="AU55" s="31"/>
      <c r="AV55" s="24"/>
      <c r="AW55"/>
      <c r="AX55"/>
      <c r="AY55"/>
      <c r="AZ55"/>
      <c r="BA55"/>
      <c r="BB55"/>
      <c r="BC55"/>
      <c r="BD55"/>
      <c r="BE55"/>
      <c r="BF55"/>
      <c r="BG55"/>
    </row>
    <row r="56" spans="1:59" x14ac:dyDescent="0.25">
      <c r="A56" s="2"/>
      <c r="B56" s="22"/>
      <c r="C56" s="23"/>
      <c r="D56" s="2"/>
      <c r="E56" s="23"/>
      <c r="F56" s="24"/>
      <c r="G56" s="2"/>
      <c r="H56" s="10" t="e">
        <f>_xlfn.XLOOKUP(F56,Viloyatlar24[RegionName],Viloyatlar24[RegionId])</f>
        <v>#N/A</v>
      </c>
      <c r="I56" s="10" t="e">
        <f>_xlfn.XLOOKUP('Кўчмас мулк объектлари'!G56,Tumanlar23[DistrictName],Tumanlar23[DistrictId])</f>
        <v>#N/A</v>
      </c>
      <c r="J56" s="2"/>
      <c r="K56" s="24"/>
      <c r="L56" s="10" t="e">
        <f>_xlfn.XLOOKUP(K56,Ташкилотлар39[Ташкилотлар],Ташкилотлар39[TashklilotID])</f>
        <v>#N/A</v>
      </c>
      <c r="M56" s="26"/>
      <c r="N56" s="26"/>
      <c r="O56" s="24"/>
      <c r="P56" s="2"/>
      <c r="Q56" s="26"/>
      <c r="R56" s="26"/>
      <c r="S56" s="26"/>
      <c r="T56" s="26"/>
      <c r="U56" s="24"/>
      <c r="V56" s="10" t="e">
        <f>_xlfn.XLOOKUP(U56,Таклифлар37[Таклифлар],Таклифлар37[TaklifID])</f>
        <v>#N/A</v>
      </c>
      <c r="W56" s="24"/>
      <c r="X56" s="23"/>
      <c r="Y56" s="7"/>
      <c r="Z56" s="26"/>
      <c r="AB56" s="23"/>
      <c r="AD56" s="2"/>
      <c r="AF56" s="2"/>
      <c r="AG56" s="23"/>
      <c r="AI56" s="26"/>
      <c r="AJ56" s="23"/>
      <c r="AK56" s="2"/>
      <c r="AM56" s="23"/>
      <c r="AO56" s="32"/>
      <c r="AP56" s="26"/>
      <c r="AR56" s="26"/>
      <c r="AS56" s="24"/>
      <c r="AT56" s="24"/>
      <c r="AU56" s="31"/>
      <c r="AV56" s="24"/>
      <c r="AW56"/>
      <c r="AX56"/>
      <c r="AY56"/>
      <c r="AZ56"/>
      <c r="BA56"/>
      <c r="BB56"/>
      <c r="BC56"/>
      <c r="BD56"/>
      <c r="BE56"/>
      <c r="BF56"/>
      <c r="BG56"/>
    </row>
    <row r="57" spans="1:59" x14ac:dyDescent="0.25">
      <c r="A57" s="2"/>
      <c r="B57" s="22"/>
      <c r="C57" s="23"/>
      <c r="D57" s="2"/>
      <c r="E57" s="23"/>
      <c r="F57" s="24"/>
      <c r="G57" s="2"/>
      <c r="H57" s="10" t="e">
        <f>_xlfn.XLOOKUP(F57,Viloyatlar24[RegionName],Viloyatlar24[RegionId])</f>
        <v>#N/A</v>
      </c>
      <c r="I57" s="10" t="e">
        <f>_xlfn.XLOOKUP('Кўчмас мулк объектлари'!G57,Tumanlar23[DistrictName],Tumanlar23[DistrictId])</f>
        <v>#N/A</v>
      </c>
      <c r="J57" s="2"/>
      <c r="K57" s="24"/>
      <c r="L57" s="10" t="e">
        <f>_xlfn.XLOOKUP(K57,Ташкилотлар39[Ташкилотлар],Ташкилотлар39[TashklilotID])</f>
        <v>#N/A</v>
      </c>
      <c r="M57" s="26"/>
      <c r="N57" s="26"/>
      <c r="O57" s="24"/>
      <c r="P57" s="2"/>
      <c r="Q57" s="26"/>
      <c r="R57" s="26"/>
      <c r="S57" s="26"/>
      <c r="T57" s="26"/>
      <c r="U57" s="24"/>
      <c r="V57" s="10" t="e">
        <f>_xlfn.XLOOKUP(U57,Таклифлар37[Таклифлар],Таклифлар37[TaklifID])</f>
        <v>#N/A</v>
      </c>
      <c r="W57" s="24"/>
      <c r="X57" s="23"/>
      <c r="Y57" s="7"/>
      <c r="Z57" s="26"/>
      <c r="AB57" s="23"/>
      <c r="AD57" s="2"/>
      <c r="AF57" s="2"/>
      <c r="AG57" s="23"/>
      <c r="AI57" s="26"/>
      <c r="AJ57" s="23"/>
      <c r="AK57" s="2"/>
      <c r="AM57" s="23"/>
      <c r="AO57" s="32"/>
      <c r="AP57" s="26"/>
      <c r="AR57" s="26"/>
      <c r="AS57" s="24"/>
      <c r="AT57" s="24"/>
      <c r="AU57" s="31"/>
      <c r="AV57" s="24"/>
      <c r="AW57"/>
      <c r="AX57"/>
      <c r="AY57"/>
      <c r="AZ57"/>
      <c r="BA57"/>
      <c r="BB57"/>
      <c r="BC57"/>
      <c r="BD57"/>
      <c r="BE57"/>
      <c r="BF57"/>
      <c r="BG57"/>
    </row>
    <row r="58" spans="1:59" x14ac:dyDescent="0.25">
      <c r="A58" s="2"/>
      <c r="B58" s="22"/>
      <c r="C58" s="23"/>
      <c r="D58" s="2"/>
      <c r="E58" s="23"/>
      <c r="F58" s="24"/>
      <c r="G58" s="2"/>
      <c r="H58" s="10" t="e">
        <f>_xlfn.XLOOKUP(F58,Viloyatlar24[RegionName],Viloyatlar24[RegionId])</f>
        <v>#N/A</v>
      </c>
      <c r="I58" s="10" t="e">
        <f>_xlfn.XLOOKUP('Кўчмас мулк объектлари'!G58,Tumanlar23[DistrictName],Tumanlar23[DistrictId])</f>
        <v>#N/A</v>
      </c>
      <c r="J58" s="2"/>
      <c r="K58" s="24"/>
      <c r="L58" s="10" t="e">
        <f>_xlfn.XLOOKUP(K58,Ташкилотлар39[Ташкилотлар],Ташкилотлар39[TashklilotID])</f>
        <v>#N/A</v>
      </c>
      <c r="M58" s="26"/>
      <c r="N58" s="26"/>
      <c r="O58" s="24"/>
      <c r="P58" s="2"/>
      <c r="Q58" s="26"/>
      <c r="R58" s="26"/>
      <c r="S58" s="26"/>
      <c r="T58" s="26"/>
      <c r="U58" s="24"/>
      <c r="V58" s="10" t="e">
        <f>_xlfn.XLOOKUP(U58,Таклифлар37[Таклифлар],Таклифлар37[TaklifID])</f>
        <v>#N/A</v>
      </c>
      <c r="W58" s="24"/>
      <c r="X58" s="23"/>
      <c r="Y58" s="7"/>
      <c r="Z58" s="26"/>
      <c r="AB58" s="23"/>
      <c r="AD58" s="2"/>
      <c r="AF58" s="2"/>
      <c r="AG58" s="23"/>
      <c r="AI58" s="26"/>
      <c r="AJ58" s="23"/>
      <c r="AK58" s="2"/>
      <c r="AM58" s="23"/>
      <c r="AO58" s="32"/>
      <c r="AP58" s="26"/>
      <c r="AR58" s="26"/>
      <c r="AS58" s="24"/>
      <c r="AT58" s="24"/>
      <c r="AU58" s="31"/>
      <c r="AV58" s="24"/>
      <c r="AW58"/>
      <c r="AX58"/>
      <c r="AY58"/>
      <c r="AZ58"/>
      <c r="BA58"/>
      <c r="BB58"/>
      <c r="BC58"/>
      <c r="BD58"/>
      <c r="BE58"/>
      <c r="BF58"/>
      <c r="BG58"/>
    </row>
    <row r="59" spans="1:59" x14ac:dyDescent="0.25">
      <c r="A59" s="2"/>
      <c r="B59" s="22"/>
      <c r="C59" s="23"/>
      <c r="D59" s="2"/>
      <c r="E59" s="23"/>
      <c r="F59" s="24"/>
      <c r="G59" s="2"/>
      <c r="H59" s="10" t="e">
        <f>_xlfn.XLOOKUP(F59,Viloyatlar24[RegionName],Viloyatlar24[RegionId])</f>
        <v>#N/A</v>
      </c>
      <c r="I59" s="10" t="e">
        <f>_xlfn.XLOOKUP('Кўчмас мулк объектлари'!G59,Tumanlar23[DistrictName],Tumanlar23[DistrictId])</f>
        <v>#N/A</v>
      </c>
      <c r="J59" s="2"/>
      <c r="K59" s="24"/>
      <c r="L59" s="10" t="e">
        <f>_xlfn.XLOOKUP(K59,Ташкилотлар39[Ташкилотлар],Ташкилотлар39[TashklilotID])</f>
        <v>#N/A</v>
      </c>
      <c r="M59" s="26"/>
      <c r="N59" s="26"/>
      <c r="O59" s="24"/>
      <c r="P59" s="2"/>
      <c r="Q59" s="26"/>
      <c r="R59" s="26"/>
      <c r="S59" s="26"/>
      <c r="T59" s="26"/>
      <c r="U59" s="24"/>
      <c r="V59" s="10" t="e">
        <f>_xlfn.XLOOKUP(U59,Таклифлар37[Таклифлар],Таклифлар37[TaklifID])</f>
        <v>#N/A</v>
      </c>
      <c r="W59" s="24"/>
      <c r="X59" s="23"/>
      <c r="Y59" s="7"/>
      <c r="Z59" s="26"/>
      <c r="AB59" s="23"/>
      <c r="AD59" s="2"/>
      <c r="AF59" s="2"/>
      <c r="AG59" s="23"/>
      <c r="AI59" s="26"/>
      <c r="AJ59" s="23"/>
      <c r="AK59" s="2"/>
      <c r="AM59" s="23"/>
      <c r="AO59" s="32"/>
      <c r="AP59" s="26"/>
      <c r="AR59" s="26"/>
      <c r="AS59" s="24"/>
      <c r="AT59" s="24"/>
      <c r="AU59" s="31"/>
      <c r="AV59" s="24"/>
      <c r="AW59"/>
      <c r="AX59"/>
      <c r="AY59"/>
      <c r="AZ59"/>
      <c r="BA59"/>
      <c r="BB59"/>
      <c r="BC59"/>
      <c r="BD59"/>
      <c r="BE59"/>
      <c r="BF59"/>
      <c r="BG59"/>
    </row>
    <row r="60" spans="1:59" x14ac:dyDescent="0.25">
      <c r="A60" s="2"/>
      <c r="B60" s="22"/>
      <c r="C60" s="23"/>
      <c r="D60" s="2"/>
      <c r="E60" s="23"/>
      <c r="F60" s="24"/>
      <c r="G60" s="2"/>
      <c r="H60" s="10" t="e">
        <f>_xlfn.XLOOKUP(F60,Viloyatlar24[RegionName],Viloyatlar24[RegionId])</f>
        <v>#N/A</v>
      </c>
      <c r="I60" s="10" t="e">
        <f>_xlfn.XLOOKUP('Кўчмас мулк объектлари'!G60,Tumanlar23[DistrictName],Tumanlar23[DistrictId])</f>
        <v>#N/A</v>
      </c>
      <c r="J60" s="2"/>
      <c r="K60" s="24"/>
      <c r="L60" s="10" t="e">
        <f>_xlfn.XLOOKUP(K60,Ташкилотлар39[Ташкилотлар],Ташкилотлар39[TashklilotID])</f>
        <v>#N/A</v>
      </c>
      <c r="M60" s="26"/>
      <c r="N60" s="26"/>
      <c r="O60" s="24"/>
      <c r="P60" s="2"/>
      <c r="Q60" s="26"/>
      <c r="R60" s="26"/>
      <c r="S60" s="26"/>
      <c r="T60" s="26"/>
      <c r="U60" s="24"/>
      <c r="V60" s="10" t="e">
        <f>_xlfn.XLOOKUP(U60,Таклифлар37[Таклифлар],Таклифлар37[TaklifID])</f>
        <v>#N/A</v>
      </c>
      <c r="W60" s="24"/>
      <c r="X60" s="23"/>
      <c r="Y60" s="7"/>
      <c r="Z60" s="26"/>
      <c r="AB60" s="23"/>
      <c r="AD60" s="2"/>
      <c r="AF60" s="2"/>
      <c r="AG60" s="23"/>
      <c r="AI60" s="26"/>
      <c r="AJ60" s="23"/>
      <c r="AK60" s="2"/>
      <c r="AM60" s="23"/>
      <c r="AO60" s="32"/>
      <c r="AP60" s="26"/>
      <c r="AR60" s="26"/>
      <c r="AS60" s="24"/>
      <c r="AT60" s="24"/>
      <c r="AU60" s="31"/>
      <c r="AV60" s="24"/>
      <c r="AW60"/>
      <c r="AX60"/>
      <c r="AY60"/>
      <c r="AZ60"/>
      <c r="BA60"/>
      <c r="BB60"/>
      <c r="BC60"/>
      <c r="BD60"/>
      <c r="BE60"/>
      <c r="BF60"/>
      <c r="BG60"/>
    </row>
    <row r="61" spans="1:59" x14ac:dyDescent="0.25">
      <c r="A61" s="2"/>
      <c r="B61" s="22"/>
      <c r="C61" s="23"/>
      <c r="D61" s="2"/>
      <c r="E61" s="23"/>
      <c r="F61" s="24"/>
      <c r="G61" s="2"/>
      <c r="H61" s="10" t="e">
        <f>_xlfn.XLOOKUP(F61,Viloyatlar24[RegionName],Viloyatlar24[RegionId])</f>
        <v>#N/A</v>
      </c>
      <c r="I61" s="10" t="e">
        <f>_xlfn.XLOOKUP('Кўчмас мулк объектлари'!G61,Tumanlar23[DistrictName],Tumanlar23[DistrictId])</f>
        <v>#N/A</v>
      </c>
      <c r="J61" s="2"/>
      <c r="K61" s="24"/>
      <c r="L61" s="10" t="e">
        <f>_xlfn.XLOOKUP(K61,Ташкилотлар39[Ташкилотлар],Ташкилотлар39[TashklilotID])</f>
        <v>#N/A</v>
      </c>
      <c r="M61" s="26"/>
      <c r="N61" s="26"/>
      <c r="O61" s="24"/>
      <c r="P61" s="2"/>
      <c r="Q61" s="26"/>
      <c r="R61" s="26"/>
      <c r="S61" s="26"/>
      <c r="T61" s="26"/>
      <c r="U61" s="24"/>
      <c r="V61" s="10" t="e">
        <f>_xlfn.XLOOKUP(U61,Таклифлар37[Таклифлар],Таклифлар37[TaklifID])</f>
        <v>#N/A</v>
      </c>
      <c r="W61" s="24"/>
      <c r="X61" s="23"/>
      <c r="Y61" s="7"/>
      <c r="Z61" s="26"/>
      <c r="AB61" s="23"/>
      <c r="AD61" s="2"/>
      <c r="AF61" s="2"/>
      <c r="AG61" s="23"/>
      <c r="AI61" s="26"/>
      <c r="AJ61" s="23"/>
      <c r="AK61" s="2"/>
      <c r="AM61" s="23"/>
      <c r="AO61" s="32"/>
      <c r="AP61" s="26"/>
      <c r="AR61" s="26"/>
      <c r="AS61" s="24"/>
      <c r="AT61" s="24"/>
      <c r="AU61" s="31"/>
      <c r="AV61" s="24"/>
      <c r="AW61"/>
      <c r="AX61"/>
      <c r="AY61"/>
      <c r="AZ61"/>
      <c r="BA61"/>
      <c r="BB61"/>
      <c r="BC61"/>
      <c r="BD61"/>
      <c r="BE61"/>
      <c r="BF61"/>
      <c r="BG61"/>
    </row>
    <row r="62" spans="1:59" x14ac:dyDescent="0.25">
      <c r="A62" s="2"/>
      <c r="B62" s="22"/>
      <c r="C62" s="23"/>
      <c r="D62" s="2"/>
      <c r="E62" s="23"/>
      <c r="F62" s="24"/>
      <c r="G62" s="2"/>
      <c r="H62" s="10" t="e">
        <f>_xlfn.XLOOKUP(F62,Viloyatlar24[RegionName],Viloyatlar24[RegionId])</f>
        <v>#N/A</v>
      </c>
      <c r="I62" s="10" t="e">
        <f>_xlfn.XLOOKUP('Кўчмас мулк объектлари'!G62,Tumanlar23[DistrictName],Tumanlar23[DistrictId])</f>
        <v>#N/A</v>
      </c>
      <c r="J62" s="2"/>
      <c r="K62" s="24"/>
      <c r="L62" s="10" t="e">
        <f>_xlfn.XLOOKUP(K62,Ташкилотлар39[Ташкилотлар],Ташкилотлар39[TashklilotID])</f>
        <v>#N/A</v>
      </c>
      <c r="M62" s="26"/>
      <c r="N62" s="26"/>
      <c r="O62" s="24"/>
      <c r="P62" s="2"/>
      <c r="Q62" s="26"/>
      <c r="R62" s="26"/>
      <c r="S62" s="26"/>
      <c r="T62" s="26"/>
      <c r="U62" s="24"/>
      <c r="V62" s="10" t="e">
        <f>_xlfn.XLOOKUP(U62,Таклифлар37[Таклифлар],Таклифлар37[TaklifID])</f>
        <v>#N/A</v>
      </c>
      <c r="W62" s="24"/>
      <c r="X62" s="23"/>
      <c r="Y62" s="7"/>
      <c r="Z62" s="26"/>
      <c r="AB62" s="23"/>
      <c r="AD62" s="2"/>
      <c r="AF62" s="2"/>
      <c r="AG62" s="23"/>
      <c r="AI62" s="26"/>
      <c r="AJ62" s="23"/>
      <c r="AK62" s="2"/>
      <c r="AM62" s="23"/>
      <c r="AO62" s="32"/>
      <c r="AP62" s="26"/>
      <c r="AR62" s="26"/>
      <c r="AS62" s="24"/>
      <c r="AT62" s="24"/>
      <c r="AU62" s="31"/>
      <c r="AV62" s="24"/>
      <c r="AW62"/>
      <c r="AX62"/>
      <c r="AY62"/>
      <c r="AZ62"/>
      <c r="BA62"/>
      <c r="BB62"/>
      <c r="BC62"/>
      <c r="BD62"/>
      <c r="BE62"/>
      <c r="BF62"/>
      <c r="BG62"/>
    </row>
    <row r="63" spans="1:59" x14ac:dyDescent="0.25">
      <c r="A63" s="2"/>
      <c r="B63" s="22"/>
      <c r="C63" s="23"/>
      <c r="D63" s="2"/>
      <c r="E63" s="23"/>
      <c r="F63" s="24"/>
      <c r="G63" s="2"/>
      <c r="H63" s="10" t="e">
        <f>_xlfn.XLOOKUP(F63,Viloyatlar24[RegionName],Viloyatlar24[RegionId])</f>
        <v>#N/A</v>
      </c>
      <c r="I63" s="10" t="e">
        <f>_xlfn.XLOOKUP('Кўчмас мулк объектлари'!G63,Tumanlar23[DistrictName],Tumanlar23[DistrictId])</f>
        <v>#N/A</v>
      </c>
      <c r="J63" s="2"/>
      <c r="K63" s="24"/>
      <c r="L63" s="10" t="e">
        <f>_xlfn.XLOOKUP(K63,Ташкилотлар39[Ташкилотлар],Ташкилотлар39[TashklilotID])</f>
        <v>#N/A</v>
      </c>
      <c r="M63" s="26"/>
      <c r="N63" s="26"/>
      <c r="O63" s="24"/>
      <c r="P63" s="2"/>
      <c r="Q63" s="26"/>
      <c r="R63" s="26"/>
      <c r="S63" s="26"/>
      <c r="T63" s="26"/>
      <c r="U63" s="24"/>
      <c r="V63" s="10" t="e">
        <f>_xlfn.XLOOKUP(U63,Таклифлар37[Таклифлар],Таклифлар37[TaklifID])</f>
        <v>#N/A</v>
      </c>
      <c r="W63" s="24"/>
      <c r="X63" s="23"/>
      <c r="Y63" s="7"/>
      <c r="Z63" s="26"/>
      <c r="AB63" s="23"/>
      <c r="AD63" s="2"/>
      <c r="AF63" s="2"/>
      <c r="AG63" s="23"/>
      <c r="AI63" s="26"/>
      <c r="AJ63" s="23"/>
      <c r="AK63" s="2"/>
      <c r="AM63" s="23"/>
      <c r="AO63" s="32"/>
      <c r="AP63" s="26"/>
      <c r="AR63" s="26"/>
      <c r="AS63" s="24"/>
      <c r="AT63" s="24"/>
      <c r="AU63" s="31"/>
      <c r="AV63" s="24"/>
      <c r="AW63"/>
      <c r="AX63"/>
      <c r="AY63"/>
      <c r="AZ63"/>
      <c r="BA63"/>
      <c r="BB63"/>
      <c r="BC63"/>
      <c r="BD63"/>
      <c r="BE63"/>
      <c r="BF63"/>
      <c r="BG63"/>
    </row>
    <row r="64" spans="1:59" x14ac:dyDescent="0.25">
      <c r="A64" s="2"/>
      <c r="B64" s="22"/>
      <c r="C64" s="23"/>
      <c r="D64" s="2"/>
      <c r="E64" s="23"/>
      <c r="F64" s="24"/>
      <c r="G64" s="2"/>
      <c r="H64" s="10" t="e">
        <f>_xlfn.XLOOKUP(F64,Viloyatlar24[RegionName],Viloyatlar24[RegionId])</f>
        <v>#N/A</v>
      </c>
      <c r="I64" s="10" t="e">
        <f>_xlfn.XLOOKUP('Кўчмас мулк объектлари'!G64,Tumanlar23[DistrictName],Tumanlar23[DistrictId])</f>
        <v>#N/A</v>
      </c>
      <c r="J64" s="2"/>
      <c r="K64" s="24"/>
      <c r="L64" s="10" t="e">
        <f>_xlfn.XLOOKUP(K64,Ташкилотлар39[Ташкилотлар],Ташкилотлар39[TashklilotID])</f>
        <v>#N/A</v>
      </c>
      <c r="M64" s="26"/>
      <c r="N64" s="26"/>
      <c r="O64" s="24"/>
      <c r="P64" s="2"/>
      <c r="Q64" s="26"/>
      <c r="R64" s="26"/>
      <c r="S64" s="26"/>
      <c r="T64" s="26"/>
      <c r="U64" s="24"/>
      <c r="V64" s="10" t="e">
        <f>_xlfn.XLOOKUP(U64,Таклифлар37[Таклифлар],Таклифлар37[TaklifID])</f>
        <v>#N/A</v>
      </c>
      <c r="W64" s="24"/>
      <c r="X64" s="23"/>
      <c r="Y64" s="7"/>
      <c r="Z64" s="26"/>
      <c r="AB64" s="23"/>
      <c r="AD64" s="2"/>
      <c r="AF64" s="2"/>
      <c r="AG64" s="23"/>
      <c r="AI64" s="26"/>
      <c r="AJ64" s="23"/>
      <c r="AK64" s="2"/>
      <c r="AM64" s="23"/>
      <c r="AO64" s="32"/>
      <c r="AP64" s="26"/>
      <c r="AR64" s="26"/>
      <c r="AS64" s="24"/>
      <c r="AT64" s="24"/>
      <c r="AU64" s="31"/>
      <c r="AV64" s="24"/>
      <c r="AW64"/>
      <c r="AX64"/>
      <c r="AY64"/>
      <c r="AZ64"/>
      <c r="BA64"/>
      <c r="BB64"/>
      <c r="BC64"/>
      <c r="BD64"/>
      <c r="BE64"/>
      <c r="BF64"/>
      <c r="BG64"/>
    </row>
    <row r="65" spans="1:59" x14ac:dyDescent="0.25">
      <c r="A65" s="2"/>
      <c r="B65" s="22"/>
      <c r="C65" s="23"/>
      <c r="D65" s="2"/>
      <c r="E65" s="23"/>
      <c r="F65" s="24"/>
      <c r="G65" s="2"/>
      <c r="H65" s="10" t="e">
        <f>_xlfn.XLOOKUP(F65,Viloyatlar24[RegionName],Viloyatlar24[RegionId])</f>
        <v>#N/A</v>
      </c>
      <c r="I65" s="10" t="e">
        <f>_xlfn.XLOOKUP('Кўчмас мулк объектлари'!G65,Tumanlar23[DistrictName],Tumanlar23[DistrictId])</f>
        <v>#N/A</v>
      </c>
      <c r="J65" s="2"/>
      <c r="K65" s="24"/>
      <c r="L65" s="10" t="e">
        <f>_xlfn.XLOOKUP(K65,Ташкилотлар39[Ташкилотлар],Ташкилотлар39[TashklilotID])</f>
        <v>#N/A</v>
      </c>
      <c r="M65" s="26"/>
      <c r="N65" s="26"/>
      <c r="O65" s="24"/>
      <c r="P65" s="2"/>
      <c r="Q65" s="26"/>
      <c r="R65" s="26"/>
      <c r="S65" s="26"/>
      <c r="T65" s="26"/>
      <c r="U65" s="24"/>
      <c r="V65" s="10" t="e">
        <f>_xlfn.XLOOKUP(U65,Таклифлар37[Таклифлар],Таклифлар37[TaklifID])</f>
        <v>#N/A</v>
      </c>
      <c r="W65" s="24"/>
      <c r="X65" s="23"/>
      <c r="Y65" s="7"/>
      <c r="Z65" s="26"/>
      <c r="AB65" s="23"/>
      <c r="AD65" s="2"/>
      <c r="AF65" s="2"/>
      <c r="AG65" s="23"/>
      <c r="AI65" s="26"/>
      <c r="AJ65" s="23"/>
      <c r="AK65" s="2"/>
      <c r="AM65" s="23"/>
      <c r="AO65" s="32"/>
      <c r="AP65" s="26"/>
      <c r="AR65" s="26"/>
      <c r="AS65" s="24"/>
      <c r="AT65" s="24"/>
      <c r="AU65" s="31"/>
      <c r="AV65" s="24"/>
      <c r="AW65"/>
      <c r="AX65"/>
      <c r="AY65"/>
      <c r="AZ65"/>
      <c r="BA65"/>
      <c r="BB65"/>
      <c r="BC65"/>
      <c r="BD65"/>
      <c r="BE65"/>
      <c r="BF65"/>
      <c r="BG65"/>
    </row>
    <row r="66" spans="1:59" x14ac:dyDescent="0.25">
      <c r="A66" s="2"/>
      <c r="B66" s="22"/>
      <c r="C66" s="23"/>
      <c r="D66" s="2"/>
      <c r="E66" s="23"/>
      <c r="F66" s="24"/>
      <c r="G66" s="2"/>
      <c r="H66" s="10" t="e">
        <f>_xlfn.XLOOKUP(F66,Viloyatlar24[RegionName],Viloyatlar24[RegionId])</f>
        <v>#N/A</v>
      </c>
      <c r="I66" s="10" t="e">
        <f>_xlfn.XLOOKUP('Кўчмас мулк объектлари'!G66,Tumanlar23[DistrictName],Tumanlar23[DistrictId])</f>
        <v>#N/A</v>
      </c>
      <c r="J66" s="2"/>
      <c r="K66" s="24"/>
      <c r="L66" s="10" t="e">
        <f>_xlfn.XLOOKUP(K66,Ташкилотлар39[Ташкилотлар],Ташкилотлар39[TashklilotID])</f>
        <v>#N/A</v>
      </c>
      <c r="M66" s="26"/>
      <c r="N66" s="26"/>
      <c r="O66" s="24"/>
      <c r="P66" s="2"/>
      <c r="Q66" s="26"/>
      <c r="R66" s="26"/>
      <c r="S66" s="26"/>
      <c r="T66" s="26"/>
      <c r="U66" s="24"/>
      <c r="V66" s="10" t="e">
        <f>_xlfn.XLOOKUP(U66,Таклифлар37[Таклифлар],Таклифлар37[TaklifID])</f>
        <v>#N/A</v>
      </c>
      <c r="W66" s="24"/>
      <c r="X66" s="23"/>
      <c r="Y66" s="7"/>
      <c r="Z66" s="26"/>
      <c r="AB66" s="23"/>
      <c r="AD66" s="2"/>
      <c r="AF66" s="2"/>
      <c r="AG66" s="23"/>
      <c r="AI66" s="26"/>
      <c r="AJ66" s="23"/>
      <c r="AK66" s="2"/>
      <c r="AM66" s="23"/>
      <c r="AO66" s="32"/>
      <c r="AP66" s="26"/>
      <c r="AR66" s="26"/>
      <c r="AS66" s="24"/>
      <c r="AT66" s="24"/>
      <c r="AU66" s="31"/>
      <c r="AV66" s="24"/>
      <c r="AW66"/>
      <c r="AX66"/>
      <c r="AY66"/>
      <c r="AZ66"/>
      <c r="BA66"/>
      <c r="BB66"/>
      <c r="BC66"/>
      <c r="BD66"/>
      <c r="BE66"/>
      <c r="BF66"/>
      <c r="BG66"/>
    </row>
    <row r="67" spans="1:59" x14ac:dyDescent="0.25">
      <c r="A67" s="2"/>
      <c r="B67" s="22"/>
      <c r="C67" s="23"/>
      <c r="D67" s="2"/>
      <c r="E67" s="23"/>
      <c r="F67" s="24"/>
      <c r="G67" s="2"/>
      <c r="H67" s="10" t="e">
        <f>_xlfn.XLOOKUP(F67,Viloyatlar24[RegionName],Viloyatlar24[RegionId])</f>
        <v>#N/A</v>
      </c>
      <c r="I67" s="10" t="e">
        <f>_xlfn.XLOOKUP('Кўчмас мулк объектлари'!G67,Tumanlar23[DistrictName],Tumanlar23[DistrictId])</f>
        <v>#N/A</v>
      </c>
      <c r="J67" s="2"/>
      <c r="K67" s="24"/>
      <c r="L67" s="10" t="e">
        <f>_xlfn.XLOOKUP(K67,Ташкилотлар39[Ташкилотлар],Ташкилотлар39[TashklilotID])</f>
        <v>#N/A</v>
      </c>
      <c r="M67" s="26"/>
      <c r="N67" s="26"/>
      <c r="O67" s="24"/>
      <c r="P67" s="2"/>
      <c r="Q67" s="26"/>
      <c r="R67" s="26"/>
      <c r="S67" s="26"/>
      <c r="T67" s="26"/>
      <c r="U67" s="24"/>
      <c r="V67" s="10" t="e">
        <f>_xlfn.XLOOKUP(U67,Таклифлар37[Таклифлар],Таклифлар37[TaklifID])</f>
        <v>#N/A</v>
      </c>
      <c r="W67" s="24"/>
      <c r="X67" s="23"/>
      <c r="Y67" s="7"/>
      <c r="Z67" s="26"/>
      <c r="AB67" s="23"/>
      <c r="AD67" s="2"/>
      <c r="AF67" s="2"/>
      <c r="AG67" s="23"/>
      <c r="AI67" s="26"/>
      <c r="AJ67" s="23"/>
      <c r="AK67" s="2"/>
      <c r="AM67" s="23"/>
      <c r="AO67" s="32"/>
      <c r="AP67" s="26"/>
      <c r="AR67" s="26"/>
      <c r="AS67" s="24"/>
      <c r="AT67" s="24"/>
      <c r="AU67" s="31"/>
      <c r="AV67" s="24"/>
      <c r="AW67"/>
      <c r="AX67"/>
      <c r="AY67"/>
      <c r="AZ67"/>
      <c r="BA67"/>
      <c r="BB67"/>
      <c r="BC67"/>
      <c r="BD67"/>
      <c r="BE67"/>
      <c r="BF67"/>
      <c r="BG67"/>
    </row>
    <row r="68" spans="1:59" x14ac:dyDescent="0.25">
      <c r="A68" s="2"/>
      <c r="B68" s="22"/>
      <c r="C68" s="23"/>
      <c r="D68" s="2"/>
      <c r="E68" s="23"/>
      <c r="F68" s="24"/>
      <c r="G68" s="2"/>
      <c r="H68" s="10" t="e">
        <f>_xlfn.XLOOKUP(F68,Viloyatlar24[RegionName],Viloyatlar24[RegionId])</f>
        <v>#N/A</v>
      </c>
      <c r="I68" s="10" t="e">
        <f>_xlfn.XLOOKUP('Кўчмас мулк объектлари'!G68,Tumanlar23[DistrictName],Tumanlar23[DistrictId])</f>
        <v>#N/A</v>
      </c>
      <c r="J68" s="2"/>
      <c r="K68" s="24"/>
      <c r="L68" s="10" t="e">
        <f>_xlfn.XLOOKUP(K68,Ташкилотлар39[Ташкилотлар],Ташкилотлар39[TashklilotID])</f>
        <v>#N/A</v>
      </c>
      <c r="M68" s="26"/>
      <c r="N68" s="26"/>
      <c r="O68" s="24"/>
      <c r="P68" s="2"/>
      <c r="Q68" s="26"/>
      <c r="R68" s="26"/>
      <c r="S68" s="26"/>
      <c r="T68" s="26"/>
      <c r="U68" s="24"/>
      <c r="V68" s="10" t="e">
        <f>_xlfn.XLOOKUP(U68,Таклифлар37[Таклифлар],Таклифлар37[TaklifID])</f>
        <v>#N/A</v>
      </c>
      <c r="W68" s="24"/>
      <c r="X68" s="23"/>
      <c r="Y68" s="7"/>
      <c r="Z68" s="26"/>
      <c r="AB68" s="23"/>
      <c r="AD68" s="2"/>
      <c r="AF68" s="2"/>
      <c r="AG68" s="23"/>
      <c r="AI68" s="26"/>
      <c r="AJ68" s="23"/>
      <c r="AK68" s="2"/>
      <c r="AM68" s="23"/>
      <c r="AO68" s="32"/>
      <c r="AP68" s="26"/>
      <c r="AR68" s="26"/>
      <c r="AS68" s="24"/>
      <c r="AT68" s="24"/>
      <c r="AU68" s="31"/>
      <c r="AV68" s="24"/>
      <c r="AW68"/>
      <c r="AX68"/>
      <c r="AY68"/>
      <c r="AZ68"/>
      <c r="BA68"/>
      <c r="BB68"/>
      <c r="BC68"/>
      <c r="BD68"/>
      <c r="BE68"/>
      <c r="BF68"/>
      <c r="BG68"/>
    </row>
    <row r="69" spans="1:59" x14ac:dyDescent="0.25">
      <c r="A69" s="2"/>
      <c r="B69" s="22"/>
      <c r="C69" s="23"/>
      <c r="D69" s="2"/>
      <c r="E69" s="23"/>
      <c r="F69" s="24"/>
      <c r="G69" s="2"/>
      <c r="H69" s="10" t="e">
        <f>_xlfn.XLOOKUP(F69,Viloyatlar24[RegionName],Viloyatlar24[RegionId])</f>
        <v>#N/A</v>
      </c>
      <c r="I69" s="10" t="e">
        <f>_xlfn.XLOOKUP('Кўчмас мулк объектлари'!G69,Tumanlar23[DistrictName],Tumanlar23[DistrictId])</f>
        <v>#N/A</v>
      </c>
      <c r="J69" s="2"/>
      <c r="K69" s="24"/>
      <c r="L69" s="10" t="e">
        <f>_xlfn.XLOOKUP(K69,Ташкилотлар39[Ташкилотлар],Ташкилотлар39[TashklilotID])</f>
        <v>#N/A</v>
      </c>
      <c r="M69" s="26"/>
      <c r="N69" s="26"/>
      <c r="O69" s="24"/>
      <c r="P69" s="2"/>
      <c r="Q69" s="26"/>
      <c r="R69" s="26"/>
      <c r="S69" s="26"/>
      <c r="T69" s="26"/>
      <c r="U69" s="24"/>
      <c r="V69" s="10" t="e">
        <f>_xlfn.XLOOKUP(U69,Таклифлар37[Таклифлар],Таклифлар37[TaklifID])</f>
        <v>#N/A</v>
      </c>
      <c r="W69" s="24"/>
      <c r="X69" s="23"/>
      <c r="Y69" s="7"/>
      <c r="Z69" s="26"/>
      <c r="AB69" s="23"/>
      <c r="AD69" s="2"/>
      <c r="AF69" s="2"/>
      <c r="AG69" s="23"/>
      <c r="AI69" s="26"/>
      <c r="AJ69" s="23"/>
      <c r="AK69" s="2"/>
      <c r="AM69" s="23"/>
      <c r="AO69" s="32"/>
      <c r="AP69" s="26"/>
      <c r="AR69" s="26"/>
      <c r="AS69" s="24"/>
      <c r="AT69" s="24"/>
      <c r="AU69" s="31"/>
      <c r="AV69" s="24"/>
      <c r="AW69"/>
      <c r="AX69"/>
      <c r="AY69"/>
      <c r="AZ69"/>
      <c r="BA69"/>
      <c r="BB69"/>
      <c r="BC69"/>
      <c r="BD69"/>
      <c r="BE69"/>
      <c r="BF69"/>
      <c r="BG69"/>
    </row>
    <row r="70" spans="1:59" x14ac:dyDescent="0.25">
      <c r="A70" s="2"/>
      <c r="B70" s="22"/>
      <c r="C70" s="23"/>
      <c r="D70" s="2"/>
      <c r="E70" s="23"/>
      <c r="F70" s="24"/>
      <c r="G70" s="2"/>
      <c r="H70" s="10" t="e">
        <f>_xlfn.XLOOKUP(F70,Viloyatlar24[RegionName],Viloyatlar24[RegionId])</f>
        <v>#N/A</v>
      </c>
      <c r="I70" s="10" t="e">
        <f>_xlfn.XLOOKUP('Кўчмас мулк объектлари'!G70,Tumanlar23[DistrictName],Tumanlar23[DistrictId])</f>
        <v>#N/A</v>
      </c>
      <c r="J70" s="2"/>
      <c r="K70" s="24"/>
      <c r="L70" s="10" t="e">
        <f>_xlfn.XLOOKUP(K70,Ташкилотлар39[Ташкилотлар],Ташкилотлар39[TashklilotID])</f>
        <v>#N/A</v>
      </c>
      <c r="M70" s="26"/>
      <c r="N70" s="26"/>
      <c r="O70" s="24"/>
      <c r="P70" s="2"/>
      <c r="Q70" s="26"/>
      <c r="R70" s="26"/>
      <c r="S70" s="26"/>
      <c r="T70" s="26"/>
      <c r="U70" s="24"/>
      <c r="V70" s="10" t="e">
        <f>_xlfn.XLOOKUP(U70,Таклифлар37[Таклифлар],Таклифлар37[TaklifID])</f>
        <v>#N/A</v>
      </c>
      <c r="W70" s="24"/>
      <c r="X70" s="23"/>
      <c r="Y70" s="7"/>
      <c r="Z70" s="26"/>
      <c r="AB70" s="23"/>
      <c r="AD70" s="2"/>
      <c r="AF70" s="2"/>
      <c r="AG70" s="23"/>
      <c r="AI70" s="26"/>
      <c r="AJ70" s="23"/>
      <c r="AK70" s="2"/>
      <c r="AM70" s="23"/>
      <c r="AO70" s="32"/>
      <c r="AP70" s="26"/>
      <c r="AR70" s="26"/>
      <c r="AS70" s="24"/>
      <c r="AT70" s="24"/>
      <c r="AU70" s="31"/>
      <c r="AV70" s="24"/>
      <c r="AW70"/>
      <c r="AX70"/>
      <c r="AY70"/>
      <c r="AZ70"/>
      <c r="BA70"/>
      <c r="BB70"/>
      <c r="BC70"/>
      <c r="BD70"/>
      <c r="BE70"/>
      <c r="BF70"/>
      <c r="BG70"/>
    </row>
    <row r="71" spans="1:59" x14ac:dyDescent="0.25">
      <c r="A71" s="2"/>
      <c r="B71" s="22"/>
      <c r="C71" s="23"/>
      <c r="D71" s="2"/>
      <c r="E71" s="23"/>
      <c r="F71" s="24"/>
      <c r="G71" s="2"/>
      <c r="H71" s="10" t="e">
        <f>_xlfn.XLOOKUP(F71,Viloyatlar24[RegionName],Viloyatlar24[RegionId])</f>
        <v>#N/A</v>
      </c>
      <c r="I71" s="10" t="e">
        <f>_xlfn.XLOOKUP('Кўчмас мулк объектлари'!G71,Tumanlar23[DistrictName],Tumanlar23[DistrictId])</f>
        <v>#N/A</v>
      </c>
      <c r="J71" s="2"/>
      <c r="K71" s="24"/>
      <c r="L71" s="10" t="e">
        <f>_xlfn.XLOOKUP(K71,Ташкилотлар39[Ташкилотлар],Ташкилотлар39[TashklilotID])</f>
        <v>#N/A</v>
      </c>
      <c r="M71" s="26"/>
      <c r="N71" s="26"/>
      <c r="O71" s="24"/>
      <c r="P71" s="2"/>
      <c r="Q71" s="26"/>
      <c r="R71" s="26"/>
      <c r="S71" s="26"/>
      <c r="T71" s="26"/>
      <c r="U71" s="24"/>
      <c r="V71" s="10" t="e">
        <f>_xlfn.XLOOKUP(U71,Таклифлар37[Таклифлар],Таклифлар37[TaklifID])</f>
        <v>#N/A</v>
      </c>
      <c r="W71" s="24"/>
      <c r="X71" s="23"/>
      <c r="Y71" s="7"/>
      <c r="Z71" s="26"/>
      <c r="AB71" s="23"/>
      <c r="AD71" s="2"/>
      <c r="AF71" s="2"/>
      <c r="AG71" s="23"/>
      <c r="AI71" s="26"/>
      <c r="AJ71" s="23"/>
      <c r="AK71" s="2"/>
      <c r="AM71" s="23"/>
      <c r="AO71" s="32"/>
      <c r="AP71" s="26"/>
      <c r="AR71" s="26"/>
      <c r="AS71" s="24"/>
      <c r="AT71" s="24"/>
      <c r="AU71" s="31"/>
      <c r="AV71" s="24"/>
      <c r="AW71"/>
      <c r="AX71"/>
      <c r="AY71"/>
      <c r="AZ71"/>
      <c r="BA71"/>
      <c r="BB71"/>
      <c r="BC71"/>
      <c r="BD71"/>
      <c r="BE71"/>
      <c r="BF71"/>
      <c r="BG71"/>
    </row>
    <row r="72" spans="1:59" x14ac:dyDescent="0.25">
      <c r="A72" s="2"/>
      <c r="B72" s="22"/>
      <c r="C72" s="23"/>
      <c r="D72" s="2"/>
      <c r="E72" s="23"/>
      <c r="F72" s="24"/>
      <c r="G72" s="2"/>
      <c r="H72" s="10" t="e">
        <f>_xlfn.XLOOKUP(F72,Viloyatlar24[RegionName],Viloyatlar24[RegionId])</f>
        <v>#N/A</v>
      </c>
      <c r="I72" s="10" t="e">
        <f>_xlfn.XLOOKUP('Кўчмас мулк объектлари'!G72,Tumanlar23[DistrictName],Tumanlar23[DistrictId])</f>
        <v>#N/A</v>
      </c>
      <c r="J72" s="2"/>
      <c r="K72" s="24"/>
      <c r="L72" s="10" t="e">
        <f>_xlfn.XLOOKUP(K72,Ташкилотлар39[Ташкилотлар],Ташкилотлар39[TashklilotID])</f>
        <v>#N/A</v>
      </c>
      <c r="M72" s="26"/>
      <c r="N72" s="26"/>
      <c r="O72" s="24"/>
      <c r="P72" s="2"/>
      <c r="Q72" s="26"/>
      <c r="R72" s="26"/>
      <c r="S72" s="26"/>
      <c r="T72" s="26"/>
      <c r="U72" s="24"/>
      <c r="V72" s="10" t="e">
        <f>_xlfn.XLOOKUP(U72,Таклифлар37[Таклифлар],Таклифлар37[TaklifID])</f>
        <v>#N/A</v>
      </c>
      <c r="W72" s="24"/>
      <c r="X72" s="23"/>
      <c r="Y72" s="7"/>
      <c r="Z72" s="26"/>
      <c r="AB72" s="23"/>
      <c r="AD72" s="2"/>
      <c r="AF72" s="2"/>
      <c r="AG72" s="23"/>
      <c r="AI72" s="26"/>
      <c r="AJ72" s="23"/>
      <c r="AK72" s="2"/>
      <c r="AM72" s="23"/>
      <c r="AO72" s="32"/>
      <c r="AP72" s="26"/>
      <c r="AR72" s="26"/>
      <c r="AS72" s="24"/>
      <c r="AT72" s="24"/>
      <c r="AU72" s="31"/>
      <c r="AV72" s="24"/>
      <c r="AW72"/>
      <c r="AX72"/>
      <c r="AY72"/>
      <c r="AZ72"/>
      <c r="BA72"/>
      <c r="BB72"/>
      <c r="BC72"/>
      <c r="BD72"/>
      <c r="BE72"/>
      <c r="BF72"/>
      <c r="BG72"/>
    </row>
    <row r="73" spans="1:59" x14ac:dyDescent="0.25">
      <c r="A73" s="2"/>
      <c r="B73" s="22"/>
      <c r="C73" s="23"/>
      <c r="D73" s="2"/>
      <c r="E73" s="23"/>
      <c r="F73" s="24"/>
      <c r="G73" s="2"/>
      <c r="H73" s="10" t="e">
        <f>_xlfn.XLOOKUP(F73,Viloyatlar24[RegionName],Viloyatlar24[RegionId])</f>
        <v>#N/A</v>
      </c>
      <c r="I73" s="10" t="e">
        <f>_xlfn.XLOOKUP('Кўчмас мулк объектлари'!G73,Tumanlar23[DistrictName],Tumanlar23[DistrictId])</f>
        <v>#N/A</v>
      </c>
      <c r="J73" s="2"/>
      <c r="K73" s="24"/>
      <c r="L73" s="10" t="e">
        <f>_xlfn.XLOOKUP(K73,Ташкилотлар39[Ташкилотлар],Ташкилотлар39[TashklilotID])</f>
        <v>#N/A</v>
      </c>
      <c r="M73" s="26"/>
      <c r="N73" s="26"/>
      <c r="O73" s="24"/>
      <c r="P73" s="2"/>
      <c r="Q73" s="26"/>
      <c r="R73" s="26"/>
      <c r="S73" s="26"/>
      <c r="T73" s="26"/>
      <c r="U73" s="24"/>
      <c r="V73" s="10" t="e">
        <f>_xlfn.XLOOKUP(U73,Таклифлар37[Таклифлар],Таклифлар37[TaklifID])</f>
        <v>#N/A</v>
      </c>
      <c r="W73" s="24"/>
      <c r="X73" s="23"/>
      <c r="Y73" s="7"/>
      <c r="Z73" s="26"/>
      <c r="AB73" s="23"/>
      <c r="AD73" s="2"/>
      <c r="AF73" s="2"/>
      <c r="AG73" s="23"/>
      <c r="AI73" s="26"/>
      <c r="AJ73" s="23"/>
      <c r="AK73" s="2"/>
      <c r="AM73" s="23"/>
      <c r="AO73" s="32"/>
      <c r="AP73" s="26"/>
      <c r="AR73" s="26"/>
      <c r="AS73" s="24"/>
      <c r="AT73" s="24"/>
      <c r="AU73" s="31"/>
      <c r="AV73" s="24"/>
      <c r="AW73"/>
      <c r="AX73"/>
      <c r="AY73"/>
      <c r="AZ73"/>
      <c r="BA73"/>
      <c r="BB73"/>
      <c r="BC73"/>
      <c r="BD73"/>
      <c r="BE73"/>
      <c r="BF73"/>
      <c r="BG73"/>
    </row>
    <row r="74" spans="1:59" x14ac:dyDescent="0.25">
      <c r="A74" s="2"/>
      <c r="B74" s="22"/>
      <c r="C74" s="23"/>
      <c r="D74" s="2"/>
      <c r="E74" s="23"/>
      <c r="F74" s="24"/>
      <c r="G74" s="2"/>
      <c r="H74" s="10" t="e">
        <f>_xlfn.XLOOKUP(F74,Viloyatlar24[RegionName],Viloyatlar24[RegionId])</f>
        <v>#N/A</v>
      </c>
      <c r="I74" s="10" t="e">
        <f>_xlfn.XLOOKUP('Кўчмас мулк объектлари'!G74,Tumanlar23[DistrictName],Tumanlar23[DistrictId])</f>
        <v>#N/A</v>
      </c>
      <c r="J74" s="2"/>
      <c r="K74" s="24"/>
      <c r="L74" s="10" t="e">
        <f>_xlfn.XLOOKUP(K74,Ташкилотлар39[Ташкилотлар],Ташкилотлар39[TashklilotID])</f>
        <v>#N/A</v>
      </c>
      <c r="M74" s="26"/>
      <c r="N74" s="26"/>
      <c r="O74" s="24"/>
      <c r="P74" s="2"/>
      <c r="Q74" s="26"/>
      <c r="R74" s="26"/>
      <c r="S74" s="26"/>
      <c r="T74" s="26"/>
      <c r="U74" s="24"/>
      <c r="V74" s="10" t="e">
        <f>_xlfn.XLOOKUP(U74,Таклифлар37[Таклифлар],Таклифлар37[TaklifID])</f>
        <v>#N/A</v>
      </c>
      <c r="W74" s="24"/>
      <c r="X74" s="23"/>
      <c r="Y74" s="7"/>
      <c r="Z74" s="26"/>
      <c r="AB74" s="23"/>
      <c r="AD74" s="2"/>
      <c r="AF74" s="2"/>
      <c r="AG74" s="23"/>
      <c r="AI74" s="26"/>
      <c r="AJ74" s="23"/>
      <c r="AK74" s="2"/>
      <c r="AM74" s="23"/>
      <c r="AO74" s="32"/>
      <c r="AP74" s="26"/>
      <c r="AR74" s="26"/>
      <c r="AS74" s="24"/>
      <c r="AT74" s="24"/>
      <c r="AU74" s="31"/>
      <c r="AV74" s="24"/>
      <c r="AW74"/>
      <c r="AX74"/>
      <c r="AY74"/>
      <c r="AZ74"/>
      <c r="BA74"/>
      <c r="BB74"/>
      <c r="BC74"/>
      <c r="BD74"/>
      <c r="BE74"/>
      <c r="BF74"/>
      <c r="BG74"/>
    </row>
    <row r="75" spans="1:59" x14ac:dyDescent="0.25">
      <c r="A75" s="2"/>
      <c r="B75" s="22"/>
      <c r="C75" s="23"/>
      <c r="D75" s="2"/>
      <c r="E75" s="23"/>
      <c r="F75" s="24"/>
      <c r="G75" s="2"/>
      <c r="H75" s="10" t="e">
        <f>_xlfn.XLOOKUP(F75,Viloyatlar24[RegionName],Viloyatlar24[RegionId])</f>
        <v>#N/A</v>
      </c>
      <c r="I75" s="10" t="e">
        <f>_xlfn.XLOOKUP('Кўчмас мулк объектлари'!G75,Tumanlar23[DistrictName],Tumanlar23[DistrictId])</f>
        <v>#N/A</v>
      </c>
      <c r="J75" s="2"/>
      <c r="K75" s="24"/>
      <c r="L75" s="10" t="e">
        <f>_xlfn.XLOOKUP(K75,Ташкилотлар39[Ташкилотлар],Ташкилотлар39[TashklilotID])</f>
        <v>#N/A</v>
      </c>
      <c r="M75" s="26"/>
      <c r="N75" s="26"/>
      <c r="O75" s="24"/>
      <c r="P75" s="2"/>
      <c r="Q75" s="26"/>
      <c r="R75" s="26"/>
      <c r="S75" s="26"/>
      <c r="T75" s="26"/>
      <c r="U75" s="24"/>
      <c r="V75" s="10" t="e">
        <f>_xlfn.XLOOKUP(U75,Таклифлар37[Таклифлар],Таклифлар37[TaklifID])</f>
        <v>#N/A</v>
      </c>
      <c r="W75" s="24"/>
      <c r="X75" s="23"/>
      <c r="Y75" s="7"/>
      <c r="Z75" s="26"/>
      <c r="AB75" s="23"/>
      <c r="AD75" s="2"/>
      <c r="AF75" s="2"/>
      <c r="AG75" s="23"/>
      <c r="AI75" s="26"/>
      <c r="AJ75" s="23"/>
      <c r="AK75" s="2"/>
      <c r="AM75" s="23"/>
      <c r="AO75" s="32"/>
      <c r="AP75" s="26"/>
      <c r="AR75" s="26"/>
      <c r="AS75" s="24"/>
      <c r="AT75" s="24"/>
      <c r="AU75" s="31"/>
      <c r="AV75" s="24"/>
      <c r="AW75"/>
      <c r="AX75"/>
      <c r="AY75"/>
      <c r="AZ75"/>
      <c r="BA75"/>
      <c r="BB75"/>
      <c r="BC75"/>
      <c r="BD75"/>
      <c r="BE75"/>
      <c r="BF75"/>
      <c r="BG75"/>
    </row>
    <row r="76" spans="1:59" x14ac:dyDescent="0.25">
      <c r="A76" s="2"/>
      <c r="B76" s="22"/>
      <c r="C76" s="23"/>
      <c r="D76" s="2"/>
      <c r="E76" s="23"/>
      <c r="F76" s="24"/>
      <c r="G76" s="2"/>
      <c r="H76" s="10" t="e">
        <f>_xlfn.XLOOKUP(F76,Viloyatlar24[RegionName],Viloyatlar24[RegionId])</f>
        <v>#N/A</v>
      </c>
      <c r="I76" s="10" t="e">
        <f>_xlfn.XLOOKUP('Кўчмас мулк объектлари'!G76,Tumanlar23[DistrictName],Tumanlar23[DistrictId])</f>
        <v>#N/A</v>
      </c>
      <c r="J76" s="2"/>
      <c r="K76" s="24"/>
      <c r="L76" s="10" t="e">
        <f>_xlfn.XLOOKUP(K76,Ташкилотлар39[Ташкилотлар],Ташкилотлар39[TashklilotID])</f>
        <v>#N/A</v>
      </c>
      <c r="M76" s="26"/>
      <c r="N76" s="26"/>
      <c r="O76" s="24"/>
      <c r="P76" s="2"/>
      <c r="Q76" s="26"/>
      <c r="R76" s="26"/>
      <c r="S76" s="26"/>
      <c r="T76" s="26"/>
      <c r="U76" s="24"/>
      <c r="V76" s="10" t="e">
        <f>_xlfn.XLOOKUP(U76,Таклифлар37[Таклифлар],Таклифлар37[TaklifID])</f>
        <v>#N/A</v>
      </c>
      <c r="W76" s="24"/>
      <c r="X76" s="23"/>
      <c r="Y76" s="7"/>
      <c r="Z76" s="26"/>
      <c r="AB76" s="23"/>
      <c r="AD76" s="2"/>
      <c r="AF76" s="2"/>
      <c r="AG76" s="23"/>
      <c r="AI76" s="26"/>
      <c r="AJ76" s="23"/>
      <c r="AK76" s="2"/>
      <c r="AM76" s="23"/>
      <c r="AO76" s="32"/>
      <c r="AP76" s="26"/>
      <c r="AR76" s="26"/>
      <c r="AS76" s="24"/>
      <c r="AT76" s="24"/>
      <c r="AU76" s="31"/>
      <c r="AV76" s="24"/>
      <c r="AW76"/>
      <c r="AX76"/>
      <c r="AY76"/>
      <c r="AZ76"/>
      <c r="BA76"/>
      <c r="BB76"/>
      <c r="BC76"/>
      <c r="BD76"/>
      <c r="BE76"/>
      <c r="BF76"/>
      <c r="BG76"/>
    </row>
    <row r="77" spans="1:59" x14ac:dyDescent="0.25">
      <c r="A77" s="2"/>
      <c r="B77" s="22"/>
      <c r="C77" s="23"/>
      <c r="D77" s="2"/>
      <c r="E77" s="23"/>
      <c r="F77" s="24"/>
      <c r="G77" s="2"/>
      <c r="H77" s="10" t="e">
        <f>_xlfn.XLOOKUP(F77,Viloyatlar24[RegionName],Viloyatlar24[RegionId])</f>
        <v>#N/A</v>
      </c>
      <c r="I77" s="10" t="e">
        <f>_xlfn.XLOOKUP('Кўчмас мулк объектлари'!G77,Tumanlar23[DistrictName],Tumanlar23[DistrictId])</f>
        <v>#N/A</v>
      </c>
      <c r="J77" s="2"/>
      <c r="K77" s="24"/>
      <c r="L77" s="10" t="e">
        <f>_xlfn.XLOOKUP(K77,Ташкилотлар39[Ташкилотлар],Ташкилотлар39[TashklilotID])</f>
        <v>#N/A</v>
      </c>
      <c r="M77" s="26"/>
      <c r="N77" s="26"/>
      <c r="O77" s="24"/>
      <c r="P77" s="2"/>
      <c r="Q77" s="26"/>
      <c r="R77" s="26"/>
      <c r="S77" s="26"/>
      <c r="T77" s="26"/>
      <c r="U77" s="24"/>
      <c r="V77" s="10" t="e">
        <f>_xlfn.XLOOKUP(U77,Таклифлар37[Таклифлар],Таклифлар37[TaklifID])</f>
        <v>#N/A</v>
      </c>
      <c r="W77" s="24"/>
      <c r="X77" s="23"/>
      <c r="Y77" s="7"/>
      <c r="Z77" s="26"/>
      <c r="AB77" s="23"/>
      <c r="AD77" s="2"/>
      <c r="AF77" s="2"/>
      <c r="AG77" s="23"/>
      <c r="AI77" s="26"/>
      <c r="AJ77" s="23"/>
      <c r="AK77" s="2"/>
      <c r="AM77" s="23"/>
      <c r="AO77" s="32"/>
      <c r="AP77" s="26"/>
      <c r="AR77" s="26"/>
      <c r="AS77" s="24"/>
      <c r="AT77" s="24"/>
      <c r="AU77" s="31"/>
      <c r="AV77" s="24"/>
      <c r="AW77"/>
      <c r="AX77"/>
      <c r="AY77"/>
      <c r="AZ77"/>
      <c r="BA77"/>
      <c r="BB77"/>
      <c r="BC77"/>
      <c r="BD77"/>
      <c r="BE77"/>
      <c r="BF77"/>
      <c r="BG77"/>
    </row>
    <row r="78" spans="1:59" x14ac:dyDescent="0.25">
      <c r="A78" s="2"/>
      <c r="B78" s="22"/>
      <c r="C78" s="23"/>
      <c r="D78" s="2"/>
      <c r="E78" s="23"/>
      <c r="F78" s="24"/>
      <c r="G78" s="2"/>
      <c r="H78" s="10" t="e">
        <f>_xlfn.XLOOKUP(F78,Viloyatlar24[RegionName],Viloyatlar24[RegionId])</f>
        <v>#N/A</v>
      </c>
      <c r="I78" s="10" t="e">
        <f>_xlfn.XLOOKUP('Кўчмас мулк объектлари'!G78,Tumanlar23[DistrictName],Tumanlar23[DistrictId])</f>
        <v>#N/A</v>
      </c>
      <c r="J78" s="2"/>
      <c r="K78" s="24"/>
      <c r="L78" s="10" t="e">
        <f>_xlfn.XLOOKUP(K78,Ташкилотлар39[Ташкилотлар],Ташкилотлар39[TashklilotID])</f>
        <v>#N/A</v>
      </c>
      <c r="M78" s="26"/>
      <c r="N78" s="26"/>
      <c r="O78" s="24"/>
      <c r="P78" s="2"/>
      <c r="Q78" s="26"/>
      <c r="R78" s="26"/>
      <c r="S78" s="26"/>
      <c r="T78" s="26"/>
      <c r="U78" s="24"/>
      <c r="V78" s="10" t="e">
        <f>_xlfn.XLOOKUP(U78,Таклифлар37[Таклифлар],Таклифлар37[TaklifID])</f>
        <v>#N/A</v>
      </c>
      <c r="W78" s="24"/>
      <c r="X78" s="23"/>
      <c r="Y78" s="7"/>
      <c r="Z78" s="26"/>
      <c r="AB78" s="23"/>
      <c r="AD78" s="2"/>
      <c r="AF78" s="2"/>
      <c r="AG78" s="23"/>
      <c r="AI78" s="26"/>
      <c r="AJ78" s="23"/>
      <c r="AK78" s="2"/>
      <c r="AM78" s="23"/>
      <c r="AO78" s="32"/>
      <c r="AP78" s="26"/>
      <c r="AR78" s="26"/>
      <c r="AS78" s="24"/>
      <c r="AT78" s="24"/>
      <c r="AU78" s="31"/>
      <c r="AV78" s="24"/>
      <c r="AW78"/>
      <c r="AX78"/>
      <c r="AY78"/>
      <c r="AZ78"/>
      <c r="BA78"/>
      <c r="BB78"/>
      <c r="BC78"/>
      <c r="BD78"/>
      <c r="BE78"/>
      <c r="BF78"/>
      <c r="BG78"/>
    </row>
    <row r="79" spans="1:59" x14ac:dyDescent="0.25">
      <c r="A79" s="2"/>
      <c r="B79" s="22"/>
      <c r="C79" s="23"/>
      <c r="D79" s="2"/>
      <c r="E79" s="23"/>
      <c r="F79" s="24"/>
      <c r="G79" s="2"/>
      <c r="H79" s="10" t="e">
        <f>_xlfn.XLOOKUP(F79,Viloyatlar24[RegionName],Viloyatlar24[RegionId])</f>
        <v>#N/A</v>
      </c>
      <c r="I79" s="10" t="e">
        <f>_xlfn.XLOOKUP('Кўчмас мулк объектлари'!G79,Tumanlar23[DistrictName],Tumanlar23[DistrictId])</f>
        <v>#N/A</v>
      </c>
      <c r="J79" s="2"/>
      <c r="K79" s="24"/>
      <c r="L79" s="10" t="e">
        <f>_xlfn.XLOOKUP(K79,Ташкилотлар39[Ташкилотлар],Ташкилотлар39[TashklilotID])</f>
        <v>#N/A</v>
      </c>
      <c r="M79" s="26"/>
      <c r="N79" s="26"/>
      <c r="O79" s="24"/>
      <c r="P79" s="2"/>
      <c r="Q79" s="26"/>
      <c r="R79" s="26"/>
      <c r="S79" s="26"/>
      <c r="T79" s="26"/>
      <c r="U79" s="24"/>
      <c r="V79" s="10" t="e">
        <f>_xlfn.XLOOKUP(U79,Таклифлар37[Таклифлар],Таклифлар37[TaklifID])</f>
        <v>#N/A</v>
      </c>
      <c r="W79" s="24"/>
      <c r="X79" s="23"/>
      <c r="Y79" s="7"/>
      <c r="Z79" s="26"/>
      <c r="AB79" s="23"/>
      <c r="AD79" s="2"/>
      <c r="AF79" s="2"/>
      <c r="AG79" s="23"/>
      <c r="AI79" s="26"/>
      <c r="AJ79" s="23"/>
      <c r="AK79" s="2"/>
      <c r="AM79" s="23"/>
      <c r="AO79" s="32"/>
      <c r="AP79" s="26"/>
      <c r="AR79" s="26"/>
      <c r="AS79" s="24"/>
      <c r="AT79" s="24"/>
      <c r="AU79" s="31"/>
      <c r="AV79" s="24"/>
      <c r="AW79"/>
      <c r="AX79"/>
      <c r="AY79"/>
      <c r="AZ79"/>
      <c r="BA79"/>
      <c r="BB79"/>
      <c r="BC79"/>
      <c r="BD79"/>
      <c r="BE79"/>
      <c r="BF79"/>
      <c r="BG79"/>
    </row>
    <row r="80" spans="1:59" x14ac:dyDescent="0.25">
      <c r="A80" s="2"/>
      <c r="B80" s="22"/>
      <c r="C80" s="23"/>
      <c r="D80" s="2"/>
      <c r="E80" s="23"/>
      <c r="F80" s="24"/>
      <c r="G80" s="2"/>
      <c r="H80" s="10" t="e">
        <f>_xlfn.XLOOKUP(F80,Viloyatlar24[RegionName],Viloyatlar24[RegionId])</f>
        <v>#N/A</v>
      </c>
      <c r="I80" s="10" t="e">
        <f>_xlfn.XLOOKUP('Кўчмас мулк объектлари'!G80,Tumanlar23[DistrictName],Tumanlar23[DistrictId])</f>
        <v>#N/A</v>
      </c>
      <c r="J80" s="2"/>
      <c r="K80" s="24"/>
      <c r="L80" s="10" t="e">
        <f>_xlfn.XLOOKUP(K80,Ташкилотлар39[Ташкилотлар],Ташкилотлар39[TashklilotID])</f>
        <v>#N/A</v>
      </c>
      <c r="M80" s="26"/>
      <c r="N80" s="26"/>
      <c r="O80" s="24"/>
      <c r="P80" s="2"/>
      <c r="Q80" s="26"/>
      <c r="R80" s="26"/>
      <c r="S80" s="26"/>
      <c r="T80" s="26"/>
      <c r="U80" s="24"/>
      <c r="V80" s="10" t="e">
        <f>_xlfn.XLOOKUP(U80,Таклифлар37[Таклифлар],Таклифлар37[TaklifID])</f>
        <v>#N/A</v>
      </c>
      <c r="W80" s="24"/>
      <c r="X80" s="23"/>
      <c r="Y80" s="7"/>
      <c r="Z80" s="26"/>
      <c r="AB80" s="23"/>
      <c r="AD80" s="2"/>
      <c r="AF80" s="2"/>
      <c r="AG80" s="23"/>
      <c r="AI80" s="26"/>
      <c r="AJ80" s="23"/>
      <c r="AK80" s="2"/>
      <c r="AM80" s="23"/>
      <c r="AO80" s="32"/>
      <c r="AP80" s="26"/>
      <c r="AR80" s="26"/>
      <c r="AS80" s="24"/>
      <c r="AT80" s="24"/>
      <c r="AU80" s="31"/>
      <c r="AV80" s="24"/>
      <c r="AW80"/>
      <c r="AX80"/>
      <c r="AY80"/>
      <c r="AZ80"/>
      <c r="BA80"/>
      <c r="BB80"/>
      <c r="BC80"/>
      <c r="BD80"/>
      <c r="BE80"/>
      <c r="BF80"/>
      <c r="BG80"/>
    </row>
    <row r="81" spans="1:59" x14ac:dyDescent="0.25">
      <c r="A81" s="2"/>
      <c r="B81" s="22"/>
      <c r="C81" s="23"/>
      <c r="D81" s="2"/>
      <c r="E81" s="23"/>
      <c r="F81" s="24"/>
      <c r="G81" s="2"/>
      <c r="H81" s="10" t="e">
        <f>_xlfn.XLOOKUP(F81,Viloyatlar24[RegionName],Viloyatlar24[RegionId])</f>
        <v>#N/A</v>
      </c>
      <c r="I81" s="10" t="e">
        <f>_xlfn.XLOOKUP('Кўчмас мулк объектлари'!G81,Tumanlar23[DistrictName],Tumanlar23[DistrictId])</f>
        <v>#N/A</v>
      </c>
      <c r="J81" s="2"/>
      <c r="K81" s="24"/>
      <c r="L81" s="10" t="e">
        <f>_xlfn.XLOOKUP(K81,Ташкилотлар39[Ташкилотлар],Ташкилотлар39[TashklilotID])</f>
        <v>#N/A</v>
      </c>
      <c r="M81" s="26"/>
      <c r="N81" s="26"/>
      <c r="O81" s="24"/>
      <c r="P81" s="2"/>
      <c r="Q81" s="26"/>
      <c r="R81" s="26"/>
      <c r="S81" s="26"/>
      <c r="T81" s="26"/>
      <c r="U81" s="24"/>
      <c r="V81" s="10" t="e">
        <f>_xlfn.XLOOKUP(U81,Таклифлар37[Таклифлар],Таклифлар37[TaklifID])</f>
        <v>#N/A</v>
      </c>
      <c r="W81" s="24"/>
      <c r="X81" s="23"/>
      <c r="Y81" s="7"/>
      <c r="Z81" s="26"/>
      <c r="AB81" s="23"/>
      <c r="AD81" s="2"/>
      <c r="AF81" s="2"/>
      <c r="AG81" s="23"/>
      <c r="AI81" s="26"/>
      <c r="AJ81" s="23"/>
      <c r="AK81" s="2"/>
      <c r="AM81" s="23"/>
      <c r="AO81" s="32"/>
      <c r="AP81" s="26"/>
      <c r="AR81" s="26"/>
      <c r="AS81" s="24"/>
      <c r="AT81" s="24"/>
      <c r="AU81" s="31"/>
      <c r="AV81" s="24"/>
      <c r="AW81"/>
      <c r="AX81"/>
      <c r="AY81"/>
      <c r="AZ81"/>
      <c r="BA81"/>
      <c r="BB81"/>
      <c r="BC81"/>
      <c r="BD81"/>
      <c r="BE81"/>
      <c r="BF81"/>
      <c r="BG81"/>
    </row>
    <row r="82" spans="1:59" x14ac:dyDescent="0.25">
      <c r="A82" s="2"/>
      <c r="B82" s="22"/>
      <c r="C82" s="23"/>
      <c r="D82" s="2"/>
      <c r="E82" s="23"/>
      <c r="F82" s="24"/>
      <c r="G82" s="2"/>
      <c r="H82" s="10" t="e">
        <f>_xlfn.XLOOKUP(F82,Viloyatlar24[RegionName],Viloyatlar24[RegionId])</f>
        <v>#N/A</v>
      </c>
      <c r="I82" s="10" t="e">
        <f>_xlfn.XLOOKUP('Кўчмас мулк объектлари'!G82,Tumanlar23[DistrictName],Tumanlar23[DistrictId])</f>
        <v>#N/A</v>
      </c>
      <c r="J82" s="2"/>
      <c r="K82" s="24"/>
      <c r="L82" s="10" t="e">
        <f>_xlfn.XLOOKUP(K82,Ташкилотлар39[Ташкилотлар],Ташкилотлар39[TashklilotID])</f>
        <v>#N/A</v>
      </c>
      <c r="M82" s="26"/>
      <c r="N82" s="26"/>
      <c r="O82" s="24"/>
      <c r="P82" s="2"/>
      <c r="Q82" s="26"/>
      <c r="R82" s="26"/>
      <c r="S82" s="26"/>
      <c r="T82" s="26"/>
      <c r="U82" s="24"/>
      <c r="V82" s="10" t="e">
        <f>_xlfn.XLOOKUP(U82,Таклифлар37[Таклифлар],Таклифлар37[TaklifID])</f>
        <v>#N/A</v>
      </c>
      <c r="W82" s="24"/>
      <c r="X82" s="23"/>
      <c r="Y82" s="7"/>
      <c r="Z82" s="26"/>
      <c r="AB82" s="23"/>
      <c r="AD82" s="2"/>
      <c r="AF82" s="2"/>
      <c r="AG82" s="23"/>
      <c r="AI82" s="26"/>
      <c r="AJ82" s="23"/>
      <c r="AK82" s="2"/>
      <c r="AM82" s="23"/>
      <c r="AO82" s="32"/>
      <c r="AP82" s="26"/>
      <c r="AR82" s="26"/>
      <c r="AS82" s="24"/>
      <c r="AT82" s="24"/>
      <c r="AU82" s="31"/>
      <c r="AV82" s="24"/>
      <c r="AW82"/>
      <c r="AX82"/>
      <c r="AY82"/>
      <c r="AZ82"/>
      <c r="BA82"/>
      <c r="BB82"/>
      <c r="BC82"/>
      <c r="BD82"/>
      <c r="BE82"/>
      <c r="BF82"/>
      <c r="BG82"/>
    </row>
    <row r="83" spans="1:59" x14ac:dyDescent="0.25">
      <c r="A83" s="2"/>
      <c r="B83" s="22"/>
      <c r="C83" s="23"/>
      <c r="D83" s="2"/>
      <c r="E83" s="23"/>
      <c r="F83" s="24"/>
      <c r="G83" s="2"/>
      <c r="H83" s="10" t="e">
        <f>_xlfn.XLOOKUP(F83,Viloyatlar24[RegionName],Viloyatlar24[RegionId])</f>
        <v>#N/A</v>
      </c>
      <c r="I83" s="10" t="e">
        <f>_xlfn.XLOOKUP('Кўчмас мулк объектлари'!G83,Tumanlar23[DistrictName],Tumanlar23[DistrictId])</f>
        <v>#N/A</v>
      </c>
      <c r="J83" s="2"/>
      <c r="K83" s="24"/>
      <c r="L83" s="10" t="e">
        <f>_xlfn.XLOOKUP(K83,Ташкилотлар39[Ташкилотлар],Ташкилотлар39[TashklilotID])</f>
        <v>#N/A</v>
      </c>
      <c r="M83" s="26"/>
      <c r="N83" s="26"/>
      <c r="O83" s="24"/>
      <c r="P83" s="2"/>
      <c r="Q83" s="26"/>
      <c r="R83" s="26"/>
      <c r="S83" s="26"/>
      <c r="T83" s="26"/>
      <c r="U83" s="24"/>
      <c r="V83" s="10" t="e">
        <f>_xlfn.XLOOKUP(U83,Таклифлар37[Таклифлар],Таклифлар37[TaklifID])</f>
        <v>#N/A</v>
      </c>
      <c r="W83" s="24"/>
      <c r="X83" s="23"/>
      <c r="Y83" s="7"/>
      <c r="Z83" s="26"/>
      <c r="AB83" s="23"/>
      <c r="AD83" s="2"/>
      <c r="AF83" s="2"/>
      <c r="AG83" s="23"/>
      <c r="AI83" s="26"/>
      <c r="AJ83" s="23"/>
      <c r="AK83" s="2"/>
      <c r="AM83" s="23"/>
      <c r="AO83" s="32"/>
      <c r="AP83" s="26"/>
      <c r="AR83" s="26"/>
      <c r="AS83" s="24"/>
      <c r="AT83" s="24"/>
      <c r="AU83" s="31"/>
      <c r="AV83" s="24"/>
      <c r="AW83"/>
      <c r="AX83"/>
      <c r="AY83"/>
      <c r="AZ83"/>
      <c r="BA83"/>
      <c r="BB83"/>
      <c r="BC83"/>
      <c r="BD83"/>
      <c r="BE83"/>
      <c r="BF83"/>
      <c r="BG83"/>
    </row>
    <row r="84" spans="1:59" x14ac:dyDescent="0.25">
      <c r="A84" s="2"/>
      <c r="B84" s="22"/>
      <c r="C84" s="23"/>
      <c r="D84" s="2"/>
      <c r="E84" s="23"/>
      <c r="F84" s="24"/>
      <c r="G84" s="2"/>
      <c r="H84" s="10" t="e">
        <f>_xlfn.XLOOKUP(F84,Viloyatlar24[RegionName],Viloyatlar24[RegionId])</f>
        <v>#N/A</v>
      </c>
      <c r="I84" s="10" t="e">
        <f>_xlfn.XLOOKUP('Кўчмас мулк объектлари'!G84,Tumanlar23[DistrictName],Tumanlar23[DistrictId])</f>
        <v>#N/A</v>
      </c>
      <c r="J84" s="2"/>
      <c r="K84" s="24"/>
      <c r="L84" s="10" t="e">
        <f>_xlfn.XLOOKUP(K84,Ташкилотлар39[Ташкилотлар],Ташкилотлар39[TashklilotID])</f>
        <v>#N/A</v>
      </c>
      <c r="M84" s="26"/>
      <c r="N84" s="26"/>
      <c r="O84" s="24"/>
      <c r="P84" s="2"/>
      <c r="Q84" s="26"/>
      <c r="R84" s="26"/>
      <c r="S84" s="26"/>
      <c r="T84" s="26"/>
      <c r="U84" s="24"/>
      <c r="V84" s="10" t="e">
        <f>_xlfn.XLOOKUP(U84,Таклифлар37[Таклифлар],Таклифлар37[TaklifID])</f>
        <v>#N/A</v>
      </c>
      <c r="W84" s="24"/>
      <c r="X84" s="23"/>
      <c r="Y84" s="7"/>
      <c r="Z84" s="26"/>
      <c r="AB84" s="23"/>
      <c r="AD84" s="2"/>
      <c r="AF84" s="2"/>
      <c r="AG84" s="23"/>
      <c r="AI84" s="26"/>
      <c r="AJ84" s="23"/>
      <c r="AK84" s="2"/>
      <c r="AM84" s="23"/>
      <c r="AO84" s="32"/>
      <c r="AP84" s="26"/>
      <c r="AR84" s="26"/>
      <c r="AS84" s="24"/>
      <c r="AT84" s="24"/>
      <c r="AU84" s="31"/>
      <c r="AV84" s="24"/>
      <c r="AW84"/>
      <c r="AX84"/>
      <c r="AY84"/>
      <c r="AZ84"/>
      <c r="BA84"/>
      <c r="BB84"/>
      <c r="BC84"/>
      <c r="BD84"/>
      <c r="BE84"/>
      <c r="BF84"/>
      <c r="BG84"/>
    </row>
    <row r="85" spans="1:59" x14ac:dyDescent="0.25">
      <c r="A85" s="2"/>
      <c r="B85" s="22"/>
      <c r="C85" s="23"/>
      <c r="D85" s="2"/>
      <c r="E85" s="23"/>
      <c r="F85" s="24"/>
      <c r="G85" s="2"/>
      <c r="H85" s="10" t="e">
        <f>_xlfn.XLOOKUP(F85,Viloyatlar24[RegionName],Viloyatlar24[RegionId])</f>
        <v>#N/A</v>
      </c>
      <c r="I85" s="10" t="e">
        <f>_xlfn.XLOOKUP('Кўчмас мулк объектлари'!G85,Tumanlar23[DistrictName],Tumanlar23[DistrictId])</f>
        <v>#N/A</v>
      </c>
      <c r="J85" s="2"/>
      <c r="K85" s="24"/>
      <c r="L85" s="10" t="e">
        <f>_xlfn.XLOOKUP(K85,Ташкилотлар39[Ташкилотлар],Ташкилотлар39[TashklilotID])</f>
        <v>#N/A</v>
      </c>
      <c r="M85" s="26"/>
      <c r="N85" s="26"/>
      <c r="O85" s="24"/>
      <c r="P85" s="2"/>
      <c r="Q85" s="26"/>
      <c r="R85" s="26"/>
      <c r="S85" s="26"/>
      <c r="T85" s="26"/>
      <c r="U85" s="24"/>
      <c r="V85" s="10" t="e">
        <f>_xlfn.XLOOKUP(U85,Таклифлар37[Таклифлар],Таклифлар37[TaklifID])</f>
        <v>#N/A</v>
      </c>
      <c r="W85" s="24"/>
      <c r="X85" s="23"/>
      <c r="Y85" s="7"/>
      <c r="Z85" s="26"/>
      <c r="AB85" s="23"/>
      <c r="AD85" s="2"/>
      <c r="AF85" s="2"/>
      <c r="AG85" s="23"/>
      <c r="AI85" s="26"/>
      <c r="AJ85" s="23"/>
      <c r="AK85" s="2"/>
      <c r="AM85" s="23"/>
      <c r="AO85" s="32"/>
      <c r="AP85" s="26"/>
      <c r="AR85" s="26"/>
      <c r="AS85" s="24"/>
      <c r="AT85" s="24"/>
      <c r="AU85" s="31"/>
      <c r="AV85" s="24"/>
      <c r="AW85"/>
      <c r="AX85"/>
      <c r="AY85"/>
      <c r="AZ85"/>
      <c r="BA85"/>
      <c r="BB85"/>
      <c r="BC85"/>
      <c r="BD85"/>
      <c r="BE85"/>
      <c r="BF85"/>
      <c r="BG85"/>
    </row>
    <row r="86" spans="1:59" x14ac:dyDescent="0.25">
      <c r="A86" s="2"/>
      <c r="B86" s="22"/>
      <c r="C86" s="23"/>
      <c r="D86" s="2"/>
      <c r="E86" s="23"/>
      <c r="F86" s="24"/>
      <c r="G86" s="2"/>
      <c r="H86" s="10" t="e">
        <f>_xlfn.XLOOKUP(F86,Viloyatlar24[RegionName],Viloyatlar24[RegionId])</f>
        <v>#N/A</v>
      </c>
      <c r="I86" s="10" t="e">
        <f>_xlfn.XLOOKUP('Кўчмас мулк объектлари'!G86,Tumanlar23[DistrictName],Tumanlar23[DistrictId])</f>
        <v>#N/A</v>
      </c>
      <c r="J86" s="2"/>
      <c r="K86" s="24"/>
      <c r="L86" s="10" t="e">
        <f>_xlfn.XLOOKUP(K86,Ташкилотлар39[Ташкилотлар],Ташкилотлар39[TashklilotID])</f>
        <v>#N/A</v>
      </c>
      <c r="M86" s="26"/>
      <c r="N86" s="26"/>
      <c r="O86" s="24"/>
      <c r="P86" s="2"/>
      <c r="Q86" s="26"/>
      <c r="R86" s="26"/>
      <c r="S86" s="26"/>
      <c r="T86" s="26"/>
      <c r="U86" s="24"/>
      <c r="V86" s="10" t="e">
        <f>_xlfn.XLOOKUP(U86,Таклифлар37[Таклифлар],Таклифлар37[TaklifID])</f>
        <v>#N/A</v>
      </c>
      <c r="W86" s="24"/>
      <c r="X86" s="23"/>
      <c r="Y86" s="7"/>
      <c r="Z86" s="26"/>
      <c r="AB86" s="23"/>
      <c r="AD86" s="2"/>
      <c r="AF86" s="2"/>
      <c r="AG86" s="23"/>
      <c r="AI86" s="26"/>
      <c r="AJ86" s="23"/>
      <c r="AK86" s="2"/>
      <c r="AM86" s="23"/>
      <c r="AO86" s="32"/>
      <c r="AP86" s="26"/>
      <c r="AR86" s="26"/>
      <c r="AS86" s="24"/>
      <c r="AT86" s="24"/>
      <c r="AU86" s="31"/>
      <c r="AV86" s="24"/>
      <c r="AW86"/>
      <c r="AX86"/>
      <c r="AY86"/>
      <c r="AZ86"/>
      <c r="BA86"/>
      <c r="BB86"/>
      <c r="BC86"/>
      <c r="BD86"/>
      <c r="BE86"/>
      <c r="BF86"/>
      <c r="BG86"/>
    </row>
    <row r="87" spans="1:59" x14ac:dyDescent="0.25">
      <c r="A87" s="2"/>
      <c r="B87" s="22"/>
      <c r="C87" s="23"/>
      <c r="D87" s="2"/>
      <c r="E87" s="23"/>
      <c r="F87" s="24"/>
      <c r="G87" s="2"/>
      <c r="H87" s="10" t="e">
        <f>_xlfn.XLOOKUP(F87,Viloyatlar24[RegionName],Viloyatlar24[RegionId])</f>
        <v>#N/A</v>
      </c>
      <c r="I87" s="10" t="e">
        <f>_xlfn.XLOOKUP('Кўчмас мулк объектлари'!G87,Tumanlar23[DistrictName],Tumanlar23[DistrictId])</f>
        <v>#N/A</v>
      </c>
      <c r="J87" s="2"/>
      <c r="K87" s="24"/>
      <c r="L87" s="10" t="e">
        <f>_xlfn.XLOOKUP(K87,Ташкилотлар39[Ташкилотлар],Ташкилотлар39[TashklilotID])</f>
        <v>#N/A</v>
      </c>
      <c r="M87" s="26"/>
      <c r="N87" s="26"/>
      <c r="O87" s="24"/>
      <c r="P87" s="2"/>
      <c r="Q87" s="26"/>
      <c r="R87" s="26"/>
      <c r="S87" s="26"/>
      <c r="T87" s="26"/>
      <c r="U87" s="24"/>
      <c r="V87" s="10" t="e">
        <f>_xlfn.XLOOKUP(U87,Таклифлар37[Таклифлар],Таклифлар37[TaklifID])</f>
        <v>#N/A</v>
      </c>
      <c r="W87" s="24"/>
      <c r="X87" s="23"/>
      <c r="Y87" s="7"/>
      <c r="Z87" s="26"/>
      <c r="AB87" s="23"/>
      <c r="AD87" s="2"/>
      <c r="AF87" s="2"/>
      <c r="AG87" s="23"/>
      <c r="AI87" s="26"/>
      <c r="AJ87" s="23"/>
      <c r="AK87" s="2"/>
      <c r="AM87" s="23"/>
      <c r="AO87" s="32"/>
      <c r="AP87" s="26"/>
      <c r="AR87" s="26"/>
      <c r="AS87" s="24"/>
      <c r="AT87" s="24"/>
      <c r="AU87" s="31"/>
      <c r="AV87" s="24"/>
      <c r="AW87"/>
      <c r="AX87"/>
      <c r="AY87"/>
      <c r="AZ87"/>
      <c r="BA87"/>
      <c r="BB87"/>
      <c r="BC87"/>
      <c r="BD87"/>
      <c r="BE87"/>
      <c r="BF87"/>
      <c r="BG87"/>
    </row>
    <row r="88" spans="1:59" x14ac:dyDescent="0.25">
      <c r="A88" s="2"/>
      <c r="B88" s="22"/>
      <c r="C88" s="23"/>
      <c r="D88" s="2"/>
      <c r="E88" s="23"/>
      <c r="F88" s="24"/>
      <c r="G88" s="2"/>
      <c r="H88" s="10" t="e">
        <f>_xlfn.XLOOKUP(F88,Viloyatlar24[RegionName],Viloyatlar24[RegionId])</f>
        <v>#N/A</v>
      </c>
      <c r="I88" s="10" t="e">
        <f>_xlfn.XLOOKUP('Кўчмас мулк объектлари'!G88,Tumanlar23[DistrictName],Tumanlar23[DistrictId])</f>
        <v>#N/A</v>
      </c>
      <c r="J88" s="2"/>
      <c r="K88" s="24"/>
      <c r="L88" s="10" t="e">
        <f>_xlfn.XLOOKUP(K88,Ташкилотлар39[Ташкилотлар],Ташкилотлар39[TashklilotID])</f>
        <v>#N/A</v>
      </c>
      <c r="M88" s="26"/>
      <c r="N88" s="26"/>
      <c r="O88" s="24"/>
      <c r="P88" s="2"/>
      <c r="Q88" s="26"/>
      <c r="R88" s="26"/>
      <c r="S88" s="26"/>
      <c r="T88" s="26"/>
      <c r="U88" s="24"/>
      <c r="V88" s="10" t="e">
        <f>_xlfn.XLOOKUP(U88,Таклифлар37[Таклифлар],Таклифлар37[TaklifID])</f>
        <v>#N/A</v>
      </c>
      <c r="W88" s="24"/>
      <c r="X88" s="23"/>
      <c r="Y88" s="7"/>
      <c r="Z88" s="26"/>
      <c r="AB88" s="23"/>
      <c r="AD88" s="2"/>
      <c r="AF88" s="2"/>
      <c r="AG88" s="23"/>
      <c r="AI88" s="26"/>
      <c r="AJ88" s="23"/>
      <c r="AK88" s="2"/>
      <c r="AM88" s="23"/>
      <c r="AO88" s="32"/>
      <c r="AP88" s="26"/>
      <c r="AR88" s="26"/>
      <c r="AS88" s="24"/>
      <c r="AT88" s="24"/>
      <c r="AU88" s="31"/>
      <c r="AV88" s="24"/>
      <c r="AW88"/>
      <c r="AX88"/>
      <c r="AY88"/>
      <c r="AZ88"/>
      <c r="BA88"/>
      <c r="BB88"/>
      <c r="BC88"/>
      <c r="BD88"/>
      <c r="BE88"/>
      <c r="BF88"/>
      <c r="BG88"/>
    </row>
    <row r="89" spans="1:59" x14ac:dyDescent="0.25">
      <c r="A89" s="2"/>
      <c r="B89" s="22"/>
      <c r="C89" s="23"/>
      <c r="D89" s="2"/>
      <c r="E89" s="23"/>
      <c r="F89" s="24"/>
      <c r="G89" s="2"/>
      <c r="H89" s="10" t="e">
        <f>_xlfn.XLOOKUP(F89,Viloyatlar24[RegionName],Viloyatlar24[RegionId])</f>
        <v>#N/A</v>
      </c>
      <c r="I89" s="10" t="e">
        <f>_xlfn.XLOOKUP('Кўчмас мулк объектлари'!G89,Tumanlar23[DistrictName],Tumanlar23[DistrictId])</f>
        <v>#N/A</v>
      </c>
      <c r="J89" s="2"/>
      <c r="K89" s="24"/>
      <c r="L89" s="10" t="e">
        <f>_xlfn.XLOOKUP(K89,Ташкилотлар39[Ташкилотлар],Ташкилотлар39[TashklilotID])</f>
        <v>#N/A</v>
      </c>
      <c r="M89" s="26"/>
      <c r="N89" s="26"/>
      <c r="O89" s="24"/>
      <c r="P89" s="2"/>
      <c r="Q89" s="26"/>
      <c r="R89" s="26"/>
      <c r="S89" s="26"/>
      <c r="T89" s="26"/>
      <c r="U89" s="24"/>
      <c r="V89" s="10" t="e">
        <f>_xlfn.XLOOKUP(U89,Таклифлар37[Таклифлар],Таклифлар37[TaklifID])</f>
        <v>#N/A</v>
      </c>
      <c r="W89" s="24"/>
      <c r="X89" s="23"/>
      <c r="Y89" s="7"/>
      <c r="Z89" s="26"/>
      <c r="AB89" s="23"/>
      <c r="AD89" s="2"/>
      <c r="AF89" s="2"/>
      <c r="AG89" s="23"/>
      <c r="AI89" s="26"/>
      <c r="AJ89" s="23"/>
      <c r="AK89" s="2"/>
      <c r="AM89" s="23"/>
      <c r="AO89" s="32"/>
      <c r="AP89" s="26"/>
      <c r="AR89" s="26"/>
      <c r="AS89" s="24"/>
      <c r="AT89" s="24"/>
      <c r="AU89" s="31"/>
      <c r="AV89" s="24"/>
      <c r="AW89"/>
      <c r="AX89"/>
      <c r="AY89"/>
      <c r="AZ89"/>
      <c r="BA89"/>
      <c r="BB89"/>
      <c r="BC89"/>
      <c r="BD89"/>
      <c r="BE89"/>
      <c r="BF89"/>
      <c r="BG89"/>
    </row>
    <row r="90" spans="1:59" x14ac:dyDescent="0.25">
      <c r="A90" s="2"/>
      <c r="B90" s="22"/>
      <c r="C90" s="23"/>
      <c r="D90" s="2"/>
      <c r="E90" s="23"/>
      <c r="F90" s="24"/>
      <c r="G90" s="2"/>
      <c r="H90" s="10" t="e">
        <f>_xlfn.XLOOKUP(F90,Viloyatlar24[RegionName],Viloyatlar24[RegionId])</f>
        <v>#N/A</v>
      </c>
      <c r="I90" s="10" t="e">
        <f>_xlfn.XLOOKUP('Кўчмас мулк объектлари'!G90,Tumanlar23[DistrictName],Tumanlar23[DistrictId])</f>
        <v>#N/A</v>
      </c>
      <c r="J90" s="2"/>
      <c r="K90" s="24"/>
      <c r="L90" s="10" t="e">
        <f>_xlfn.XLOOKUP(K90,Ташкилотлар39[Ташкилотлар],Ташкилотлар39[TashklilotID])</f>
        <v>#N/A</v>
      </c>
      <c r="M90" s="26"/>
      <c r="N90" s="26"/>
      <c r="O90" s="24"/>
      <c r="P90" s="2"/>
      <c r="Q90" s="26"/>
      <c r="R90" s="26"/>
      <c r="S90" s="26"/>
      <c r="T90" s="26"/>
      <c r="U90" s="24"/>
      <c r="V90" s="10" t="e">
        <f>_xlfn.XLOOKUP(U90,Таклифлар37[Таклифлар],Таклифлар37[TaklifID])</f>
        <v>#N/A</v>
      </c>
      <c r="W90" s="24"/>
      <c r="X90" s="23"/>
      <c r="Y90" s="7"/>
      <c r="Z90" s="26"/>
      <c r="AB90" s="23"/>
      <c r="AD90" s="2"/>
      <c r="AF90" s="2"/>
      <c r="AG90" s="23"/>
      <c r="AI90" s="26"/>
      <c r="AJ90" s="23"/>
      <c r="AK90" s="2"/>
      <c r="AM90" s="23"/>
      <c r="AO90" s="32"/>
      <c r="AP90" s="26"/>
      <c r="AR90" s="26"/>
      <c r="AS90" s="24"/>
      <c r="AT90" s="24"/>
      <c r="AU90" s="31"/>
      <c r="AV90" s="24"/>
      <c r="AW90"/>
      <c r="AX90"/>
      <c r="AY90"/>
      <c r="AZ90"/>
      <c r="BA90"/>
      <c r="BB90"/>
      <c r="BC90"/>
      <c r="BD90"/>
      <c r="BE90"/>
      <c r="BF90"/>
      <c r="BG90"/>
    </row>
    <row r="91" spans="1:59" x14ac:dyDescent="0.25">
      <c r="A91" s="2"/>
      <c r="B91" s="22"/>
      <c r="C91" s="23"/>
      <c r="D91" s="2"/>
      <c r="E91" s="23"/>
      <c r="F91" s="24"/>
      <c r="G91" s="2"/>
      <c r="H91" s="10" t="e">
        <f>_xlfn.XLOOKUP(F91,Viloyatlar24[RegionName],Viloyatlar24[RegionId])</f>
        <v>#N/A</v>
      </c>
      <c r="I91" s="10" t="e">
        <f>_xlfn.XLOOKUP('Кўчмас мулк объектлари'!G91,Tumanlar23[DistrictName],Tumanlar23[DistrictId])</f>
        <v>#N/A</v>
      </c>
      <c r="J91" s="2"/>
      <c r="K91" s="24"/>
      <c r="L91" s="10" t="e">
        <f>_xlfn.XLOOKUP(K91,Ташкилотлар39[Ташкилотлар],Ташкилотлар39[TashklilotID])</f>
        <v>#N/A</v>
      </c>
      <c r="M91" s="26"/>
      <c r="N91" s="26"/>
      <c r="O91" s="24"/>
      <c r="P91" s="2"/>
      <c r="Q91" s="26"/>
      <c r="R91" s="26"/>
      <c r="S91" s="26"/>
      <c r="T91" s="26"/>
      <c r="U91" s="24"/>
      <c r="V91" s="10" t="e">
        <f>_xlfn.XLOOKUP(U91,Таклифлар37[Таклифлар],Таклифлар37[TaklifID])</f>
        <v>#N/A</v>
      </c>
      <c r="W91" s="24"/>
      <c r="X91" s="23"/>
      <c r="Y91" s="7"/>
      <c r="Z91" s="26"/>
      <c r="AB91" s="23"/>
      <c r="AD91" s="2"/>
      <c r="AF91" s="2"/>
      <c r="AG91" s="23"/>
      <c r="AI91" s="26"/>
      <c r="AJ91" s="23"/>
      <c r="AK91" s="2"/>
      <c r="AM91" s="23"/>
      <c r="AO91" s="32"/>
      <c r="AP91" s="26"/>
      <c r="AR91" s="26"/>
      <c r="AS91" s="24"/>
      <c r="AT91" s="24"/>
      <c r="AU91" s="31"/>
      <c r="AV91" s="24"/>
      <c r="AW91"/>
      <c r="AX91"/>
      <c r="AY91"/>
      <c r="AZ91"/>
      <c r="BA91"/>
      <c r="BB91"/>
      <c r="BC91"/>
      <c r="BD91"/>
      <c r="BE91"/>
      <c r="BF91"/>
      <c r="BG91"/>
    </row>
    <row r="92" spans="1:59" x14ac:dyDescent="0.25">
      <c r="A92" s="2"/>
      <c r="B92" s="22"/>
      <c r="C92" s="23"/>
      <c r="D92" s="2"/>
      <c r="E92" s="23"/>
      <c r="F92" s="24"/>
      <c r="G92" s="2"/>
      <c r="H92" s="10" t="e">
        <f>_xlfn.XLOOKUP(F92,Viloyatlar24[RegionName],Viloyatlar24[RegionId])</f>
        <v>#N/A</v>
      </c>
      <c r="I92" s="10" t="e">
        <f>_xlfn.XLOOKUP('Кўчмас мулк объектлари'!G92,Tumanlar23[DistrictName],Tumanlar23[DistrictId])</f>
        <v>#N/A</v>
      </c>
      <c r="J92" s="2"/>
      <c r="K92" s="24"/>
      <c r="L92" s="10" t="e">
        <f>_xlfn.XLOOKUP(K92,Ташкилотлар39[Ташкилотлар],Ташкилотлар39[TashklilotID])</f>
        <v>#N/A</v>
      </c>
      <c r="M92" s="26"/>
      <c r="N92" s="26"/>
      <c r="O92" s="24"/>
      <c r="P92" s="2"/>
      <c r="Q92" s="26"/>
      <c r="R92" s="26"/>
      <c r="S92" s="26"/>
      <c r="T92" s="26"/>
      <c r="U92" s="24"/>
      <c r="V92" s="10" t="e">
        <f>_xlfn.XLOOKUP(U92,Таклифлар37[Таклифлар],Таклифлар37[TaklifID])</f>
        <v>#N/A</v>
      </c>
      <c r="W92" s="24"/>
      <c r="X92" s="23"/>
      <c r="Y92" s="7"/>
      <c r="Z92" s="26"/>
      <c r="AB92" s="23"/>
      <c r="AD92" s="2"/>
      <c r="AF92" s="2"/>
      <c r="AG92" s="23"/>
      <c r="AI92" s="26"/>
      <c r="AJ92" s="23"/>
      <c r="AK92" s="2"/>
      <c r="AM92" s="23"/>
      <c r="AO92" s="32"/>
      <c r="AP92" s="26"/>
      <c r="AR92" s="26"/>
      <c r="AS92" s="24"/>
      <c r="AT92" s="24"/>
      <c r="AU92" s="31"/>
      <c r="AV92" s="24"/>
      <c r="AW92"/>
      <c r="AX92"/>
      <c r="AY92"/>
      <c r="AZ92"/>
      <c r="BA92"/>
      <c r="BB92"/>
      <c r="BC92"/>
      <c r="BD92"/>
      <c r="BE92"/>
      <c r="BF92"/>
      <c r="BG92"/>
    </row>
    <row r="93" spans="1:59" x14ac:dyDescent="0.25">
      <c r="A93" s="2"/>
      <c r="B93" s="22"/>
      <c r="C93" s="23"/>
      <c r="D93" s="2"/>
      <c r="E93" s="23"/>
      <c r="F93" s="24"/>
      <c r="G93" s="2"/>
      <c r="H93" s="10" t="e">
        <f>_xlfn.XLOOKUP(F93,Viloyatlar24[RegionName],Viloyatlar24[RegionId])</f>
        <v>#N/A</v>
      </c>
      <c r="I93" s="10" t="e">
        <f>_xlfn.XLOOKUP('Кўчмас мулк объектлари'!G93,Tumanlar23[DistrictName],Tumanlar23[DistrictId])</f>
        <v>#N/A</v>
      </c>
      <c r="J93" s="2"/>
      <c r="K93" s="24"/>
      <c r="L93" s="10" t="e">
        <f>_xlfn.XLOOKUP(K93,Ташкилотлар39[Ташкилотлар],Ташкилотлар39[TashklilotID])</f>
        <v>#N/A</v>
      </c>
      <c r="M93" s="26"/>
      <c r="N93" s="26"/>
      <c r="O93" s="24"/>
      <c r="P93" s="2"/>
      <c r="Q93" s="26"/>
      <c r="R93" s="26"/>
      <c r="S93" s="26"/>
      <c r="T93" s="26"/>
      <c r="U93" s="24"/>
      <c r="V93" s="10" t="e">
        <f>_xlfn.XLOOKUP(U93,Таклифлар37[Таклифлар],Таклифлар37[TaklifID])</f>
        <v>#N/A</v>
      </c>
      <c r="W93" s="24"/>
      <c r="X93" s="23"/>
      <c r="Y93" s="7"/>
      <c r="Z93" s="26"/>
      <c r="AB93" s="23"/>
      <c r="AD93" s="2"/>
      <c r="AF93" s="2"/>
      <c r="AG93" s="23"/>
      <c r="AI93" s="26"/>
      <c r="AJ93" s="23"/>
      <c r="AK93" s="2"/>
      <c r="AM93" s="23"/>
      <c r="AO93" s="32"/>
      <c r="AP93" s="26"/>
      <c r="AR93" s="26"/>
      <c r="AS93" s="24"/>
      <c r="AT93" s="24"/>
      <c r="AU93" s="31"/>
      <c r="AV93" s="24"/>
      <c r="AW93"/>
      <c r="AX93"/>
      <c r="AY93"/>
      <c r="AZ93"/>
      <c r="BA93"/>
      <c r="BB93"/>
      <c r="BC93"/>
      <c r="BD93"/>
      <c r="BE93"/>
      <c r="BF93"/>
      <c r="BG93"/>
    </row>
    <row r="94" spans="1:59" x14ac:dyDescent="0.25">
      <c r="A94" s="2"/>
      <c r="B94" s="22"/>
      <c r="C94" s="23"/>
      <c r="D94" s="2"/>
      <c r="E94" s="23"/>
      <c r="F94" s="24"/>
      <c r="G94" s="2"/>
      <c r="H94" s="10" t="e">
        <f>_xlfn.XLOOKUP(F94,Viloyatlar24[RegionName],Viloyatlar24[RegionId])</f>
        <v>#N/A</v>
      </c>
      <c r="I94" s="10" t="e">
        <f>_xlfn.XLOOKUP('Кўчмас мулк объектлари'!G94,Tumanlar23[DistrictName],Tumanlar23[DistrictId])</f>
        <v>#N/A</v>
      </c>
      <c r="J94" s="2"/>
      <c r="K94" s="24"/>
      <c r="L94" s="10" t="e">
        <f>_xlfn.XLOOKUP(K94,Ташкилотлар39[Ташкилотлар],Ташкилотлар39[TashklilotID])</f>
        <v>#N/A</v>
      </c>
      <c r="M94" s="26"/>
      <c r="N94" s="26"/>
      <c r="O94" s="24"/>
      <c r="P94" s="2"/>
      <c r="Q94" s="26"/>
      <c r="R94" s="26"/>
      <c r="S94" s="26"/>
      <c r="T94" s="26"/>
      <c r="U94" s="24"/>
      <c r="V94" s="10" t="e">
        <f>_xlfn.XLOOKUP(U94,Таклифлар37[Таклифлар],Таклифлар37[TaklifID])</f>
        <v>#N/A</v>
      </c>
      <c r="W94" s="24"/>
      <c r="X94" s="23"/>
      <c r="Y94" s="7"/>
      <c r="Z94" s="26"/>
      <c r="AB94" s="23"/>
      <c r="AD94" s="2"/>
      <c r="AF94" s="2"/>
      <c r="AG94" s="23"/>
      <c r="AI94" s="26"/>
      <c r="AJ94" s="23"/>
      <c r="AK94" s="2"/>
      <c r="AM94" s="23"/>
      <c r="AO94" s="32"/>
      <c r="AP94" s="26"/>
      <c r="AR94" s="26"/>
      <c r="AS94" s="24"/>
      <c r="AT94" s="24"/>
      <c r="AU94" s="31"/>
      <c r="AV94" s="24"/>
      <c r="AW94"/>
      <c r="AX94"/>
      <c r="AY94"/>
      <c r="AZ94"/>
      <c r="BA94"/>
      <c r="BB94"/>
      <c r="BC94"/>
      <c r="BD94"/>
      <c r="BE94"/>
      <c r="BF94"/>
      <c r="BG94"/>
    </row>
    <row r="95" spans="1:59" x14ac:dyDescent="0.25">
      <c r="A95" s="2"/>
      <c r="B95" s="22"/>
      <c r="C95" s="23"/>
      <c r="D95" s="2"/>
      <c r="E95" s="23"/>
      <c r="F95" s="24"/>
      <c r="G95" s="2"/>
      <c r="H95" s="10" t="e">
        <f>_xlfn.XLOOKUP(F95,Viloyatlar24[RegionName],Viloyatlar24[RegionId])</f>
        <v>#N/A</v>
      </c>
      <c r="I95" s="10" t="e">
        <f>_xlfn.XLOOKUP('Кўчмас мулк объектлари'!G95,Tumanlar23[DistrictName],Tumanlar23[DistrictId])</f>
        <v>#N/A</v>
      </c>
      <c r="J95" s="2"/>
      <c r="K95" s="24"/>
      <c r="L95" s="10" t="e">
        <f>_xlfn.XLOOKUP(K95,Ташкилотлар39[Ташкилотлар],Ташкилотлар39[TashklilotID])</f>
        <v>#N/A</v>
      </c>
      <c r="M95" s="26"/>
      <c r="N95" s="26"/>
      <c r="O95" s="24"/>
      <c r="P95" s="2"/>
      <c r="Q95" s="26"/>
      <c r="R95" s="26"/>
      <c r="S95" s="26"/>
      <c r="T95" s="26"/>
      <c r="U95" s="24"/>
      <c r="V95" s="10" t="e">
        <f>_xlfn.XLOOKUP(U95,Таклифлар37[Таклифлар],Таклифлар37[TaklifID])</f>
        <v>#N/A</v>
      </c>
      <c r="W95" s="24"/>
      <c r="X95" s="23"/>
      <c r="Y95" s="7"/>
      <c r="Z95" s="26"/>
      <c r="AB95" s="23"/>
      <c r="AD95" s="2"/>
      <c r="AF95" s="2"/>
      <c r="AG95" s="23"/>
      <c r="AI95" s="26"/>
      <c r="AJ95" s="23"/>
      <c r="AK95" s="2"/>
      <c r="AM95" s="23"/>
      <c r="AO95" s="32"/>
      <c r="AP95" s="26"/>
      <c r="AR95" s="26"/>
      <c r="AS95" s="24"/>
      <c r="AT95" s="24"/>
      <c r="AU95" s="31"/>
      <c r="AV95" s="24"/>
      <c r="AW95"/>
      <c r="AX95"/>
      <c r="AY95"/>
      <c r="AZ95"/>
      <c r="BA95"/>
      <c r="BB95"/>
      <c r="BC95"/>
      <c r="BD95"/>
      <c r="BE95"/>
      <c r="BF95"/>
      <c r="BG95"/>
    </row>
    <row r="96" spans="1:59" x14ac:dyDescent="0.25">
      <c r="A96" s="2"/>
      <c r="B96" s="22"/>
      <c r="C96" s="23"/>
      <c r="D96" s="2"/>
      <c r="E96" s="23"/>
      <c r="F96" s="24"/>
      <c r="G96" s="2"/>
      <c r="H96" s="10" t="e">
        <f>_xlfn.XLOOKUP(F96,Viloyatlar24[RegionName],Viloyatlar24[RegionId])</f>
        <v>#N/A</v>
      </c>
      <c r="I96" s="10" t="e">
        <f>_xlfn.XLOOKUP('Кўчмас мулк объектлари'!G96,Tumanlar23[DistrictName],Tumanlar23[DistrictId])</f>
        <v>#N/A</v>
      </c>
      <c r="J96" s="2"/>
      <c r="K96" s="24"/>
      <c r="L96" s="10" t="e">
        <f>_xlfn.XLOOKUP(K96,Ташкилотлар39[Ташкилотлар],Ташкилотлар39[TashklilotID])</f>
        <v>#N/A</v>
      </c>
      <c r="M96" s="26"/>
      <c r="N96" s="26"/>
      <c r="O96" s="24"/>
      <c r="P96" s="2"/>
      <c r="Q96" s="26"/>
      <c r="R96" s="26"/>
      <c r="S96" s="26"/>
      <c r="T96" s="26"/>
      <c r="U96" s="24"/>
      <c r="V96" s="10" t="e">
        <f>_xlfn.XLOOKUP(U96,Таклифлар37[Таклифлар],Таклифлар37[TaklifID])</f>
        <v>#N/A</v>
      </c>
      <c r="W96" s="24"/>
      <c r="X96" s="23"/>
      <c r="Y96" s="7"/>
      <c r="Z96" s="26"/>
      <c r="AB96" s="23"/>
      <c r="AD96" s="2"/>
      <c r="AF96" s="2"/>
      <c r="AG96" s="23"/>
      <c r="AI96" s="26"/>
      <c r="AJ96" s="23"/>
      <c r="AK96" s="2"/>
      <c r="AM96" s="23"/>
      <c r="AO96" s="32"/>
      <c r="AP96" s="26"/>
      <c r="AR96" s="26"/>
      <c r="AS96" s="24"/>
      <c r="AT96" s="24"/>
      <c r="AU96" s="31"/>
      <c r="AV96" s="24"/>
      <c r="AW96"/>
      <c r="AX96"/>
      <c r="AY96"/>
      <c r="AZ96"/>
      <c r="BA96"/>
      <c r="BB96"/>
      <c r="BC96"/>
      <c r="BD96"/>
      <c r="BE96"/>
      <c r="BF96"/>
      <c r="BG96"/>
    </row>
    <row r="97" spans="1:59" x14ac:dyDescent="0.25">
      <c r="A97" s="2"/>
      <c r="B97" s="22"/>
      <c r="C97" s="23"/>
      <c r="D97" s="2"/>
      <c r="E97" s="23"/>
      <c r="F97" s="24"/>
      <c r="G97" s="2"/>
      <c r="H97" s="10" t="e">
        <f>_xlfn.XLOOKUP(F97,Viloyatlar24[RegionName],Viloyatlar24[RegionId])</f>
        <v>#N/A</v>
      </c>
      <c r="I97" s="10" t="e">
        <f>_xlfn.XLOOKUP('Кўчмас мулк объектлари'!G97,Tumanlar23[DistrictName],Tumanlar23[DistrictId])</f>
        <v>#N/A</v>
      </c>
      <c r="J97" s="2"/>
      <c r="K97" s="24"/>
      <c r="L97" s="10" t="e">
        <f>_xlfn.XLOOKUP(K97,Ташкилотлар39[Ташкилотлар],Ташкилотлар39[TashklilotID])</f>
        <v>#N/A</v>
      </c>
      <c r="M97" s="26"/>
      <c r="N97" s="26"/>
      <c r="O97" s="24"/>
      <c r="P97" s="2"/>
      <c r="Q97" s="26"/>
      <c r="R97" s="26"/>
      <c r="S97" s="26"/>
      <c r="T97" s="26"/>
      <c r="U97" s="24"/>
      <c r="V97" s="10" t="e">
        <f>_xlfn.XLOOKUP(U97,Таклифлар37[Таклифлар],Таклифлар37[TaklifID])</f>
        <v>#N/A</v>
      </c>
      <c r="W97" s="24"/>
      <c r="X97" s="23"/>
      <c r="Y97" s="7"/>
      <c r="Z97" s="26"/>
      <c r="AB97" s="23"/>
      <c r="AD97" s="2"/>
      <c r="AF97" s="2"/>
      <c r="AG97" s="23"/>
      <c r="AI97" s="26"/>
      <c r="AJ97" s="23"/>
      <c r="AK97" s="2"/>
      <c r="AM97" s="23"/>
      <c r="AO97" s="32"/>
      <c r="AP97" s="26"/>
      <c r="AR97" s="26"/>
      <c r="AS97" s="24"/>
      <c r="AT97" s="24"/>
      <c r="AU97" s="31"/>
      <c r="AV97" s="24"/>
      <c r="AW97"/>
      <c r="AX97"/>
      <c r="AY97"/>
      <c r="AZ97"/>
      <c r="BA97"/>
      <c r="BB97"/>
      <c r="BC97"/>
      <c r="BD97"/>
      <c r="BE97"/>
      <c r="BF97"/>
      <c r="BG97"/>
    </row>
    <row r="98" spans="1:59" x14ac:dyDescent="0.25">
      <c r="A98" s="2"/>
      <c r="B98" s="22"/>
      <c r="C98" s="23"/>
      <c r="D98" s="2"/>
      <c r="E98" s="23"/>
      <c r="F98" s="24"/>
      <c r="G98" s="2"/>
      <c r="H98" s="10" t="e">
        <f>_xlfn.XLOOKUP(F98,Viloyatlar24[RegionName],Viloyatlar24[RegionId])</f>
        <v>#N/A</v>
      </c>
      <c r="I98" s="10" t="e">
        <f>_xlfn.XLOOKUP('Кўчмас мулк объектлари'!G98,Tumanlar23[DistrictName],Tumanlar23[DistrictId])</f>
        <v>#N/A</v>
      </c>
      <c r="J98" s="2"/>
      <c r="K98" s="24"/>
      <c r="L98" s="10" t="e">
        <f>_xlfn.XLOOKUP(K98,Ташкилотлар39[Ташкилотлар],Ташкилотлар39[TashklilotID])</f>
        <v>#N/A</v>
      </c>
      <c r="M98" s="26"/>
      <c r="N98" s="26"/>
      <c r="O98" s="24"/>
      <c r="P98" s="2"/>
      <c r="Q98" s="26"/>
      <c r="R98" s="26"/>
      <c r="S98" s="26"/>
      <c r="T98" s="26"/>
      <c r="U98" s="24"/>
      <c r="V98" s="10" t="e">
        <f>_xlfn.XLOOKUP(U98,Таклифлар37[Таклифлар],Таклифлар37[TaklifID])</f>
        <v>#N/A</v>
      </c>
      <c r="W98" s="24"/>
      <c r="X98" s="23"/>
      <c r="Y98" s="7"/>
      <c r="Z98" s="26"/>
      <c r="AB98" s="23"/>
      <c r="AD98" s="2"/>
      <c r="AF98" s="2"/>
      <c r="AG98" s="23"/>
      <c r="AI98" s="26"/>
      <c r="AJ98" s="23"/>
      <c r="AK98" s="2"/>
      <c r="AM98" s="23"/>
      <c r="AO98" s="32"/>
      <c r="AP98" s="26"/>
      <c r="AR98" s="26"/>
      <c r="AS98" s="24"/>
      <c r="AT98" s="24"/>
      <c r="AU98" s="31"/>
      <c r="AV98" s="24"/>
      <c r="AW98"/>
      <c r="AX98"/>
      <c r="AY98"/>
      <c r="AZ98"/>
      <c r="BA98"/>
      <c r="BB98"/>
      <c r="BC98"/>
      <c r="BD98"/>
      <c r="BE98"/>
      <c r="BF98"/>
      <c r="BG98"/>
    </row>
    <row r="99" spans="1:59" x14ac:dyDescent="0.25">
      <c r="A99" s="2"/>
      <c r="B99" s="22"/>
      <c r="C99" s="23"/>
      <c r="D99" s="2"/>
      <c r="E99" s="23"/>
      <c r="F99" s="24"/>
      <c r="G99" s="2"/>
      <c r="H99" s="10" t="e">
        <f>_xlfn.XLOOKUP(F99,Viloyatlar24[RegionName],Viloyatlar24[RegionId])</f>
        <v>#N/A</v>
      </c>
      <c r="I99" s="10" t="e">
        <f>_xlfn.XLOOKUP('Кўчмас мулк объектлари'!G99,Tumanlar23[DistrictName],Tumanlar23[DistrictId])</f>
        <v>#N/A</v>
      </c>
      <c r="J99" s="2"/>
      <c r="K99" s="24"/>
      <c r="L99" s="10" t="e">
        <f>_xlfn.XLOOKUP(K99,Ташкилотлар39[Ташкилотлар],Ташкилотлар39[TashklilotID])</f>
        <v>#N/A</v>
      </c>
      <c r="M99" s="26"/>
      <c r="N99" s="26"/>
      <c r="O99" s="24"/>
      <c r="P99" s="2"/>
      <c r="Q99" s="26"/>
      <c r="R99" s="26"/>
      <c r="S99" s="26"/>
      <c r="T99" s="26"/>
      <c r="U99" s="24"/>
      <c r="V99" s="10" t="e">
        <f>_xlfn.XLOOKUP(U99,Таклифлар37[Таклифлар],Таклифлар37[TaklifID])</f>
        <v>#N/A</v>
      </c>
      <c r="W99" s="24"/>
      <c r="X99" s="23"/>
      <c r="Y99" s="7"/>
      <c r="Z99" s="26"/>
      <c r="AB99" s="23"/>
      <c r="AD99" s="2"/>
      <c r="AF99" s="2"/>
      <c r="AG99" s="23"/>
      <c r="AI99" s="26"/>
      <c r="AJ99" s="23"/>
      <c r="AK99" s="2"/>
      <c r="AM99" s="23"/>
      <c r="AO99" s="32"/>
      <c r="AP99" s="26"/>
      <c r="AR99" s="26"/>
      <c r="AS99" s="24"/>
      <c r="AT99" s="24"/>
      <c r="AU99" s="31"/>
      <c r="AV99" s="24"/>
      <c r="AW99"/>
      <c r="AX99"/>
      <c r="AY99"/>
      <c r="AZ99"/>
      <c r="BA99"/>
      <c r="BB99"/>
      <c r="BC99"/>
      <c r="BD99"/>
      <c r="BE99"/>
      <c r="BF99"/>
      <c r="BG99"/>
    </row>
    <row r="100" spans="1:59" x14ac:dyDescent="0.25">
      <c r="A100" s="2"/>
      <c r="B100" s="22"/>
      <c r="C100" s="23"/>
      <c r="D100" s="2"/>
      <c r="E100" s="23"/>
      <c r="F100" s="24"/>
      <c r="G100" s="2"/>
      <c r="H100" s="10" t="e">
        <f>_xlfn.XLOOKUP(F100,Viloyatlar24[RegionName],Viloyatlar24[RegionId])</f>
        <v>#N/A</v>
      </c>
      <c r="I100" s="10" t="e">
        <f>_xlfn.XLOOKUP('Кўчмас мулк объектлари'!G100,Tumanlar23[DistrictName],Tumanlar23[DistrictId])</f>
        <v>#N/A</v>
      </c>
      <c r="J100" s="2"/>
      <c r="K100" s="24"/>
      <c r="L100" s="10" t="e">
        <f>_xlfn.XLOOKUP(K100,Ташкилотлар39[Ташкилотлар],Ташкилотлар39[TashklilotID])</f>
        <v>#N/A</v>
      </c>
      <c r="M100" s="26"/>
      <c r="N100" s="26"/>
      <c r="O100" s="24"/>
      <c r="P100" s="2"/>
      <c r="Q100" s="26"/>
      <c r="R100" s="26"/>
      <c r="S100" s="26"/>
      <c r="T100" s="26"/>
      <c r="U100" s="24"/>
      <c r="V100" s="10" t="e">
        <f>_xlfn.XLOOKUP(U100,Таклифлар37[Таклифлар],Таклифлар37[TaklifID])</f>
        <v>#N/A</v>
      </c>
      <c r="W100" s="24"/>
      <c r="X100" s="23"/>
      <c r="Y100" s="7"/>
      <c r="Z100" s="26"/>
      <c r="AB100" s="23"/>
      <c r="AD100" s="2"/>
      <c r="AF100" s="2"/>
      <c r="AG100" s="23"/>
      <c r="AI100" s="26"/>
      <c r="AJ100" s="23"/>
      <c r="AK100" s="2"/>
      <c r="AM100" s="23"/>
      <c r="AO100" s="32"/>
      <c r="AP100" s="26"/>
      <c r="AR100" s="26"/>
      <c r="AS100" s="24"/>
      <c r="AT100" s="24"/>
      <c r="AU100" s="31"/>
      <c r="AV100" s="24"/>
      <c r="AW100"/>
      <c r="AX100"/>
      <c r="AY100"/>
      <c r="AZ100"/>
      <c r="BA100"/>
      <c r="BB100"/>
      <c r="BC100"/>
      <c r="BD100"/>
      <c r="BE100"/>
      <c r="BF100"/>
      <c r="BG100"/>
    </row>
    <row r="101" spans="1:59" x14ac:dyDescent="0.25">
      <c r="A101" s="2"/>
      <c r="B101" s="22"/>
      <c r="C101" s="23"/>
      <c r="D101" s="2"/>
      <c r="E101" s="23"/>
      <c r="F101" s="24"/>
      <c r="G101" s="2"/>
      <c r="H101" s="10" t="e">
        <f>_xlfn.XLOOKUP(F101,Viloyatlar24[RegionName],Viloyatlar24[RegionId])</f>
        <v>#N/A</v>
      </c>
      <c r="I101" s="10" t="e">
        <f>_xlfn.XLOOKUP('Кўчмас мулк объектлари'!G101,Tumanlar23[DistrictName],Tumanlar23[DistrictId])</f>
        <v>#N/A</v>
      </c>
      <c r="J101" s="2"/>
      <c r="K101" s="24"/>
      <c r="L101" s="10" t="e">
        <f>_xlfn.XLOOKUP(K101,Ташкилотлар39[Ташкилотлар],Ташкилотлар39[TashklilotID])</f>
        <v>#N/A</v>
      </c>
      <c r="M101" s="26"/>
      <c r="N101" s="26"/>
      <c r="O101" s="24"/>
      <c r="P101" s="2"/>
      <c r="Q101" s="26"/>
      <c r="R101" s="26"/>
      <c r="S101" s="26"/>
      <c r="T101" s="26"/>
      <c r="U101" s="24"/>
      <c r="V101" s="10" t="e">
        <f>_xlfn.XLOOKUP(U101,Таклифлар37[Таклифлар],Таклифлар37[TaklifID])</f>
        <v>#N/A</v>
      </c>
      <c r="W101" s="24"/>
      <c r="X101" s="23"/>
      <c r="Y101" s="7"/>
      <c r="Z101" s="26"/>
      <c r="AB101" s="23"/>
      <c r="AD101" s="2"/>
      <c r="AF101" s="2"/>
      <c r="AG101" s="23"/>
      <c r="AI101" s="26"/>
      <c r="AJ101" s="23"/>
      <c r="AK101" s="2"/>
      <c r="AM101" s="23"/>
      <c r="AO101" s="32"/>
      <c r="AP101" s="26"/>
      <c r="AR101" s="26"/>
      <c r="AS101" s="24"/>
      <c r="AT101" s="24"/>
      <c r="AU101" s="31"/>
      <c r="AV101" s="24"/>
      <c r="AW101"/>
      <c r="AX101"/>
      <c r="AY101"/>
      <c r="AZ101"/>
      <c r="BA101"/>
      <c r="BB101"/>
      <c r="BC101"/>
      <c r="BD101"/>
      <c r="BE101"/>
      <c r="BF101"/>
      <c r="BG101"/>
    </row>
    <row r="102" spans="1:59" x14ac:dyDescent="0.25">
      <c r="A102" s="2"/>
      <c r="B102" s="22"/>
      <c r="C102" s="23"/>
      <c r="D102" s="2"/>
      <c r="E102" s="23"/>
      <c r="F102" s="24"/>
      <c r="G102" s="2"/>
      <c r="H102" s="10" t="e">
        <f>_xlfn.XLOOKUP(F102,Viloyatlar24[RegionName],Viloyatlar24[RegionId])</f>
        <v>#N/A</v>
      </c>
      <c r="I102" s="10" t="e">
        <f>_xlfn.XLOOKUP('Кўчмас мулк объектлари'!G102,Tumanlar23[DistrictName],Tumanlar23[DistrictId])</f>
        <v>#N/A</v>
      </c>
      <c r="J102" s="2"/>
      <c r="K102" s="24"/>
      <c r="L102" s="10" t="e">
        <f>_xlfn.XLOOKUP(K102,Ташкилотлар39[Ташкилотлар],Ташкилотлар39[TashklilotID])</f>
        <v>#N/A</v>
      </c>
      <c r="M102" s="26"/>
      <c r="N102" s="26"/>
      <c r="O102" s="24"/>
      <c r="P102" s="2"/>
      <c r="Q102" s="26"/>
      <c r="R102" s="26"/>
      <c r="S102" s="26"/>
      <c r="T102" s="26"/>
      <c r="U102" s="24"/>
      <c r="V102" s="10" t="e">
        <f>_xlfn.XLOOKUP(U102,Таклифлар37[Таклифлар],Таклифлар37[TaklifID])</f>
        <v>#N/A</v>
      </c>
      <c r="W102" s="24"/>
      <c r="X102" s="23"/>
      <c r="Y102" s="7"/>
      <c r="Z102" s="26"/>
      <c r="AB102" s="23"/>
      <c r="AD102" s="2"/>
      <c r="AF102" s="2"/>
      <c r="AG102" s="23"/>
      <c r="AI102" s="26"/>
      <c r="AJ102" s="23"/>
      <c r="AK102" s="2"/>
      <c r="AM102" s="23"/>
      <c r="AO102" s="32"/>
      <c r="AP102" s="26"/>
      <c r="AR102" s="26"/>
      <c r="AS102" s="24"/>
      <c r="AT102" s="24"/>
      <c r="AU102" s="31"/>
      <c r="AV102" s="24"/>
      <c r="AW102"/>
      <c r="AX102"/>
      <c r="AY102"/>
      <c r="AZ102"/>
      <c r="BA102"/>
      <c r="BB102"/>
      <c r="BC102"/>
      <c r="BD102"/>
      <c r="BE102"/>
      <c r="BF102"/>
      <c r="BG102"/>
    </row>
    <row r="103" spans="1:59" x14ac:dyDescent="0.25">
      <c r="A103" s="2"/>
      <c r="B103" s="22"/>
      <c r="C103" s="23"/>
      <c r="D103" s="2"/>
      <c r="E103" s="23"/>
      <c r="F103" s="24"/>
      <c r="G103" s="2"/>
      <c r="H103" s="10" t="e">
        <f>_xlfn.XLOOKUP(F103,Viloyatlar24[RegionName],Viloyatlar24[RegionId])</f>
        <v>#N/A</v>
      </c>
      <c r="I103" s="10" t="e">
        <f>_xlfn.XLOOKUP('Кўчмас мулк объектлари'!G103,Tumanlar23[DistrictName],Tumanlar23[DistrictId])</f>
        <v>#N/A</v>
      </c>
      <c r="J103" s="2"/>
      <c r="K103" s="24"/>
      <c r="L103" s="10" t="e">
        <f>_xlfn.XLOOKUP(K103,Ташкилотлар39[Ташкилотлар],Ташкилотлар39[TashklilotID])</f>
        <v>#N/A</v>
      </c>
      <c r="M103" s="26"/>
      <c r="N103" s="26"/>
      <c r="O103" s="24"/>
      <c r="P103" s="2"/>
      <c r="Q103" s="26"/>
      <c r="R103" s="26"/>
      <c r="S103" s="26"/>
      <c r="T103" s="26"/>
      <c r="U103" s="24"/>
      <c r="V103" s="10" t="e">
        <f>_xlfn.XLOOKUP(U103,Таклифлар37[Таклифлар],Таклифлар37[TaklifID])</f>
        <v>#N/A</v>
      </c>
      <c r="W103" s="24"/>
      <c r="X103" s="23"/>
      <c r="Y103" s="7"/>
      <c r="Z103" s="26"/>
      <c r="AB103" s="23"/>
      <c r="AD103" s="2"/>
      <c r="AF103" s="2"/>
      <c r="AG103" s="23"/>
      <c r="AI103" s="26"/>
      <c r="AJ103" s="23"/>
      <c r="AK103" s="2"/>
      <c r="AM103" s="23"/>
      <c r="AO103" s="32"/>
      <c r="AP103" s="26"/>
      <c r="AR103" s="26"/>
      <c r="AS103" s="24"/>
      <c r="AT103" s="24"/>
      <c r="AU103" s="31"/>
      <c r="AV103" s="24"/>
      <c r="AW103"/>
      <c r="AX103"/>
      <c r="AY103"/>
      <c r="AZ103"/>
      <c r="BA103"/>
      <c r="BB103"/>
      <c r="BC103"/>
      <c r="BD103"/>
      <c r="BE103"/>
      <c r="BF103"/>
      <c r="BG103"/>
    </row>
    <row r="104" spans="1:59" x14ac:dyDescent="0.25">
      <c r="A104" s="2"/>
      <c r="B104" s="22"/>
      <c r="C104" s="23"/>
      <c r="D104" s="2"/>
      <c r="E104" s="23"/>
      <c r="F104" s="24"/>
      <c r="G104" s="2"/>
      <c r="H104" s="10" t="e">
        <f>_xlfn.XLOOKUP(F104,Viloyatlar24[RegionName],Viloyatlar24[RegionId])</f>
        <v>#N/A</v>
      </c>
      <c r="I104" s="10" t="e">
        <f>_xlfn.XLOOKUP('Кўчмас мулк объектлари'!G104,Tumanlar23[DistrictName],Tumanlar23[DistrictId])</f>
        <v>#N/A</v>
      </c>
      <c r="J104" s="2"/>
      <c r="K104" s="24"/>
      <c r="L104" s="10" t="e">
        <f>_xlfn.XLOOKUP(K104,Ташкилотлар39[Ташкилотлар],Ташкилотлар39[TashklilotID])</f>
        <v>#N/A</v>
      </c>
      <c r="M104" s="26"/>
      <c r="N104" s="26"/>
      <c r="O104" s="24"/>
      <c r="P104" s="2"/>
      <c r="Q104" s="26"/>
      <c r="R104" s="26"/>
      <c r="S104" s="26"/>
      <c r="T104" s="26"/>
      <c r="U104" s="24"/>
      <c r="V104" s="10" t="e">
        <f>_xlfn.XLOOKUP(U104,Таклифлар37[Таклифлар],Таклифлар37[TaklifID])</f>
        <v>#N/A</v>
      </c>
      <c r="W104" s="24"/>
      <c r="X104" s="23"/>
      <c r="Y104" s="7"/>
      <c r="Z104" s="26"/>
      <c r="AB104" s="23"/>
      <c r="AD104" s="2"/>
      <c r="AF104" s="2"/>
      <c r="AG104" s="23"/>
      <c r="AI104" s="26"/>
      <c r="AJ104" s="23"/>
      <c r="AK104" s="2"/>
      <c r="AM104" s="23"/>
      <c r="AO104" s="32"/>
      <c r="AP104" s="26"/>
      <c r="AR104" s="26"/>
      <c r="AS104" s="24"/>
      <c r="AT104" s="24"/>
      <c r="AU104" s="31"/>
      <c r="AV104" s="24"/>
      <c r="AW104"/>
      <c r="AX104"/>
      <c r="AY104"/>
      <c r="AZ104"/>
      <c r="BA104"/>
      <c r="BB104"/>
      <c r="BC104"/>
      <c r="BD104"/>
      <c r="BE104"/>
      <c r="BF104"/>
      <c r="BG104"/>
    </row>
    <row r="105" spans="1:59" x14ac:dyDescent="0.25">
      <c r="A105" s="2"/>
      <c r="B105" s="22"/>
      <c r="C105" s="23"/>
      <c r="D105" s="2"/>
      <c r="E105" s="23"/>
      <c r="F105" s="24"/>
      <c r="G105" s="2"/>
      <c r="H105" s="10" t="e">
        <f>_xlfn.XLOOKUP(F105,Viloyatlar24[RegionName],Viloyatlar24[RegionId])</f>
        <v>#N/A</v>
      </c>
      <c r="I105" s="10" t="e">
        <f>_xlfn.XLOOKUP('Кўчмас мулк объектлари'!G105,Tumanlar23[DistrictName],Tumanlar23[DistrictId])</f>
        <v>#N/A</v>
      </c>
      <c r="J105" s="2"/>
      <c r="K105" s="24"/>
      <c r="L105" s="10" t="e">
        <f>_xlfn.XLOOKUP(K105,Ташкилотлар39[Ташкилотлар],Ташкилотлар39[TashklilotID])</f>
        <v>#N/A</v>
      </c>
      <c r="M105" s="26"/>
      <c r="N105" s="26"/>
      <c r="O105" s="24"/>
      <c r="P105" s="2"/>
      <c r="Q105" s="26"/>
      <c r="R105" s="26"/>
      <c r="S105" s="26"/>
      <c r="T105" s="26"/>
      <c r="U105" s="24"/>
      <c r="V105" s="10" t="e">
        <f>_xlfn.XLOOKUP(U105,Таклифлар37[Таклифлар],Таклифлар37[TaklifID])</f>
        <v>#N/A</v>
      </c>
      <c r="W105" s="24"/>
      <c r="X105" s="23"/>
      <c r="Y105" s="7"/>
      <c r="Z105" s="26"/>
      <c r="AB105" s="23"/>
      <c r="AD105" s="2"/>
      <c r="AF105" s="2"/>
      <c r="AG105" s="23"/>
      <c r="AI105" s="26"/>
      <c r="AJ105" s="23"/>
      <c r="AK105" s="2"/>
      <c r="AM105" s="23"/>
      <c r="AO105" s="32"/>
      <c r="AP105" s="26"/>
      <c r="AR105" s="26"/>
      <c r="AS105" s="24"/>
      <c r="AT105" s="24"/>
      <c r="AU105" s="31"/>
      <c r="AV105" s="24"/>
      <c r="AW105"/>
      <c r="AX105"/>
      <c r="AY105"/>
      <c r="AZ105"/>
      <c r="BA105"/>
      <c r="BB105"/>
      <c r="BC105"/>
      <c r="BD105"/>
      <c r="BE105"/>
      <c r="BF105"/>
      <c r="BG105"/>
    </row>
    <row r="106" spans="1:59" x14ac:dyDescent="0.25">
      <c r="A106" s="2"/>
      <c r="B106" s="22"/>
      <c r="C106" s="23"/>
      <c r="D106" s="2"/>
      <c r="E106" s="23"/>
      <c r="F106" s="24"/>
      <c r="G106" s="2"/>
      <c r="H106" s="10" t="e">
        <f>_xlfn.XLOOKUP(F106,Viloyatlar24[RegionName],Viloyatlar24[RegionId])</f>
        <v>#N/A</v>
      </c>
      <c r="I106" s="10" t="e">
        <f>_xlfn.XLOOKUP('Кўчмас мулк объектлари'!G106,Tumanlar23[DistrictName],Tumanlar23[DistrictId])</f>
        <v>#N/A</v>
      </c>
      <c r="J106" s="2"/>
      <c r="K106" s="24"/>
      <c r="L106" s="10" t="e">
        <f>_xlfn.XLOOKUP(K106,Ташкилотлар39[Ташкилотлар],Ташкилотлар39[TashklilotID])</f>
        <v>#N/A</v>
      </c>
      <c r="M106" s="26"/>
      <c r="N106" s="26"/>
      <c r="O106" s="24"/>
      <c r="P106" s="2"/>
      <c r="Q106" s="26"/>
      <c r="R106" s="26"/>
      <c r="S106" s="26"/>
      <c r="T106" s="26"/>
      <c r="U106" s="24"/>
      <c r="V106" s="10" t="e">
        <f>_xlfn.XLOOKUP(U106,Таклифлар37[Таклифлар],Таклифлар37[TaklifID])</f>
        <v>#N/A</v>
      </c>
      <c r="W106" s="24"/>
      <c r="X106" s="23"/>
      <c r="Y106" s="7"/>
      <c r="Z106" s="26"/>
      <c r="AB106" s="23"/>
      <c r="AD106" s="2"/>
      <c r="AF106" s="2"/>
      <c r="AG106" s="23"/>
      <c r="AI106" s="26"/>
      <c r="AJ106" s="23"/>
      <c r="AK106" s="2"/>
      <c r="AM106" s="23"/>
      <c r="AO106" s="32"/>
      <c r="AP106" s="26"/>
      <c r="AR106" s="26"/>
      <c r="AS106" s="24"/>
      <c r="AT106" s="24"/>
      <c r="AU106" s="31"/>
      <c r="AV106" s="24"/>
      <c r="AW106"/>
      <c r="AX106"/>
      <c r="AY106"/>
      <c r="AZ106"/>
      <c r="BA106"/>
      <c r="BB106"/>
      <c r="BC106"/>
      <c r="BD106"/>
      <c r="BE106"/>
      <c r="BF106"/>
      <c r="BG106"/>
    </row>
    <row r="107" spans="1:59" x14ac:dyDescent="0.25">
      <c r="A107" s="2"/>
      <c r="B107" s="22"/>
      <c r="C107" s="23"/>
      <c r="D107" s="2"/>
      <c r="E107" s="23"/>
      <c r="F107" s="24"/>
      <c r="G107" s="2"/>
      <c r="H107" s="10" t="e">
        <f>_xlfn.XLOOKUP(F107,Viloyatlar24[RegionName],Viloyatlar24[RegionId])</f>
        <v>#N/A</v>
      </c>
      <c r="I107" s="10" t="e">
        <f>_xlfn.XLOOKUP('Кўчмас мулк объектлари'!G107,Tumanlar23[DistrictName],Tumanlar23[DistrictId])</f>
        <v>#N/A</v>
      </c>
      <c r="J107" s="2"/>
      <c r="K107" s="24"/>
      <c r="L107" s="10" t="e">
        <f>_xlfn.XLOOKUP(K107,Ташкилотлар39[Ташкилотлар],Ташкилотлар39[TashklilotID])</f>
        <v>#N/A</v>
      </c>
      <c r="M107" s="26"/>
      <c r="N107" s="26"/>
      <c r="O107" s="24"/>
      <c r="P107" s="2"/>
      <c r="Q107" s="26"/>
      <c r="R107" s="26"/>
      <c r="S107" s="26"/>
      <c r="T107" s="26"/>
      <c r="U107" s="24"/>
      <c r="V107" s="10" t="e">
        <f>_xlfn.XLOOKUP(U107,Таклифлар37[Таклифлар],Таклифлар37[TaklifID])</f>
        <v>#N/A</v>
      </c>
      <c r="W107" s="24"/>
      <c r="X107" s="23"/>
      <c r="Y107" s="7"/>
      <c r="Z107" s="26"/>
      <c r="AB107" s="23"/>
      <c r="AD107" s="2"/>
      <c r="AF107" s="2"/>
      <c r="AG107" s="23"/>
      <c r="AI107" s="26"/>
      <c r="AJ107" s="23"/>
      <c r="AK107" s="2"/>
      <c r="AM107" s="23"/>
      <c r="AO107" s="32"/>
      <c r="AP107" s="26"/>
      <c r="AR107" s="26"/>
      <c r="AS107" s="24"/>
      <c r="AT107" s="24"/>
      <c r="AU107" s="31"/>
      <c r="AV107" s="24"/>
      <c r="AW107"/>
      <c r="AX107"/>
      <c r="AY107"/>
      <c r="AZ107"/>
      <c r="BA107"/>
      <c r="BB107"/>
      <c r="BC107"/>
      <c r="BD107"/>
      <c r="BE107"/>
      <c r="BF107"/>
      <c r="BG107"/>
    </row>
    <row r="108" spans="1:59" x14ac:dyDescent="0.25">
      <c r="A108" s="2"/>
      <c r="B108" s="22"/>
      <c r="C108" s="23"/>
      <c r="D108" s="2"/>
      <c r="E108" s="23"/>
      <c r="F108" s="24"/>
      <c r="G108" s="2"/>
      <c r="H108" s="10" t="e">
        <f>_xlfn.XLOOKUP(F108,Viloyatlar24[RegionName],Viloyatlar24[RegionId])</f>
        <v>#N/A</v>
      </c>
      <c r="I108" s="10" t="e">
        <f>_xlfn.XLOOKUP('Кўчмас мулк объектлари'!G108,Tumanlar23[DistrictName],Tumanlar23[DistrictId])</f>
        <v>#N/A</v>
      </c>
      <c r="J108" s="2"/>
      <c r="K108" s="24"/>
      <c r="L108" s="10" t="e">
        <f>_xlfn.XLOOKUP(K108,Ташкилотлар39[Ташкилотлар],Ташкилотлар39[TashklilotID])</f>
        <v>#N/A</v>
      </c>
      <c r="M108" s="26"/>
      <c r="N108" s="26"/>
      <c r="O108" s="24"/>
      <c r="P108" s="2"/>
      <c r="Q108" s="26"/>
      <c r="R108" s="26"/>
      <c r="S108" s="26"/>
      <c r="T108" s="26"/>
      <c r="U108" s="24"/>
      <c r="V108" s="10" t="e">
        <f>_xlfn.XLOOKUP(U108,Таклифлар37[Таклифлар],Таклифлар37[TaklifID])</f>
        <v>#N/A</v>
      </c>
      <c r="W108" s="24"/>
      <c r="X108" s="23"/>
      <c r="Y108" s="7"/>
      <c r="Z108" s="26"/>
      <c r="AB108" s="23"/>
      <c r="AD108" s="2"/>
      <c r="AF108" s="2"/>
      <c r="AG108" s="23"/>
      <c r="AI108" s="26"/>
      <c r="AJ108" s="23"/>
      <c r="AK108" s="2"/>
      <c r="AM108" s="23"/>
      <c r="AO108" s="32"/>
      <c r="AP108" s="26"/>
      <c r="AR108" s="26"/>
      <c r="AS108" s="24"/>
      <c r="AT108" s="24"/>
      <c r="AU108" s="31"/>
      <c r="AV108" s="24"/>
      <c r="AW108"/>
      <c r="AX108"/>
      <c r="AY108"/>
      <c r="AZ108"/>
      <c r="BA108"/>
      <c r="BB108"/>
      <c r="BC108"/>
      <c r="BD108"/>
      <c r="BE108"/>
      <c r="BF108"/>
      <c r="BG108"/>
    </row>
    <row r="109" spans="1:59" x14ac:dyDescent="0.25">
      <c r="A109" s="2"/>
      <c r="B109" s="22"/>
      <c r="C109" s="23"/>
      <c r="D109" s="2"/>
      <c r="E109" s="23"/>
      <c r="F109" s="24"/>
      <c r="G109" s="2"/>
      <c r="H109" s="10" t="e">
        <f>_xlfn.XLOOKUP(F109,Viloyatlar24[RegionName],Viloyatlar24[RegionId])</f>
        <v>#N/A</v>
      </c>
      <c r="I109" s="10" t="e">
        <f>_xlfn.XLOOKUP('Кўчмас мулк объектлари'!G109,Tumanlar23[DistrictName],Tumanlar23[DistrictId])</f>
        <v>#N/A</v>
      </c>
      <c r="J109" s="2"/>
      <c r="K109" s="24"/>
      <c r="L109" s="10" t="e">
        <f>_xlfn.XLOOKUP(K109,Ташкилотлар39[Ташкилотлар],Ташкилотлар39[TashklilotID])</f>
        <v>#N/A</v>
      </c>
      <c r="M109" s="26"/>
      <c r="N109" s="26"/>
      <c r="O109" s="24"/>
      <c r="P109" s="2"/>
      <c r="Q109" s="26"/>
      <c r="R109" s="26"/>
      <c r="S109" s="26"/>
      <c r="T109" s="26"/>
      <c r="U109" s="24"/>
      <c r="V109" s="10" t="e">
        <f>_xlfn.XLOOKUP(U109,Таклифлар37[Таклифлар],Таклифлар37[TaklifID])</f>
        <v>#N/A</v>
      </c>
      <c r="W109" s="24"/>
      <c r="X109" s="23"/>
      <c r="Y109" s="7"/>
      <c r="Z109" s="26"/>
      <c r="AB109" s="23"/>
      <c r="AD109" s="2"/>
      <c r="AF109" s="2"/>
      <c r="AG109" s="23"/>
      <c r="AI109" s="26"/>
      <c r="AJ109" s="23"/>
      <c r="AK109" s="2"/>
      <c r="AM109" s="23"/>
      <c r="AO109" s="32"/>
      <c r="AP109" s="26"/>
      <c r="AR109" s="26"/>
      <c r="AS109" s="24"/>
      <c r="AT109" s="24"/>
      <c r="AU109" s="31"/>
      <c r="AV109" s="24"/>
      <c r="AW109"/>
      <c r="AX109"/>
      <c r="AY109"/>
      <c r="AZ109"/>
      <c r="BA109"/>
      <c r="BB109"/>
      <c r="BC109"/>
      <c r="BD109"/>
      <c r="BE109"/>
      <c r="BF109"/>
      <c r="BG109"/>
    </row>
    <row r="110" spans="1:59" x14ac:dyDescent="0.25">
      <c r="A110" s="2"/>
      <c r="B110" s="22"/>
      <c r="C110" s="23"/>
      <c r="D110" s="2"/>
      <c r="E110" s="23"/>
      <c r="F110" s="24"/>
      <c r="G110" s="2"/>
      <c r="H110" s="10" t="e">
        <f>_xlfn.XLOOKUP(F110,Viloyatlar24[RegionName],Viloyatlar24[RegionId])</f>
        <v>#N/A</v>
      </c>
      <c r="I110" s="10" t="e">
        <f>_xlfn.XLOOKUP('Кўчмас мулк объектлари'!G110,Tumanlar23[DistrictName],Tumanlar23[DistrictId])</f>
        <v>#N/A</v>
      </c>
      <c r="J110" s="2"/>
      <c r="K110" s="24"/>
      <c r="L110" s="10" t="e">
        <f>_xlfn.XLOOKUP(K110,Ташкилотлар39[Ташкилотлар],Ташкилотлар39[TashklilotID])</f>
        <v>#N/A</v>
      </c>
      <c r="M110" s="26"/>
      <c r="N110" s="26"/>
      <c r="O110" s="24"/>
      <c r="P110" s="2"/>
      <c r="Q110" s="26"/>
      <c r="R110" s="26"/>
      <c r="S110" s="26"/>
      <c r="T110" s="26"/>
      <c r="U110" s="24"/>
      <c r="V110" s="10" t="e">
        <f>_xlfn.XLOOKUP(U110,Таклифлар37[Таклифлар],Таклифлар37[TaklifID])</f>
        <v>#N/A</v>
      </c>
      <c r="W110" s="24"/>
      <c r="X110" s="23"/>
      <c r="Y110" s="7"/>
      <c r="Z110" s="26"/>
      <c r="AB110" s="23"/>
      <c r="AD110" s="2"/>
      <c r="AF110" s="2"/>
      <c r="AG110" s="23"/>
      <c r="AI110" s="26"/>
      <c r="AJ110" s="23"/>
      <c r="AK110" s="2"/>
      <c r="AM110" s="23"/>
      <c r="AO110" s="32"/>
      <c r="AP110" s="26"/>
      <c r="AR110" s="26"/>
      <c r="AS110" s="24"/>
      <c r="AT110" s="24"/>
      <c r="AU110" s="31"/>
      <c r="AV110" s="24"/>
      <c r="AW110"/>
      <c r="AX110"/>
      <c r="AY110"/>
      <c r="AZ110"/>
      <c r="BA110"/>
      <c r="BB110"/>
      <c r="BC110"/>
      <c r="BD110"/>
      <c r="BE110"/>
      <c r="BF110"/>
      <c r="BG110"/>
    </row>
    <row r="111" spans="1:59" x14ac:dyDescent="0.25">
      <c r="A111" s="2"/>
      <c r="B111" s="22"/>
      <c r="C111" s="23"/>
      <c r="D111" s="2"/>
      <c r="E111" s="23"/>
      <c r="F111" s="24"/>
      <c r="G111" s="2"/>
      <c r="H111" s="10" t="e">
        <f>_xlfn.XLOOKUP(F111,Viloyatlar24[RegionName],Viloyatlar24[RegionId])</f>
        <v>#N/A</v>
      </c>
      <c r="I111" s="10" t="e">
        <f>_xlfn.XLOOKUP('Кўчмас мулк объектлари'!G111,Tumanlar23[DistrictName],Tumanlar23[DistrictId])</f>
        <v>#N/A</v>
      </c>
      <c r="J111" s="2"/>
      <c r="K111" s="24"/>
      <c r="L111" s="10" t="e">
        <f>_xlfn.XLOOKUP(K111,Ташкилотлар39[Ташкилотлар],Ташкилотлар39[TashklilotID])</f>
        <v>#N/A</v>
      </c>
      <c r="M111" s="26"/>
      <c r="N111" s="26"/>
      <c r="O111" s="24"/>
      <c r="P111" s="2"/>
      <c r="Q111" s="26"/>
      <c r="R111" s="26"/>
      <c r="S111" s="26"/>
      <c r="T111" s="26"/>
      <c r="U111" s="24"/>
      <c r="V111" s="10" t="e">
        <f>_xlfn.XLOOKUP(U111,Таклифлар37[Таклифлар],Таклифлар37[TaklifID])</f>
        <v>#N/A</v>
      </c>
      <c r="W111" s="24"/>
      <c r="X111" s="23"/>
      <c r="Y111" s="7"/>
      <c r="Z111" s="26"/>
      <c r="AB111" s="23"/>
      <c r="AD111" s="2"/>
      <c r="AF111" s="2"/>
      <c r="AG111" s="23"/>
      <c r="AI111" s="26"/>
      <c r="AJ111" s="23"/>
      <c r="AK111" s="2"/>
      <c r="AM111" s="23"/>
      <c r="AO111" s="32"/>
      <c r="AP111" s="26"/>
      <c r="AR111" s="26"/>
      <c r="AS111" s="24"/>
      <c r="AT111" s="24"/>
      <c r="AU111" s="31"/>
      <c r="AV111" s="24"/>
      <c r="AW111"/>
      <c r="AX111"/>
      <c r="AY111"/>
      <c r="AZ111"/>
      <c r="BA111"/>
      <c r="BB111"/>
      <c r="BC111"/>
      <c r="BD111"/>
      <c r="BE111"/>
      <c r="BF111"/>
      <c r="BG111"/>
    </row>
    <row r="112" spans="1:59" x14ac:dyDescent="0.25">
      <c r="A112" s="2"/>
      <c r="B112" s="22"/>
      <c r="C112" s="23"/>
      <c r="D112" s="2"/>
      <c r="E112" s="23"/>
      <c r="F112" s="24"/>
      <c r="G112" s="2"/>
      <c r="H112" s="10" t="e">
        <f>_xlfn.XLOOKUP(F112,Viloyatlar24[RegionName],Viloyatlar24[RegionId])</f>
        <v>#N/A</v>
      </c>
      <c r="I112" s="10" t="e">
        <f>_xlfn.XLOOKUP('Кўчмас мулк объектлари'!G112,Tumanlar23[DistrictName],Tumanlar23[DistrictId])</f>
        <v>#N/A</v>
      </c>
      <c r="J112" s="2"/>
      <c r="K112" s="24"/>
      <c r="L112" s="10" t="e">
        <f>_xlfn.XLOOKUP(K112,Ташкилотлар39[Ташкилотлар],Ташкилотлар39[TashklilotID])</f>
        <v>#N/A</v>
      </c>
      <c r="M112" s="26"/>
      <c r="N112" s="26"/>
      <c r="O112" s="24"/>
      <c r="P112" s="2"/>
      <c r="Q112" s="26"/>
      <c r="R112" s="26"/>
      <c r="S112" s="26"/>
      <c r="T112" s="26"/>
      <c r="U112" s="24"/>
      <c r="V112" s="10" t="e">
        <f>_xlfn.XLOOKUP(U112,Таклифлар37[Таклифлар],Таклифлар37[TaklifID])</f>
        <v>#N/A</v>
      </c>
      <c r="W112" s="24"/>
      <c r="X112" s="23"/>
      <c r="Y112" s="7"/>
      <c r="Z112" s="26"/>
      <c r="AB112" s="23"/>
      <c r="AD112" s="2"/>
      <c r="AF112" s="2"/>
      <c r="AG112" s="23"/>
      <c r="AI112" s="26"/>
      <c r="AJ112" s="23"/>
      <c r="AK112" s="2"/>
      <c r="AM112" s="23"/>
      <c r="AO112" s="32"/>
      <c r="AP112" s="26"/>
      <c r="AR112" s="26"/>
      <c r="AS112" s="24"/>
      <c r="AT112" s="24"/>
      <c r="AU112" s="31"/>
      <c r="AV112" s="24"/>
      <c r="AW112"/>
      <c r="AX112"/>
      <c r="AY112"/>
      <c r="AZ112"/>
      <c r="BA112"/>
      <c r="BB112"/>
      <c r="BC112"/>
      <c r="BD112"/>
      <c r="BE112"/>
      <c r="BF112"/>
      <c r="BG112"/>
    </row>
    <row r="113" spans="1:59" x14ac:dyDescent="0.25">
      <c r="A113" s="2"/>
      <c r="B113" s="22"/>
      <c r="C113" s="23"/>
      <c r="D113" s="2"/>
      <c r="E113" s="23"/>
      <c r="F113" s="24"/>
      <c r="G113" s="2"/>
      <c r="H113" s="10" t="e">
        <f>_xlfn.XLOOKUP(F113,Viloyatlar24[RegionName],Viloyatlar24[RegionId])</f>
        <v>#N/A</v>
      </c>
      <c r="I113" s="10" t="e">
        <f>_xlfn.XLOOKUP('Кўчмас мулк объектлари'!G113,Tumanlar23[DistrictName],Tumanlar23[DistrictId])</f>
        <v>#N/A</v>
      </c>
      <c r="J113" s="2"/>
      <c r="K113" s="24"/>
      <c r="L113" s="10" t="e">
        <f>_xlfn.XLOOKUP(K113,Ташкилотлар39[Ташкилотлар],Ташкилотлар39[TashklilotID])</f>
        <v>#N/A</v>
      </c>
      <c r="M113" s="26"/>
      <c r="N113" s="26"/>
      <c r="O113" s="24"/>
      <c r="P113" s="2"/>
      <c r="Q113" s="26"/>
      <c r="R113" s="26"/>
      <c r="S113" s="26"/>
      <c r="T113" s="26"/>
      <c r="U113" s="24"/>
      <c r="V113" s="10" t="e">
        <f>_xlfn.XLOOKUP(U113,Таклифлар37[Таклифлар],Таклифлар37[TaklifID])</f>
        <v>#N/A</v>
      </c>
      <c r="W113" s="24"/>
      <c r="X113" s="23"/>
      <c r="Y113" s="7"/>
      <c r="Z113" s="26"/>
      <c r="AB113" s="23"/>
      <c r="AD113" s="2"/>
      <c r="AF113" s="2"/>
      <c r="AG113" s="23"/>
      <c r="AI113" s="26"/>
      <c r="AJ113" s="23"/>
      <c r="AK113" s="2"/>
      <c r="AM113" s="23"/>
      <c r="AO113" s="32"/>
      <c r="AP113" s="26"/>
      <c r="AR113" s="26"/>
      <c r="AS113" s="24"/>
      <c r="AT113" s="24"/>
      <c r="AU113" s="31"/>
      <c r="AV113" s="24"/>
      <c r="AW113"/>
      <c r="AX113"/>
      <c r="AY113"/>
      <c r="AZ113"/>
      <c r="BA113"/>
      <c r="BB113"/>
      <c r="BC113"/>
      <c r="BD113"/>
      <c r="BE113"/>
      <c r="BF113"/>
      <c r="BG113"/>
    </row>
    <row r="114" spans="1:59" x14ac:dyDescent="0.25">
      <c r="A114" s="2"/>
      <c r="B114" s="22"/>
      <c r="C114" s="23"/>
      <c r="D114" s="2"/>
      <c r="E114" s="23"/>
      <c r="F114" s="24"/>
      <c r="G114" s="2"/>
      <c r="H114" s="10" t="e">
        <f>_xlfn.XLOOKUP(F114,Viloyatlar24[RegionName],Viloyatlar24[RegionId])</f>
        <v>#N/A</v>
      </c>
      <c r="I114" s="10" t="e">
        <f>_xlfn.XLOOKUP('Кўчмас мулк объектлари'!G114,Tumanlar23[DistrictName],Tumanlar23[DistrictId])</f>
        <v>#N/A</v>
      </c>
      <c r="J114" s="2"/>
      <c r="K114" s="24"/>
      <c r="L114" s="10" t="e">
        <f>_xlfn.XLOOKUP(K114,Ташкилотлар39[Ташкилотлар],Ташкилотлар39[TashklilotID])</f>
        <v>#N/A</v>
      </c>
      <c r="M114" s="26"/>
      <c r="N114" s="26"/>
      <c r="O114" s="24"/>
      <c r="P114" s="2"/>
      <c r="Q114" s="26"/>
      <c r="R114" s="26"/>
      <c r="S114" s="26"/>
      <c r="T114" s="26"/>
      <c r="U114" s="24"/>
      <c r="V114" s="10" t="e">
        <f>_xlfn.XLOOKUP(U114,Таклифлар37[Таклифлар],Таклифлар37[TaklifID])</f>
        <v>#N/A</v>
      </c>
      <c r="W114" s="24"/>
      <c r="X114" s="23"/>
      <c r="Y114" s="7"/>
      <c r="Z114" s="26"/>
      <c r="AB114" s="23"/>
      <c r="AD114" s="2"/>
      <c r="AF114" s="2"/>
      <c r="AG114" s="23"/>
      <c r="AI114" s="26"/>
      <c r="AJ114" s="23"/>
      <c r="AK114" s="2"/>
      <c r="AM114" s="23"/>
      <c r="AO114" s="32"/>
      <c r="AP114" s="26"/>
      <c r="AR114" s="26"/>
      <c r="AS114" s="24"/>
      <c r="AT114" s="24"/>
      <c r="AU114" s="31"/>
      <c r="AV114" s="24"/>
      <c r="AW114"/>
      <c r="AX114"/>
      <c r="AY114"/>
      <c r="AZ114"/>
      <c r="BA114"/>
      <c r="BB114"/>
      <c r="BC114"/>
      <c r="BD114"/>
      <c r="BE114"/>
      <c r="BF114"/>
      <c r="BG114"/>
    </row>
    <row r="115" spans="1:59" x14ac:dyDescent="0.25">
      <c r="A115" s="2"/>
      <c r="B115" s="22"/>
      <c r="C115" s="23"/>
      <c r="D115" s="2"/>
      <c r="E115" s="23"/>
      <c r="F115" s="24"/>
      <c r="G115" s="2"/>
      <c r="H115" s="10" t="e">
        <f>_xlfn.XLOOKUP(F115,Viloyatlar24[RegionName],Viloyatlar24[RegionId])</f>
        <v>#N/A</v>
      </c>
      <c r="I115" s="10" t="e">
        <f>_xlfn.XLOOKUP('Кўчмас мулк объектлари'!G115,Tumanlar23[DistrictName],Tumanlar23[DistrictId])</f>
        <v>#N/A</v>
      </c>
      <c r="J115" s="2"/>
      <c r="K115" s="24"/>
      <c r="L115" s="10" t="e">
        <f>_xlfn.XLOOKUP(K115,Ташкилотлар39[Ташкилотлар],Ташкилотлар39[TashklilotID])</f>
        <v>#N/A</v>
      </c>
      <c r="M115" s="26"/>
      <c r="N115" s="26"/>
      <c r="O115" s="24"/>
      <c r="P115" s="2"/>
      <c r="Q115" s="26"/>
      <c r="R115" s="26"/>
      <c r="S115" s="26"/>
      <c r="T115" s="26"/>
      <c r="U115" s="24"/>
      <c r="V115" s="10" t="e">
        <f>_xlfn.XLOOKUP(U115,Таклифлар37[Таклифлар],Таклифлар37[TaklifID])</f>
        <v>#N/A</v>
      </c>
      <c r="W115" s="24"/>
      <c r="X115" s="23"/>
      <c r="Y115" s="7"/>
      <c r="Z115" s="26"/>
      <c r="AB115" s="23"/>
      <c r="AD115" s="2"/>
      <c r="AF115" s="2"/>
      <c r="AG115" s="23"/>
      <c r="AI115" s="26"/>
      <c r="AJ115" s="23"/>
      <c r="AK115" s="2"/>
      <c r="AM115" s="23"/>
      <c r="AO115" s="32"/>
      <c r="AP115" s="26"/>
      <c r="AR115" s="26"/>
      <c r="AS115" s="24"/>
      <c r="AT115" s="24"/>
      <c r="AU115" s="31"/>
      <c r="AV115" s="24"/>
      <c r="AW115"/>
      <c r="AX115"/>
      <c r="AY115"/>
      <c r="AZ115"/>
      <c r="BA115"/>
      <c r="BB115"/>
      <c r="BC115"/>
      <c r="BD115"/>
      <c r="BE115"/>
      <c r="BF115"/>
      <c r="BG115"/>
    </row>
    <row r="116" spans="1:59" x14ac:dyDescent="0.25">
      <c r="A116" s="2"/>
      <c r="B116" s="22"/>
      <c r="C116" s="23"/>
      <c r="D116" s="2"/>
      <c r="E116" s="23"/>
      <c r="F116" s="24"/>
      <c r="G116" s="2"/>
      <c r="H116" s="10" t="e">
        <f>_xlfn.XLOOKUP(F116,Viloyatlar24[RegionName],Viloyatlar24[RegionId])</f>
        <v>#N/A</v>
      </c>
      <c r="I116" s="10" t="e">
        <f>_xlfn.XLOOKUP('Кўчмас мулк объектлари'!G116,Tumanlar23[DistrictName],Tumanlar23[DistrictId])</f>
        <v>#N/A</v>
      </c>
      <c r="J116" s="2"/>
      <c r="K116" s="24"/>
      <c r="L116" s="10" t="e">
        <f>_xlfn.XLOOKUP(K116,Ташкилотлар39[Ташкилотлар],Ташкилотлар39[TashklilotID])</f>
        <v>#N/A</v>
      </c>
      <c r="M116" s="26"/>
      <c r="N116" s="26"/>
      <c r="O116" s="24"/>
      <c r="P116" s="2"/>
      <c r="Q116" s="26"/>
      <c r="R116" s="26"/>
      <c r="S116" s="26"/>
      <c r="T116" s="26"/>
      <c r="U116" s="24"/>
      <c r="V116" s="10" t="e">
        <f>_xlfn.XLOOKUP(U116,Таклифлар37[Таклифлар],Таклифлар37[TaklifID])</f>
        <v>#N/A</v>
      </c>
      <c r="W116" s="24"/>
      <c r="X116" s="23"/>
      <c r="Y116" s="7"/>
      <c r="Z116" s="26"/>
      <c r="AB116" s="23"/>
      <c r="AD116" s="2"/>
      <c r="AF116" s="2"/>
      <c r="AG116" s="23"/>
      <c r="AI116" s="26"/>
      <c r="AJ116" s="23"/>
      <c r="AK116" s="2"/>
      <c r="AM116" s="23"/>
      <c r="AO116" s="32"/>
      <c r="AP116" s="26"/>
      <c r="AR116" s="26"/>
      <c r="AS116" s="24"/>
      <c r="AT116" s="24"/>
      <c r="AU116" s="31"/>
      <c r="AV116" s="24"/>
      <c r="AW116"/>
      <c r="AX116"/>
      <c r="AY116"/>
      <c r="AZ116"/>
      <c r="BA116"/>
      <c r="BB116"/>
      <c r="BC116"/>
      <c r="BD116"/>
      <c r="BE116"/>
      <c r="BF116"/>
      <c r="BG116"/>
    </row>
    <row r="117" spans="1:59" x14ac:dyDescent="0.25">
      <c r="A117" s="2"/>
      <c r="B117" s="22"/>
      <c r="C117" s="23"/>
      <c r="D117" s="2"/>
      <c r="E117" s="23"/>
      <c r="F117" s="24"/>
      <c r="G117" s="2"/>
      <c r="H117" s="10" t="e">
        <f>_xlfn.XLOOKUP(F117,Viloyatlar24[RegionName],Viloyatlar24[RegionId])</f>
        <v>#N/A</v>
      </c>
      <c r="I117" s="10" t="e">
        <f>_xlfn.XLOOKUP('Кўчмас мулк объектлари'!G117,Tumanlar23[DistrictName],Tumanlar23[DistrictId])</f>
        <v>#N/A</v>
      </c>
      <c r="J117" s="2"/>
      <c r="K117" s="24"/>
      <c r="L117" s="10" t="e">
        <f>_xlfn.XLOOKUP(K117,Ташкилотлар39[Ташкилотлар],Ташкилотлар39[TashklilotID])</f>
        <v>#N/A</v>
      </c>
      <c r="M117" s="26"/>
      <c r="N117" s="26"/>
      <c r="O117" s="24"/>
      <c r="P117" s="2"/>
      <c r="Q117" s="26"/>
      <c r="R117" s="26"/>
      <c r="S117" s="26"/>
      <c r="T117" s="26"/>
      <c r="U117" s="24"/>
      <c r="V117" s="10" t="e">
        <f>_xlfn.XLOOKUP(U117,Таклифлар37[Таклифлар],Таклифлар37[TaklifID])</f>
        <v>#N/A</v>
      </c>
      <c r="W117" s="24"/>
      <c r="X117" s="23"/>
      <c r="Y117" s="7"/>
      <c r="Z117" s="26"/>
      <c r="AB117" s="23"/>
      <c r="AD117" s="2"/>
      <c r="AF117" s="2"/>
      <c r="AG117" s="23"/>
      <c r="AI117" s="26"/>
      <c r="AJ117" s="23"/>
      <c r="AK117" s="2"/>
      <c r="AM117" s="23"/>
      <c r="AO117" s="32"/>
      <c r="AP117" s="26"/>
      <c r="AR117" s="26"/>
      <c r="AS117" s="24"/>
      <c r="AT117" s="24"/>
      <c r="AU117" s="31"/>
      <c r="AV117" s="24"/>
      <c r="AW117"/>
      <c r="AX117"/>
      <c r="AY117"/>
      <c r="AZ117"/>
      <c r="BA117"/>
      <c r="BB117"/>
      <c r="BC117"/>
      <c r="BD117"/>
      <c r="BE117"/>
      <c r="BF117"/>
      <c r="BG117"/>
    </row>
    <row r="118" spans="1:59" x14ac:dyDescent="0.25">
      <c r="A118" s="2"/>
      <c r="B118" s="22"/>
      <c r="C118" s="23"/>
      <c r="D118" s="2"/>
      <c r="E118" s="23"/>
      <c r="F118" s="24"/>
      <c r="G118" s="2"/>
      <c r="H118" s="10" t="e">
        <f>_xlfn.XLOOKUP(F118,Viloyatlar24[RegionName],Viloyatlar24[RegionId])</f>
        <v>#N/A</v>
      </c>
      <c r="I118" s="10" t="e">
        <f>_xlfn.XLOOKUP('Кўчмас мулк объектлари'!G118,Tumanlar23[DistrictName],Tumanlar23[DistrictId])</f>
        <v>#N/A</v>
      </c>
      <c r="J118" s="2"/>
      <c r="K118" s="24"/>
      <c r="L118" s="10" t="e">
        <f>_xlfn.XLOOKUP(K118,Ташкилотлар39[Ташкилотлар],Ташкилотлар39[TashklilotID])</f>
        <v>#N/A</v>
      </c>
      <c r="M118" s="26"/>
      <c r="N118" s="26"/>
      <c r="O118" s="24"/>
      <c r="P118" s="2"/>
      <c r="Q118" s="26"/>
      <c r="R118" s="26"/>
      <c r="S118" s="26"/>
      <c r="T118" s="26"/>
      <c r="U118" s="24"/>
      <c r="V118" s="10" t="e">
        <f>_xlfn.XLOOKUP(U118,Таклифлар37[Таклифлар],Таклифлар37[TaklifID])</f>
        <v>#N/A</v>
      </c>
      <c r="W118" s="24"/>
      <c r="X118" s="23"/>
      <c r="Y118" s="7"/>
      <c r="Z118" s="26"/>
      <c r="AB118" s="23"/>
      <c r="AD118" s="2"/>
      <c r="AF118" s="2"/>
      <c r="AG118" s="23"/>
      <c r="AI118" s="26"/>
      <c r="AJ118" s="23"/>
      <c r="AK118" s="2"/>
      <c r="AM118" s="23"/>
      <c r="AO118" s="32"/>
      <c r="AP118" s="26"/>
      <c r="AR118" s="26"/>
      <c r="AS118" s="24"/>
      <c r="AT118" s="24"/>
      <c r="AU118" s="31"/>
      <c r="AV118" s="24"/>
      <c r="AW118"/>
      <c r="AX118"/>
      <c r="AY118"/>
      <c r="AZ118"/>
      <c r="BA118"/>
      <c r="BB118"/>
      <c r="BC118"/>
      <c r="BD118"/>
      <c r="BE118"/>
      <c r="BF118"/>
      <c r="BG118"/>
    </row>
    <row r="119" spans="1:59" x14ac:dyDescent="0.25">
      <c r="A119" s="2"/>
      <c r="B119" s="22"/>
      <c r="C119" s="23"/>
      <c r="D119" s="2"/>
      <c r="E119" s="23"/>
      <c r="F119" s="24"/>
      <c r="G119" s="2"/>
      <c r="H119" s="10" t="e">
        <f>_xlfn.XLOOKUP(F119,Viloyatlar24[RegionName],Viloyatlar24[RegionId])</f>
        <v>#N/A</v>
      </c>
      <c r="I119" s="10" t="e">
        <f>_xlfn.XLOOKUP('Кўчмас мулк объектлари'!G119,Tumanlar23[DistrictName],Tumanlar23[DistrictId])</f>
        <v>#N/A</v>
      </c>
      <c r="J119" s="2"/>
      <c r="K119" s="24"/>
      <c r="L119" s="10" t="e">
        <f>_xlfn.XLOOKUP(K119,Ташкилотлар39[Ташкилотлар],Ташкилотлар39[TashklilotID])</f>
        <v>#N/A</v>
      </c>
      <c r="M119" s="26"/>
      <c r="N119" s="26"/>
      <c r="O119" s="24"/>
      <c r="P119" s="2"/>
      <c r="Q119" s="26"/>
      <c r="R119" s="26"/>
      <c r="S119" s="26"/>
      <c r="T119" s="26"/>
      <c r="U119" s="24"/>
      <c r="V119" s="10" t="e">
        <f>_xlfn.XLOOKUP(U119,Таклифлар37[Таклифлар],Таклифлар37[TaklifID])</f>
        <v>#N/A</v>
      </c>
      <c r="W119" s="24"/>
      <c r="X119" s="23"/>
      <c r="Y119" s="7"/>
      <c r="Z119" s="26"/>
      <c r="AB119" s="23"/>
      <c r="AD119" s="2"/>
      <c r="AF119" s="2"/>
      <c r="AG119" s="23"/>
      <c r="AI119" s="26"/>
      <c r="AJ119" s="23"/>
      <c r="AK119" s="2"/>
      <c r="AM119" s="23"/>
      <c r="AO119" s="32"/>
      <c r="AP119" s="26"/>
      <c r="AR119" s="26"/>
      <c r="AS119" s="24"/>
      <c r="AT119" s="24"/>
      <c r="AU119" s="31"/>
      <c r="AV119" s="24"/>
      <c r="AW119"/>
      <c r="AX119"/>
      <c r="AY119"/>
      <c r="AZ119"/>
      <c r="BA119"/>
      <c r="BB119"/>
      <c r="BC119"/>
      <c r="BD119"/>
      <c r="BE119"/>
      <c r="BF119"/>
      <c r="BG119"/>
    </row>
    <row r="120" spans="1:59" x14ac:dyDescent="0.25">
      <c r="A120" s="2"/>
      <c r="B120" s="22"/>
      <c r="C120" s="23"/>
      <c r="D120" s="2"/>
      <c r="E120" s="23"/>
      <c r="F120" s="24"/>
      <c r="G120" s="2"/>
      <c r="H120" s="10" t="e">
        <f>_xlfn.XLOOKUP(F120,Viloyatlar24[RegionName],Viloyatlar24[RegionId])</f>
        <v>#N/A</v>
      </c>
      <c r="I120" s="10" t="e">
        <f>_xlfn.XLOOKUP('Кўчмас мулк объектлари'!G120,Tumanlar23[DistrictName],Tumanlar23[DistrictId])</f>
        <v>#N/A</v>
      </c>
      <c r="J120" s="2"/>
      <c r="K120" s="24"/>
      <c r="L120" s="10" t="e">
        <f>_xlfn.XLOOKUP(K120,Ташкилотлар39[Ташкилотлар],Ташкилотлар39[TashklilotID])</f>
        <v>#N/A</v>
      </c>
      <c r="M120" s="26"/>
      <c r="N120" s="26"/>
      <c r="O120" s="24"/>
      <c r="P120" s="2"/>
      <c r="Q120" s="26"/>
      <c r="R120" s="26"/>
      <c r="S120" s="26"/>
      <c r="T120" s="26"/>
      <c r="U120" s="24"/>
      <c r="V120" s="10" t="e">
        <f>_xlfn.XLOOKUP(U120,Таклифлар37[Таклифлар],Таклифлар37[TaklifID])</f>
        <v>#N/A</v>
      </c>
      <c r="W120" s="24"/>
      <c r="X120" s="23"/>
      <c r="Y120" s="7"/>
      <c r="Z120" s="26"/>
      <c r="AB120" s="23"/>
      <c r="AD120" s="2"/>
      <c r="AF120" s="2"/>
      <c r="AG120" s="23"/>
      <c r="AI120" s="26"/>
      <c r="AJ120" s="23"/>
      <c r="AK120" s="2"/>
      <c r="AM120" s="23"/>
      <c r="AO120" s="32"/>
      <c r="AP120" s="26"/>
      <c r="AR120" s="26"/>
      <c r="AS120" s="24"/>
      <c r="AT120" s="24"/>
      <c r="AU120" s="31"/>
      <c r="AV120" s="24"/>
      <c r="AW120"/>
      <c r="AX120"/>
      <c r="AY120"/>
      <c r="AZ120"/>
      <c r="BA120"/>
      <c r="BB120"/>
      <c r="BC120"/>
      <c r="BD120"/>
      <c r="BE120"/>
      <c r="BF120"/>
      <c r="BG120"/>
    </row>
    <row r="121" spans="1:59" x14ac:dyDescent="0.25">
      <c r="A121" s="2"/>
      <c r="B121" s="22"/>
      <c r="C121" s="23"/>
      <c r="D121" s="2"/>
      <c r="E121" s="23"/>
      <c r="F121" s="24"/>
      <c r="G121" s="2"/>
      <c r="H121" s="10" t="e">
        <f>_xlfn.XLOOKUP(F121,Viloyatlar24[RegionName],Viloyatlar24[RegionId])</f>
        <v>#N/A</v>
      </c>
      <c r="I121" s="10" t="e">
        <f>_xlfn.XLOOKUP('Кўчмас мулк объектлари'!G121,Tumanlar23[DistrictName],Tumanlar23[DistrictId])</f>
        <v>#N/A</v>
      </c>
      <c r="J121" s="2"/>
      <c r="K121" s="24"/>
      <c r="L121" s="10" t="e">
        <f>_xlfn.XLOOKUP(K121,Ташкилотлар39[Ташкилотлар],Ташкилотлар39[TashklilotID])</f>
        <v>#N/A</v>
      </c>
      <c r="M121" s="26"/>
      <c r="N121" s="26"/>
      <c r="O121" s="24"/>
      <c r="P121" s="2"/>
      <c r="Q121" s="26"/>
      <c r="R121" s="26"/>
      <c r="S121" s="26"/>
      <c r="T121" s="26"/>
      <c r="U121" s="24"/>
      <c r="V121" s="10" t="e">
        <f>_xlfn.XLOOKUP(U121,Таклифлар37[Таклифлар],Таклифлар37[TaklifID])</f>
        <v>#N/A</v>
      </c>
      <c r="W121" s="24"/>
      <c r="X121" s="23"/>
      <c r="Y121" s="7"/>
      <c r="Z121" s="26"/>
      <c r="AB121" s="23"/>
      <c r="AD121" s="2"/>
      <c r="AF121" s="2"/>
      <c r="AG121" s="23"/>
      <c r="AI121" s="26"/>
      <c r="AJ121" s="23"/>
      <c r="AK121" s="2"/>
      <c r="AM121" s="23"/>
      <c r="AO121" s="32"/>
      <c r="AP121" s="26"/>
      <c r="AR121" s="26"/>
      <c r="AS121" s="24"/>
      <c r="AT121" s="24"/>
      <c r="AU121" s="31"/>
      <c r="AV121" s="24"/>
      <c r="AW121"/>
      <c r="AX121"/>
      <c r="AY121"/>
      <c r="AZ121"/>
      <c r="BA121"/>
      <c r="BB121"/>
      <c r="BC121"/>
      <c r="BD121"/>
      <c r="BE121"/>
      <c r="BF121"/>
      <c r="BG121"/>
    </row>
    <row r="122" spans="1:59" x14ac:dyDescent="0.25">
      <c r="A122" s="2"/>
      <c r="B122" s="22"/>
      <c r="C122" s="23"/>
      <c r="D122" s="2"/>
      <c r="E122" s="23"/>
      <c r="F122" s="24"/>
      <c r="G122" s="2"/>
      <c r="H122" s="10" t="e">
        <f>_xlfn.XLOOKUP(F122,Viloyatlar24[RegionName],Viloyatlar24[RegionId])</f>
        <v>#N/A</v>
      </c>
      <c r="I122" s="10" t="e">
        <f>_xlfn.XLOOKUP('Кўчмас мулк объектлари'!G122,Tumanlar23[DistrictName],Tumanlar23[DistrictId])</f>
        <v>#N/A</v>
      </c>
      <c r="J122" s="2"/>
      <c r="K122" s="24"/>
      <c r="L122" s="10" t="e">
        <f>_xlfn.XLOOKUP(K122,Ташкилотлар39[Ташкилотлар],Ташкилотлар39[TashklilotID])</f>
        <v>#N/A</v>
      </c>
      <c r="M122" s="26"/>
      <c r="N122" s="26"/>
      <c r="O122" s="24"/>
      <c r="P122" s="2"/>
      <c r="Q122" s="26"/>
      <c r="R122" s="26"/>
      <c r="S122" s="26"/>
      <c r="T122" s="26"/>
      <c r="U122" s="24"/>
      <c r="V122" s="10" t="e">
        <f>_xlfn.XLOOKUP(U122,Таклифлар37[Таклифлар],Таклифлар37[TaklifID])</f>
        <v>#N/A</v>
      </c>
      <c r="W122" s="24"/>
      <c r="X122" s="23"/>
      <c r="Y122" s="7"/>
      <c r="Z122" s="26"/>
      <c r="AB122" s="23"/>
      <c r="AD122" s="2"/>
      <c r="AF122" s="2"/>
      <c r="AG122" s="23"/>
      <c r="AI122" s="26"/>
      <c r="AJ122" s="23"/>
      <c r="AK122" s="2"/>
      <c r="AM122" s="23"/>
      <c r="AO122" s="32"/>
      <c r="AP122" s="26"/>
      <c r="AR122" s="26"/>
      <c r="AS122" s="24"/>
      <c r="AT122" s="24"/>
      <c r="AU122" s="31"/>
      <c r="AV122" s="24"/>
      <c r="AW122"/>
      <c r="AX122"/>
      <c r="AY122"/>
      <c r="AZ122"/>
      <c r="BA122"/>
      <c r="BB122"/>
      <c r="BC122"/>
      <c r="BD122"/>
      <c r="BE122"/>
      <c r="BF122"/>
      <c r="BG122"/>
    </row>
    <row r="123" spans="1:59" x14ac:dyDescent="0.25">
      <c r="A123" s="2"/>
      <c r="B123" s="22"/>
      <c r="C123" s="23"/>
      <c r="D123" s="2"/>
      <c r="E123" s="23"/>
      <c r="F123" s="24"/>
      <c r="G123" s="2"/>
      <c r="H123" s="10" t="e">
        <f>_xlfn.XLOOKUP(F123,Viloyatlar24[RegionName],Viloyatlar24[RegionId])</f>
        <v>#N/A</v>
      </c>
      <c r="I123" s="10" t="e">
        <f>_xlfn.XLOOKUP('Кўчмас мулк объектлари'!G123,Tumanlar23[DistrictName],Tumanlar23[DistrictId])</f>
        <v>#N/A</v>
      </c>
      <c r="J123" s="2"/>
      <c r="K123" s="24"/>
      <c r="L123" s="10" t="e">
        <f>_xlfn.XLOOKUP(K123,Ташкилотлар39[Ташкилотлар],Ташкилотлар39[TashklilotID])</f>
        <v>#N/A</v>
      </c>
      <c r="M123" s="26"/>
      <c r="N123" s="26"/>
      <c r="O123" s="24"/>
      <c r="P123" s="2"/>
      <c r="Q123" s="26"/>
      <c r="R123" s="26"/>
      <c r="S123" s="26"/>
      <c r="T123" s="26"/>
      <c r="U123" s="24"/>
      <c r="V123" s="10" t="e">
        <f>_xlfn.XLOOKUP(U123,Таклифлар37[Таклифлар],Таклифлар37[TaklifID])</f>
        <v>#N/A</v>
      </c>
      <c r="W123" s="24"/>
      <c r="X123" s="23"/>
      <c r="Y123" s="7"/>
      <c r="Z123" s="26"/>
      <c r="AB123" s="23"/>
      <c r="AD123" s="2"/>
      <c r="AF123" s="2"/>
      <c r="AG123" s="23"/>
      <c r="AI123" s="26"/>
      <c r="AJ123" s="23"/>
      <c r="AK123" s="2"/>
      <c r="AM123" s="23"/>
      <c r="AO123" s="32"/>
      <c r="AP123" s="26"/>
      <c r="AR123" s="26"/>
      <c r="AS123" s="24"/>
      <c r="AT123" s="24"/>
      <c r="AU123" s="31"/>
      <c r="AV123" s="24"/>
      <c r="AW123"/>
      <c r="AX123"/>
      <c r="AY123"/>
      <c r="AZ123"/>
      <c r="BA123"/>
      <c r="BB123"/>
      <c r="BC123"/>
      <c r="BD123"/>
      <c r="BE123"/>
      <c r="BF123"/>
      <c r="BG123"/>
    </row>
    <row r="124" spans="1:59" x14ac:dyDescent="0.25">
      <c r="A124" s="2"/>
      <c r="B124" s="22"/>
      <c r="C124" s="23"/>
      <c r="D124" s="2"/>
      <c r="E124" s="23"/>
      <c r="F124" s="24"/>
      <c r="G124" s="2"/>
      <c r="H124" s="10" t="e">
        <f>_xlfn.XLOOKUP(F124,Viloyatlar24[RegionName],Viloyatlar24[RegionId])</f>
        <v>#N/A</v>
      </c>
      <c r="I124" s="10" t="e">
        <f>_xlfn.XLOOKUP('Кўчмас мулк объектлари'!G124,Tumanlar23[DistrictName],Tumanlar23[DistrictId])</f>
        <v>#N/A</v>
      </c>
      <c r="J124" s="2"/>
      <c r="K124" s="24"/>
      <c r="L124" s="10" t="e">
        <f>_xlfn.XLOOKUP(K124,Ташкилотлар39[Ташкилотлар],Ташкилотлар39[TashklilotID])</f>
        <v>#N/A</v>
      </c>
      <c r="M124" s="26"/>
      <c r="N124" s="26"/>
      <c r="O124" s="24"/>
      <c r="P124" s="2"/>
      <c r="Q124" s="26"/>
      <c r="R124" s="26"/>
      <c r="S124" s="26"/>
      <c r="T124" s="26"/>
      <c r="U124" s="24"/>
      <c r="V124" s="10" t="e">
        <f>_xlfn.XLOOKUP(U124,Таклифлар37[Таклифлар],Таклифлар37[TaklifID])</f>
        <v>#N/A</v>
      </c>
      <c r="W124" s="24"/>
      <c r="X124" s="23"/>
      <c r="Y124" s="7"/>
      <c r="Z124" s="26"/>
      <c r="AB124" s="23"/>
      <c r="AD124" s="2"/>
      <c r="AF124" s="2"/>
      <c r="AG124" s="23"/>
      <c r="AI124" s="26"/>
      <c r="AJ124" s="23"/>
      <c r="AK124" s="2"/>
      <c r="AM124" s="23"/>
      <c r="AO124" s="32"/>
      <c r="AP124" s="26"/>
      <c r="AR124" s="26"/>
      <c r="AS124" s="24"/>
      <c r="AT124" s="24"/>
      <c r="AU124" s="31"/>
      <c r="AV124" s="24"/>
      <c r="AW124"/>
      <c r="AX124"/>
      <c r="AY124"/>
      <c r="AZ124"/>
      <c r="BA124"/>
      <c r="BB124"/>
      <c r="BC124"/>
      <c r="BD124"/>
      <c r="BE124"/>
      <c r="BF124"/>
      <c r="BG124"/>
    </row>
    <row r="125" spans="1:59" x14ac:dyDescent="0.25">
      <c r="A125" s="2"/>
      <c r="B125" s="22"/>
      <c r="C125" s="23"/>
      <c r="D125" s="2"/>
      <c r="E125" s="23"/>
      <c r="F125" s="24"/>
      <c r="G125" s="2"/>
      <c r="H125" s="10" t="e">
        <f>_xlfn.XLOOKUP(F125,Viloyatlar24[RegionName],Viloyatlar24[RegionId])</f>
        <v>#N/A</v>
      </c>
      <c r="I125" s="10" t="e">
        <f>_xlfn.XLOOKUP('Кўчмас мулк объектлари'!G125,Tumanlar23[DistrictName],Tumanlar23[DistrictId])</f>
        <v>#N/A</v>
      </c>
      <c r="J125" s="2"/>
      <c r="K125" s="24"/>
      <c r="L125" s="10" t="e">
        <f>_xlfn.XLOOKUP(K125,Ташкилотлар39[Ташкилотлар],Ташкилотлар39[TashklilotID])</f>
        <v>#N/A</v>
      </c>
      <c r="M125" s="26"/>
      <c r="N125" s="26"/>
      <c r="O125" s="24"/>
      <c r="P125" s="2"/>
      <c r="Q125" s="26"/>
      <c r="R125" s="26"/>
      <c r="S125" s="26"/>
      <c r="T125" s="26"/>
      <c r="U125" s="24"/>
      <c r="V125" s="10" t="e">
        <f>_xlfn.XLOOKUP(U125,Таклифлар37[Таклифлар],Таклифлар37[TaklifID])</f>
        <v>#N/A</v>
      </c>
      <c r="W125" s="24"/>
      <c r="X125" s="23"/>
      <c r="Y125" s="7"/>
      <c r="Z125" s="26"/>
      <c r="AB125" s="23"/>
      <c r="AD125" s="2"/>
      <c r="AF125" s="2"/>
      <c r="AG125" s="23"/>
      <c r="AI125" s="26"/>
      <c r="AJ125" s="23"/>
      <c r="AK125" s="2"/>
      <c r="AM125" s="23"/>
      <c r="AO125" s="32"/>
      <c r="AP125" s="26"/>
      <c r="AR125" s="26"/>
      <c r="AS125" s="24"/>
      <c r="AT125" s="24"/>
      <c r="AU125" s="31"/>
      <c r="AV125" s="24"/>
      <c r="AW125"/>
      <c r="AX125"/>
      <c r="AY125"/>
      <c r="AZ125"/>
      <c r="BA125"/>
      <c r="BB125"/>
      <c r="BC125"/>
      <c r="BD125"/>
      <c r="BE125"/>
      <c r="BF125"/>
      <c r="BG125"/>
    </row>
    <row r="126" spans="1:59" x14ac:dyDescent="0.25">
      <c r="A126" s="2"/>
      <c r="B126" s="22"/>
      <c r="C126" s="23"/>
      <c r="D126" s="2"/>
      <c r="E126" s="23"/>
      <c r="F126" s="24"/>
      <c r="G126" s="2"/>
      <c r="H126" s="10" t="e">
        <f>_xlfn.XLOOKUP(F126,Viloyatlar24[RegionName],Viloyatlar24[RegionId])</f>
        <v>#N/A</v>
      </c>
      <c r="I126" s="10" t="e">
        <f>_xlfn.XLOOKUP('Кўчмас мулк объектлари'!G126,Tumanlar23[DistrictName],Tumanlar23[DistrictId])</f>
        <v>#N/A</v>
      </c>
      <c r="J126" s="2"/>
      <c r="K126" s="24"/>
      <c r="L126" s="10" t="e">
        <f>_xlfn.XLOOKUP(K126,Ташкилотлар39[Ташкилотлар],Ташкилотлар39[TashklilotID])</f>
        <v>#N/A</v>
      </c>
      <c r="M126" s="26"/>
      <c r="N126" s="26"/>
      <c r="O126" s="24"/>
      <c r="P126" s="2"/>
      <c r="Q126" s="26"/>
      <c r="R126" s="26"/>
      <c r="S126" s="26"/>
      <c r="T126" s="26"/>
      <c r="U126" s="24"/>
      <c r="V126" s="10" t="e">
        <f>_xlfn.XLOOKUP(U126,Таклифлар37[Таклифлар],Таклифлар37[TaklifID])</f>
        <v>#N/A</v>
      </c>
      <c r="W126" s="24"/>
      <c r="X126" s="23"/>
      <c r="Y126" s="7"/>
      <c r="Z126" s="26"/>
      <c r="AB126" s="23"/>
      <c r="AD126" s="2"/>
      <c r="AF126" s="2"/>
      <c r="AG126" s="23"/>
      <c r="AI126" s="26"/>
      <c r="AJ126" s="23"/>
      <c r="AK126" s="2"/>
      <c r="AM126" s="23"/>
      <c r="AO126" s="32"/>
      <c r="AP126" s="26"/>
      <c r="AR126" s="26"/>
      <c r="AS126" s="24"/>
      <c r="AT126" s="24"/>
      <c r="AU126" s="31"/>
      <c r="AV126" s="24"/>
      <c r="AW126"/>
      <c r="AX126"/>
      <c r="AY126"/>
      <c r="AZ126"/>
      <c r="BA126"/>
      <c r="BB126"/>
      <c r="BC126"/>
      <c r="BD126"/>
      <c r="BE126"/>
      <c r="BF126"/>
      <c r="BG126"/>
    </row>
    <row r="127" spans="1:59" x14ac:dyDescent="0.25">
      <c r="A127" s="2"/>
      <c r="B127" s="22"/>
      <c r="C127" s="23"/>
      <c r="D127" s="2"/>
      <c r="E127" s="23"/>
      <c r="F127" s="24"/>
      <c r="G127" s="2"/>
      <c r="H127" s="10" t="e">
        <f>_xlfn.XLOOKUP(F127,Viloyatlar24[RegionName],Viloyatlar24[RegionId])</f>
        <v>#N/A</v>
      </c>
      <c r="I127" s="10" t="e">
        <f>_xlfn.XLOOKUP('Кўчмас мулк объектлари'!G127,Tumanlar23[DistrictName],Tumanlar23[DistrictId])</f>
        <v>#N/A</v>
      </c>
      <c r="J127" s="2"/>
      <c r="K127" s="24"/>
      <c r="L127" s="10" t="e">
        <f>_xlfn.XLOOKUP(K127,Ташкилотлар39[Ташкилотлар],Ташкилотлар39[TashklilotID])</f>
        <v>#N/A</v>
      </c>
      <c r="M127" s="26"/>
      <c r="N127" s="26"/>
      <c r="O127" s="24"/>
      <c r="P127" s="2"/>
      <c r="Q127" s="26"/>
      <c r="R127" s="26"/>
      <c r="S127" s="26"/>
      <c r="T127" s="26"/>
      <c r="U127" s="24"/>
      <c r="V127" s="10" t="e">
        <f>_xlfn.XLOOKUP(U127,Таклифлар37[Таклифлар],Таклифлар37[TaklifID])</f>
        <v>#N/A</v>
      </c>
      <c r="W127" s="24"/>
      <c r="X127" s="23"/>
      <c r="Y127" s="7"/>
      <c r="Z127" s="26"/>
      <c r="AB127" s="23"/>
      <c r="AD127" s="2"/>
      <c r="AF127" s="2"/>
      <c r="AG127" s="23"/>
      <c r="AI127" s="26"/>
      <c r="AJ127" s="23"/>
      <c r="AK127" s="2"/>
      <c r="AM127" s="23"/>
      <c r="AO127" s="32"/>
      <c r="AP127" s="26"/>
      <c r="AR127" s="26"/>
      <c r="AS127" s="24"/>
      <c r="AT127" s="24"/>
      <c r="AU127" s="31"/>
      <c r="AV127" s="24"/>
      <c r="AW127"/>
      <c r="AX127"/>
      <c r="AY127"/>
      <c r="AZ127"/>
      <c r="BA127"/>
      <c r="BB127"/>
      <c r="BC127"/>
      <c r="BD127"/>
      <c r="BE127"/>
      <c r="BF127"/>
      <c r="BG127"/>
    </row>
    <row r="128" spans="1:59" x14ac:dyDescent="0.25">
      <c r="A128" s="2"/>
      <c r="B128" s="22"/>
      <c r="C128" s="23"/>
      <c r="D128" s="2"/>
      <c r="E128" s="23"/>
      <c r="F128" s="24"/>
      <c r="G128" s="2"/>
      <c r="H128" s="10" t="e">
        <f>_xlfn.XLOOKUP(F128,Viloyatlar24[RegionName],Viloyatlar24[RegionId])</f>
        <v>#N/A</v>
      </c>
      <c r="I128" s="10" t="e">
        <f>_xlfn.XLOOKUP('Кўчмас мулк объектлари'!G128,Tumanlar23[DistrictName],Tumanlar23[DistrictId])</f>
        <v>#N/A</v>
      </c>
      <c r="J128" s="2"/>
      <c r="K128" s="24"/>
      <c r="L128" s="10" t="e">
        <f>_xlfn.XLOOKUP(K128,Ташкилотлар39[Ташкилотлар],Ташкилотлар39[TashklilotID])</f>
        <v>#N/A</v>
      </c>
      <c r="M128" s="26"/>
      <c r="N128" s="26"/>
      <c r="O128" s="24"/>
      <c r="P128" s="2"/>
      <c r="Q128" s="26"/>
      <c r="R128" s="26"/>
      <c r="S128" s="26"/>
      <c r="T128" s="26"/>
      <c r="U128" s="24"/>
      <c r="V128" s="10" t="e">
        <f>_xlfn.XLOOKUP(U128,Таклифлар37[Таклифлар],Таклифлар37[TaklifID])</f>
        <v>#N/A</v>
      </c>
      <c r="W128" s="24"/>
      <c r="X128" s="23"/>
      <c r="Y128" s="7"/>
      <c r="Z128" s="26"/>
      <c r="AB128" s="23"/>
      <c r="AD128" s="2"/>
      <c r="AF128" s="2"/>
      <c r="AG128" s="23"/>
      <c r="AI128" s="26"/>
      <c r="AJ128" s="23"/>
      <c r="AK128" s="2"/>
      <c r="AM128" s="23"/>
      <c r="AO128" s="32"/>
      <c r="AP128" s="26"/>
      <c r="AR128" s="26"/>
      <c r="AS128" s="24"/>
      <c r="AT128" s="24"/>
      <c r="AU128" s="31"/>
      <c r="AV128" s="24"/>
      <c r="AW128"/>
      <c r="AX128"/>
      <c r="AY128"/>
      <c r="AZ128"/>
      <c r="BA128"/>
      <c r="BB128"/>
      <c r="BC128"/>
      <c r="BD128"/>
      <c r="BE128"/>
      <c r="BF128"/>
      <c r="BG128"/>
    </row>
    <row r="129" spans="1:59" x14ac:dyDescent="0.25">
      <c r="A129" s="2"/>
      <c r="B129" s="22"/>
      <c r="C129" s="23"/>
      <c r="D129" s="2"/>
      <c r="E129" s="23"/>
      <c r="F129" s="24"/>
      <c r="G129" s="2"/>
      <c r="H129" s="10" t="e">
        <f>_xlfn.XLOOKUP(F129,Viloyatlar24[RegionName],Viloyatlar24[RegionId])</f>
        <v>#N/A</v>
      </c>
      <c r="I129" s="10" t="e">
        <f>_xlfn.XLOOKUP('Кўчмас мулк объектлари'!G129,Tumanlar23[DistrictName],Tumanlar23[DistrictId])</f>
        <v>#N/A</v>
      </c>
      <c r="J129" s="2"/>
      <c r="K129" s="24"/>
      <c r="L129" s="10" t="e">
        <f>_xlfn.XLOOKUP(K129,Ташкилотлар39[Ташкилотлар],Ташкилотлар39[TashklilotID])</f>
        <v>#N/A</v>
      </c>
      <c r="M129" s="26"/>
      <c r="N129" s="26"/>
      <c r="O129" s="24"/>
      <c r="P129" s="2"/>
      <c r="Q129" s="26"/>
      <c r="R129" s="26"/>
      <c r="S129" s="26"/>
      <c r="T129" s="26"/>
      <c r="U129" s="24"/>
      <c r="V129" s="10" t="e">
        <f>_xlfn.XLOOKUP(U129,Таклифлар37[Таклифлар],Таклифлар37[TaklifID])</f>
        <v>#N/A</v>
      </c>
      <c r="W129" s="24"/>
      <c r="X129" s="23"/>
      <c r="Y129" s="7"/>
      <c r="Z129" s="26"/>
      <c r="AB129" s="23"/>
      <c r="AD129" s="2"/>
      <c r="AF129" s="2"/>
      <c r="AG129" s="23"/>
      <c r="AI129" s="26"/>
      <c r="AJ129" s="23"/>
      <c r="AK129" s="2"/>
      <c r="AM129" s="23"/>
      <c r="AO129" s="32"/>
      <c r="AP129" s="26"/>
      <c r="AR129" s="26"/>
      <c r="AS129" s="24"/>
      <c r="AT129" s="24"/>
      <c r="AU129" s="31"/>
      <c r="AV129" s="24"/>
      <c r="AW129"/>
      <c r="AX129"/>
      <c r="AY129"/>
      <c r="AZ129"/>
      <c r="BA129"/>
      <c r="BB129"/>
      <c r="BC129"/>
      <c r="BD129"/>
      <c r="BE129"/>
      <c r="BF129"/>
      <c r="BG129"/>
    </row>
    <row r="130" spans="1:59" x14ac:dyDescent="0.25">
      <c r="A130" s="2"/>
      <c r="B130" s="22"/>
      <c r="C130" s="23"/>
      <c r="D130" s="2"/>
      <c r="E130" s="23"/>
      <c r="F130" s="24"/>
      <c r="G130" s="2"/>
      <c r="H130" s="10" t="e">
        <f>_xlfn.XLOOKUP(F130,Viloyatlar24[RegionName],Viloyatlar24[RegionId])</f>
        <v>#N/A</v>
      </c>
      <c r="I130" s="10" t="e">
        <f>_xlfn.XLOOKUP('Кўчмас мулк объектлари'!G130,Tumanlar23[DistrictName],Tumanlar23[DistrictId])</f>
        <v>#N/A</v>
      </c>
      <c r="J130" s="2"/>
      <c r="K130" s="24"/>
      <c r="L130" s="10" t="e">
        <f>_xlfn.XLOOKUP(K130,Ташкилотлар39[Ташкилотлар],Ташкилотлар39[TashklilotID])</f>
        <v>#N/A</v>
      </c>
      <c r="M130" s="26"/>
      <c r="N130" s="26"/>
      <c r="O130" s="24"/>
      <c r="P130" s="2"/>
      <c r="Q130" s="26"/>
      <c r="R130" s="26"/>
      <c r="S130" s="26"/>
      <c r="T130" s="26"/>
      <c r="U130" s="24"/>
      <c r="V130" s="10" t="e">
        <f>_xlfn.XLOOKUP(U130,Таклифлар37[Таклифлар],Таклифлар37[TaklifID])</f>
        <v>#N/A</v>
      </c>
      <c r="W130" s="24"/>
      <c r="X130" s="23"/>
      <c r="Y130" s="7"/>
      <c r="Z130" s="26"/>
      <c r="AB130" s="23"/>
      <c r="AD130" s="2"/>
      <c r="AF130" s="2"/>
      <c r="AG130" s="23"/>
      <c r="AI130" s="26"/>
      <c r="AJ130" s="23"/>
      <c r="AK130" s="2"/>
      <c r="AM130" s="23"/>
      <c r="AO130" s="32"/>
      <c r="AP130" s="26"/>
      <c r="AR130" s="26"/>
      <c r="AS130" s="24"/>
      <c r="AT130" s="24"/>
      <c r="AU130" s="31"/>
      <c r="AV130" s="24"/>
      <c r="AW130"/>
      <c r="AX130"/>
      <c r="AY130"/>
      <c r="AZ130"/>
      <c r="BA130"/>
      <c r="BB130"/>
      <c r="BC130"/>
      <c r="BD130"/>
      <c r="BE130"/>
      <c r="BF130"/>
      <c r="BG130"/>
    </row>
    <row r="131" spans="1:59" x14ac:dyDescent="0.25">
      <c r="A131" s="2"/>
      <c r="B131" s="22"/>
      <c r="C131" s="23"/>
      <c r="D131" s="2"/>
      <c r="E131" s="23"/>
      <c r="F131" s="24"/>
      <c r="G131" s="2"/>
      <c r="H131" s="10" t="e">
        <f>_xlfn.XLOOKUP(F131,Viloyatlar24[RegionName],Viloyatlar24[RegionId])</f>
        <v>#N/A</v>
      </c>
      <c r="I131" s="10" t="e">
        <f>_xlfn.XLOOKUP('Кўчмас мулк объектлари'!G131,Tumanlar23[DistrictName],Tumanlar23[DistrictId])</f>
        <v>#N/A</v>
      </c>
      <c r="J131" s="2"/>
      <c r="K131" s="24"/>
      <c r="L131" s="10" t="e">
        <f>_xlfn.XLOOKUP(K131,Ташкилотлар39[Ташкилотлар],Ташкилотлар39[TashklilotID])</f>
        <v>#N/A</v>
      </c>
      <c r="M131" s="26"/>
      <c r="N131" s="26"/>
      <c r="O131" s="24"/>
      <c r="P131" s="2"/>
      <c r="Q131" s="26"/>
      <c r="R131" s="26"/>
      <c r="S131" s="26"/>
      <c r="T131" s="26"/>
      <c r="U131" s="24"/>
      <c r="V131" s="10" t="e">
        <f>_xlfn.XLOOKUP(U131,Таклифлар37[Таклифлар],Таклифлар37[TaklifID])</f>
        <v>#N/A</v>
      </c>
      <c r="W131" s="24"/>
      <c r="X131" s="23"/>
      <c r="Y131" s="7"/>
      <c r="Z131" s="26"/>
      <c r="AB131" s="23"/>
      <c r="AD131" s="2"/>
      <c r="AF131" s="2"/>
      <c r="AG131" s="23"/>
      <c r="AI131" s="26"/>
      <c r="AJ131" s="23"/>
      <c r="AK131" s="2"/>
      <c r="AM131" s="23"/>
      <c r="AO131" s="32"/>
      <c r="AP131" s="26"/>
      <c r="AR131" s="26"/>
      <c r="AS131" s="24"/>
      <c r="AT131" s="24"/>
      <c r="AU131" s="31"/>
      <c r="AV131" s="24"/>
      <c r="AW131"/>
      <c r="AX131"/>
      <c r="AY131"/>
      <c r="AZ131"/>
      <c r="BA131"/>
      <c r="BB131"/>
      <c r="BC131"/>
      <c r="BD131"/>
      <c r="BE131"/>
      <c r="BF131"/>
      <c r="BG131"/>
    </row>
    <row r="132" spans="1:59" x14ac:dyDescent="0.25">
      <c r="A132" s="2"/>
      <c r="B132" s="22"/>
      <c r="C132" s="23"/>
      <c r="D132" s="2"/>
      <c r="E132" s="23"/>
      <c r="F132" s="24"/>
      <c r="G132" s="2"/>
      <c r="H132" s="10" t="e">
        <f>_xlfn.XLOOKUP(F132,Viloyatlar24[RegionName],Viloyatlar24[RegionId])</f>
        <v>#N/A</v>
      </c>
      <c r="I132" s="10" t="e">
        <f>_xlfn.XLOOKUP('Кўчмас мулк объектлари'!G132,Tumanlar23[DistrictName],Tumanlar23[DistrictId])</f>
        <v>#N/A</v>
      </c>
      <c r="J132" s="2"/>
      <c r="K132" s="24"/>
      <c r="L132" s="10" t="e">
        <f>_xlfn.XLOOKUP(K132,Ташкилотлар39[Ташкилотлар],Ташкилотлар39[TashklilotID])</f>
        <v>#N/A</v>
      </c>
      <c r="M132" s="26"/>
      <c r="N132" s="26"/>
      <c r="O132" s="24"/>
      <c r="P132" s="2"/>
      <c r="Q132" s="26"/>
      <c r="R132" s="26"/>
      <c r="S132" s="26"/>
      <c r="T132" s="26"/>
      <c r="U132" s="24"/>
      <c r="V132" s="10" t="e">
        <f>_xlfn.XLOOKUP(U132,Таклифлар37[Таклифлар],Таклифлар37[TaklifID])</f>
        <v>#N/A</v>
      </c>
      <c r="W132" s="24"/>
      <c r="X132" s="23"/>
      <c r="Y132" s="7"/>
      <c r="Z132" s="26"/>
      <c r="AB132" s="23"/>
      <c r="AD132" s="2"/>
      <c r="AF132" s="2"/>
      <c r="AG132" s="23"/>
      <c r="AI132" s="26"/>
      <c r="AJ132" s="23"/>
      <c r="AK132" s="2"/>
      <c r="AM132" s="23"/>
      <c r="AO132" s="32"/>
      <c r="AP132" s="26"/>
      <c r="AR132" s="26"/>
      <c r="AS132" s="24"/>
      <c r="AT132" s="24"/>
      <c r="AU132" s="31"/>
      <c r="AV132" s="24"/>
      <c r="AW132"/>
      <c r="AX132"/>
      <c r="AY132"/>
      <c r="AZ132"/>
      <c r="BA132"/>
      <c r="BB132"/>
      <c r="BC132"/>
      <c r="BD132"/>
      <c r="BE132"/>
      <c r="BF132"/>
      <c r="BG132"/>
    </row>
    <row r="133" spans="1:59" x14ac:dyDescent="0.25">
      <c r="A133" s="2"/>
      <c r="B133" s="22"/>
      <c r="C133" s="23"/>
      <c r="D133" s="2"/>
      <c r="E133" s="23"/>
      <c r="F133" s="24"/>
      <c r="G133" s="2"/>
      <c r="H133" s="10" t="e">
        <f>_xlfn.XLOOKUP(F133,Viloyatlar24[RegionName],Viloyatlar24[RegionId])</f>
        <v>#N/A</v>
      </c>
      <c r="I133" s="10" t="e">
        <f>_xlfn.XLOOKUP('Кўчмас мулк объектлари'!G133,Tumanlar23[DistrictName],Tumanlar23[DistrictId])</f>
        <v>#N/A</v>
      </c>
      <c r="J133" s="2"/>
      <c r="K133" s="24"/>
      <c r="L133" s="10" t="e">
        <f>_xlfn.XLOOKUP(K133,Ташкилотлар39[Ташкилотлар],Ташкилотлар39[TashklilotID])</f>
        <v>#N/A</v>
      </c>
      <c r="M133" s="26"/>
      <c r="N133" s="26"/>
      <c r="O133" s="24"/>
      <c r="P133" s="2"/>
      <c r="Q133" s="26"/>
      <c r="R133" s="26"/>
      <c r="S133" s="26"/>
      <c r="T133" s="26"/>
      <c r="U133" s="24"/>
      <c r="V133" s="10" t="e">
        <f>_xlfn.XLOOKUP(U133,Таклифлар37[Таклифлар],Таклифлар37[TaklifID])</f>
        <v>#N/A</v>
      </c>
      <c r="W133" s="24"/>
      <c r="X133" s="23"/>
      <c r="Y133" s="7"/>
      <c r="Z133" s="26"/>
      <c r="AB133" s="23"/>
      <c r="AD133" s="2"/>
      <c r="AF133" s="2"/>
      <c r="AG133" s="23"/>
      <c r="AI133" s="26"/>
      <c r="AJ133" s="23"/>
      <c r="AK133" s="2"/>
      <c r="AM133" s="23"/>
      <c r="AO133" s="32"/>
      <c r="AP133" s="26"/>
      <c r="AR133" s="26"/>
      <c r="AS133" s="24"/>
      <c r="AT133" s="24"/>
      <c r="AU133" s="31"/>
      <c r="AV133" s="24"/>
      <c r="AW133"/>
      <c r="AX133"/>
      <c r="AY133"/>
      <c r="AZ133"/>
      <c r="BA133"/>
      <c r="BB133"/>
      <c r="BC133"/>
      <c r="BD133"/>
      <c r="BE133"/>
      <c r="BF133"/>
      <c r="BG133"/>
    </row>
    <row r="134" spans="1:59" x14ac:dyDescent="0.25">
      <c r="A134" s="2"/>
      <c r="B134" s="22"/>
      <c r="C134" s="23"/>
      <c r="D134" s="2"/>
      <c r="E134" s="23"/>
      <c r="F134" s="24"/>
      <c r="G134" s="2"/>
      <c r="H134" s="10" t="e">
        <f>_xlfn.XLOOKUP(F134,Viloyatlar24[RegionName],Viloyatlar24[RegionId])</f>
        <v>#N/A</v>
      </c>
      <c r="I134" s="10" t="e">
        <f>_xlfn.XLOOKUP('Кўчмас мулк объектлари'!G134,Tumanlar23[DistrictName],Tumanlar23[DistrictId])</f>
        <v>#N/A</v>
      </c>
      <c r="J134" s="2"/>
      <c r="K134" s="24"/>
      <c r="L134" s="10" t="e">
        <f>_xlfn.XLOOKUP(K134,Ташкилотлар39[Ташкилотлар],Ташкилотлар39[TashklilotID])</f>
        <v>#N/A</v>
      </c>
      <c r="M134" s="26"/>
      <c r="N134" s="26"/>
      <c r="O134" s="24"/>
      <c r="P134" s="2"/>
      <c r="Q134" s="26"/>
      <c r="R134" s="26"/>
      <c r="S134" s="26"/>
      <c r="T134" s="26"/>
      <c r="U134" s="24"/>
      <c r="V134" s="10" t="e">
        <f>_xlfn.XLOOKUP(U134,Таклифлар37[Таклифлар],Таклифлар37[TaklifID])</f>
        <v>#N/A</v>
      </c>
      <c r="W134" s="24"/>
      <c r="X134" s="23"/>
      <c r="Y134" s="7"/>
      <c r="Z134" s="26"/>
      <c r="AB134" s="23"/>
      <c r="AD134" s="2"/>
      <c r="AF134" s="2"/>
      <c r="AG134" s="23"/>
      <c r="AI134" s="26"/>
      <c r="AJ134" s="23"/>
      <c r="AK134" s="2"/>
      <c r="AM134" s="23"/>
      <c r="AO134" s="32"/>
      <c r="AP134" s="26"/>
      <c r="AR134" s="26"/>
      <c r="AS134" s="24"/>
      <c r="AT134" s="24"/>
      <c r="AU134" s="31"/>
      <c r="AV134" s="24"/>
      <c r="AW134"/>
      <c r="AX134"/>
      <c r="AY134"/>
      <c r="AZ134"/>
      <c r="BA134"/>
      <c r="BB134"/>
      <c r="BC134"/>
      <c r="BD134"/>
      <c r="BE134"/>
      <c r="BF134"/>
      <c r="BG134"/>
    </row>
    <row r="135" spans="1:59" x14ac:dyDescent="0.25">
      <c r="A135" s="2"/>
      <c r="B135" s="22"/>
      <c r="C135" s="23"/>
      <c r="D135" s="2"/>
      <c r="E135" s="23"/>
      <c r="F135" s="24"/>
      <c r="G135" s="2"/>
      <c r="H135" s="10" t="e">
        <f>_xlfn.XLOOKUP(F135,Viloyatlar24[RegionName],Viloyatlar24[RegionId])</f>
        <v>#N/A</v>
      </c>
      <c r="I135" s="10" t="e">
        <f>_xlfn.XLOOKUP('Кўчмас мулк объектлари'!G135,Tumanlar23[DistrictName],Tumanlar23[DistrictId])</f>
        <v>#N/A</v>
      </c>
      <c r="J135" s="2"/>
      <c r="K135" s="24"/>
      <c r="L135" s="10" t="e">
        <f>_xlfn.XLOOKUP(K135,Ташкилотлар39[Ташкилотлар],Ташкилотлар39[TashklilotID])</f>
        <v>#N/A</v>
      </c>
      <c r="M135" s="26"/>
      <c r="N135" s="26"/>
      <c r="O135" s="24"/>
      <c r="P135" s="2"/>
      <c r="Q135" s="26"/>
      <c r="R135" s="26"/>
      <c r="S135" s="26"/>
      <c r="T135" s="26"/>
      <c r="U135" s="24"/>
      <c r="V135" s="10" t="e">
        <f>_xlfn.XLOOKUP(U135,Таклифлар37[Таклифлар],Таклифлар37[TaklifID])</f>
        <v>#N/A</v>
      </c>
      <c r="W135" s="24"/>
      <c r="X135" s="23"/>
      <c r="Y135" s="7"/>
      <c r="Z135" s="26"/>
      <c r="AB135" s="23"/>
      <c r="AD135" s="2"/>
      <c r="AF135" s="2"/>
      <c r="AG135" s="23"/>
      <c r="AI135" s="26"/>
      <c r="AJ135" s="23"/>
      <c r="AK135" s="2"/>
      <c r="AM135" s="23"/>
      <c r="AO135" s="32"/>
      <c r="AP135" s="26"/>
      <c r="AR135" s="26"/>
      <c r="AS135" s="24"/>
      <c r="AT135" s="24"/>
      <c r="AU135" s="31"/>
      <c r="AV135" s="24"/>
      <c r="AW135"/>
      <c r="AX135"/>
      <c r="AY135"/>
      <c r="AZ135"/>
      <c r="BA135"/>
      <c r="BB135"/>
      <c r="BC135"/>
      <c r="BD135"/>
      <c r="BE135"/>
      <c r="BF135"/>
      <c r="BG135"/>
    </row>
    <row r="136" spans="1:59" x14ac:dyDescent="0.25">
      <c r="A136" s="2"/>
      <c r="B136" s="22"/>
      <c r="C136" s="23"/>
      <c r="D136" s="2"/>
      <c r="E136" s="23"/>
      <c r="F136" s="24"/>
      <c r="G136" s="2"/>
      <c r="H136" s="10" t="e">
        <f>_xlfn.XLOOKUP(F136,Viloyatlar24[RegionName],Viloyatlar24[RegionId])</f>
        <v>#N/A</v>
      </c>
      <c r="I136" s="10" t="e">
        <f>_xlfn.XLOOKUP('Кўчмас мулк объектлари'!G136,Tumanlar23[DistrictName],Tumanlar23[DistrictId])</f>
        <v>#N/A</v>
      </c>
      <c r="J136" s="2"/>
      <c r="K136" s="24"/>
      <c r="L136" s="10" t="e">
        <f>_xlfn.XLOOKUP(K136,Ташкилотлар39[Ташкилотлар],Ташкилотлар39[TashklilotID])</f>
        <v>#N/A</v>
      </c>
      <c r="M136" s="26"/>
      <c r="N136" s="26"/>
      <c r="O136" s="24"/>
      <c r="P136" s="2"/>
      <c r="Q136" s="26"/>
      <c r="R136" s="26"/>
      <c r="S136" s="26"/>
      <c r="T136" s="26"/>
      <c r="U136" s="24"/>
      <c r="V136" s="10" t="e">
        <f>_xlfn.XLOOKUP(U136,Таклифлар37[Таклифлар],Таклифлар37[TaklifID])</f>
        <v>#N/A</v>
      </c>
      <c r="W136" s="24"/>
      <c r="X136" s="23"/>
      <c r="Y136" s="7"/>
      <c r="Z136" s="26"/>
      <c r="AB136" s="23"/>
      <c r="AD136" s="2"/>
      <c r="AF136" s="2"/>
      <c r="AG136" s="23"/>
      <c r="AI136" s="26"/>
      <c r="AJ136" s="23"/>
      <c r="AK136" s="2"/>
      <c r="AM136" s="23"/>
      <c r="AO136" s="32"/>
      <c r="AP136" s="26"/>
      <c r="AR136" s="26"/>
      <c r="AS136" s="24"/>
      <c r="AT136" s="24"/>
      <c r="AU136" s="31"/>
      <c r="AV136" s="24"/>
      <c r="AW136"/>
      <c r="AX136"/>
      <c r="AY136"/>
      <c r="AZ136"/>
      <c r="BA136"/>
      <c r="BB136"/>
      <c r="BC136"/>
      <c r="BD136"/>
      <c r="BE136"/>
      <c r="BF136"/>
      <c r="BG136"/>
    </row>
    <row r="137" spans="1:59" x14ac:dyDescent="0.25">
      <c r="A137" s="2"/>
      <c r="B137" s="22"/>
      <c r="C137" s="23"/>
      <c r="D137" s="2"/>
      <c r="E137" s="23"/>
      <c r="F137" s="24"/>
      <c r="G137" s="2"/>
      <c r="H137" s="10" t="e">
        <f>_xlfn.XLOOKUP(F137,Viloyatlar24[RegionName],Viloyatlar24[RegionId])</f>
        <v>#N/A</v>
      </c>
      <c r="I137" s="10" t="e">
        <f>_xlfn.XLOOKUP('Кўчмас мулк объектлари'!G137,Tumanlar23[DistrictName],Tumanlar23[DistrictId])</f>
        <v>#N/A</v>
      </c>
      <c r="J137" s="2"/>
      <c r="K137" s="24"/>
      <c r="L137" s="10" t="e">
        <f>_xlfn.XLOOKUP(K137,Ташкилотлар39[Ташкилотлар],Ташкилотлар39[TashklilotID])</f>
        <v>#N/A</v>
      </c>
      <c r="M137" s="26"/>
      <c r="N137" s="26"/>
      <c r="O137" s="24"/>
      <c r="P137" s="2"/>
      <c r="Q137" s="26"/>
      <c r="R137" s="26"/>
      <c r="S137" s="26"/>
      <c r="T137" s="26"/>
      <c r="U137" s="24"/>
      <c r="V137" s="10" t="e">
        <f>_xlfn.XLOOKUP(U137,Таклифлар37[Таклифлар],Таклифлар37[TaklifID])</f>
        <v>#N/A</v>
      </c>
      <c r="W137" s="24"/>
      <c r="X137" s="23"/>
      <c r="Y137" s="7"/>
      <c r="Z137" s="26"/>
      <c r="AB137" s="23"/>
      <c r="AD137" s="2"/>
      <c r="AF137" s="2"/>
      <c r="AG137" s="23"/>
      <c r="AI137" s="26"/>
      <c r="AJ137" s="23"/>
      <c r="AK137" s="2"/>
      <c r="AM137" s="23"/>
      <c r="AO137" s="32"/>
      <c r="AP137" s="26"/>
      <c r="AR137" s="26"/>
      <c r="AS137" s="24"/>
      <c r="AT137" s="24"/>
      <c r="AU137" s="31"/>
      <c r="AV137" s="24"/>
      <c r="AW137"/>
      <c r="AX137"/>
      <c r="AY137"/>
      <c r="AZ137"/>
      <c r="BA137"/>
      <c r="BB137"/>
      <c r="BC137"/>
      <c r="BD137"/>
      <c r="BE137"/>
      <c r="BF137"/>
      <c r="BG137"/>
    </row>
    <row r="138" spans="1:59" x14ac:dyDescent="0.25">
      <c r="A138" s="2"/>
      <c r="B138" s="22"/>
      <c r="C138" s="23"/>
      <c r="D138" s="2"/>
      <c r="E138" s="23"/>
      <c r="F138" s="24"/>
      <c r="G138" s="2"/>
      <c r="H138" s="10" t="e">
        <f>_xlfn.XLOOKUP(F138,Viloyatlar24[RegionName],Viloyatlar24[RegionId])</f>
        <v>#N/A</v>
      </c>
      <c r="I138" s="10" t="e">
        <f>_xlfn.XLOOKUP('Кўчмас мулк объектлари'!G138,Tumanlar23[DistrictName],Tumanlar23[DistrictId])</f>
        <v>#N/A</v>
      </c>
      <c r="J138" s="2"/>
      <c r="K138" s="24"/>
      <c r="L138" s="10" t="e">
        <f>_xlfn.XLOOKUP(K138,Ташкилотлар39[Ташкилотлар],Ташкилотлар39[TashklilotID])</f>
        <v>#N/A</v>
      </c>
      <c r="M138" s="26"/>
      <c r="N138" s="26"/>
      <c r="O138" s="24"/>
      <c r="P138" s="2"/>
      <c r="Q138" s="26"/>
      <c r="R138" s="26"/>
      <c r="S138" s="26"/>
      <c r="T138" s="26"/>
      <c r="U138" s="24"/>
      <c r="V138" s="10" t="e">
        <f>_xlfn.XLOOKUP(U138,Таклифлар37[Таклифлар],Таклифлар37[TaklifID])</f>
        <v>#N/A</v>
      </c>
      <c r="W138" s="24"/>
      <c r="X138" s="23"/>
      <c r="Y138" s="7"/>
      <c r="Z138" s="26"/>
      <c r="AB138" s="23"/>
      <c r="AD138" s="2"/>
      <c r="AF138" s="2"/>
      <c r="AG138" s="23"/>
      <c r="AI138" s="26"/>
      <c r="AJ138" s="23"/>
      <c r="AK138" s="2"/>
      <c r="AM138" s="23"/>
      <c r="AO138" s="32"/>
      <c r="AP138" s="26"/>
      <c r="AR138" s="26"/>
      <c r="AS138" s="24"/>
      <c r="AT138" s="24"/>
      <c r="AU138" s="31"/>
      <c r="AV138" s="24"/>
      <c r="AW138"/>
      <c r="AX138"/>
      <c r="AY138"/>
      <c r="AZ138"/>
      <c r="BA138"/>
      <c r="BB138"/>
      <c r="BC138"/>
      <c r="BD138"/>
      <c r="BE138"/>
      <c r="BF138"/>
      <c r="BG138"/>
    </row>
    <row r="139" spans="1:59" x14ac:dyDescent="0.25">
      <c r="A139" s="2"/>
      <c r="B139" s="22"/>
      <c r="C139" s="23"/>
      <c r="D139" s="2"/>
      <c r="E139" s="23"/>
      <c r="F139" s="24"/>
      <c r="G139" s="2"/>
      <c r="H139" s="10" t="e">
        <f>_xlfn.XLOOKUP(F139,Viloyatlar24[RegionName],Viloyatlar24[RegionId])</f>
        <v>#N/A</v>
      </c>
      <c r="I139" s="10" t="e">
        <f>_xlfn.XLOOKUP('Кўчмас мулк объектлари'!G139,Tumanlar23[DistrictName],Tumanlar23[DistrictId])</f>
        <v>#N/A</v>
      </c>
      <c r="J139" s="2"/>
      <c r="K139" s="24"/>
      <c r="L139" s="10" t="e">
        <f>_xlfn.XLOOKUP(K139,Ташкилотлар39[Ташкилотлар],Ташкилотлар39[TashklilotID])</f>
        <v>#N/A</v>
      </c>
      <c r="M139" s="26"/>
      <c r="N139" s="26"/>
      <c r="O139" s="24"/>
      <c r="P139" s="2"/>
      <c r="Q139" s="26"/>
      <c r="R139" s="26"/>
      <c r="S139" s="26"/>
      <c r="T139" s="26"/>
      <c r="U139" s="24"/>
      <c r="V139" s="10" t="e">
        <f>_xlfn.XLOOKUP(U139,Таклифлар37[Таклифлар],Таклифлар37[TaklifID])</f>
        <v>#N/A</v>
      </c>
      <c r="W139" s="24"/>
      <c r="X139" s="23"/>
      <c r="Y139" s="7"/>
      <c r="Z139" s="26"/>
      <c r="AB139" s="23"/>
      <c r="AD139" s="2"/>
      <c r="AF139" s="2"/>
      <c r="AG139" s="23"/>
      <c r="AI139" s="26"/>
      <c r="AJ139" s="23"/>
      <c r="AK139" s="2"/>
      <c r="AM139" s="23"/>
      <c r="AO139" s="32"/>
      <c r="AP139" s="26"/>
      <c r="AR139" s="26"/>
      <c r="AS139" s="24"/>
      <c r="AT139" s="24"/>
      <c r="AU139" s="31"/>
      <c r="AV139" s="24"/>
      <c r="AW139"/>
      <c r="AX139"/>
      <c r="AY139"/>
      <c r="AZ139"/>
      <c r="BA139"/>
      <c r="BB139"/>
      <c r="BC139"/>
      <c r="BD139"/>
      <c r="BE139"/>
      <c r="BF139"/>
      <c r="BG139"/>
    </row>
    <row r="140" spans="1:59" x14ac:dyDescent="0.25">
      <c r="A140" s="2"/>
      <c r="B140" s="22"/>
      <c r="C140" s="23"/>
      <c r="D140" s="2"/>
      <c r="E140" s="23"/>
      <c r="F140" s="24"/>
      <c r="G140" s="2"/>
      <c r="H140" s="10" t="e">
        <f>_xlfn.XLOOKUP(F140,Viloyatlar24[RegionName],Viloyatlar24[RegionId])</f>
        <v>#N/A</v>
      </c>
      <c r="I140" s="10" t="e">
        <f>_xlfn.XLOOKUP('Кўчмас мулк объектлари'!G140,Tumanlar23[DistrictName],Tumanlar23[DistrictId])</f>
        <v>#N/A</v>
      </c>
      <c r="J140" s="2"/>
      <c r="K140" s="24"/>
      <c r="L140" s="10" t="e">
        <f>_xlfn.XLOOKUP(K140,Ташкилотлар39[Ташкилотлар],Ташкилотлар39[TashklilotID])</f>
        <v>#N/A</v>
      </c>
      <c r="M140" s="26"/>
      <c r="N140" s="26"/>
      <c r="O140" s="24"/>
      <c r="P140" s="2"/>
      <c r="Q140" s="26"/>
      <c r="R140" s="26"/>
      <c r="S140" s="26"/>
      <c r="T140" s="26"/>
      <c r="U140" s="24"/>
      <c r="V140" s="10" t="e">
        <f>_xlfn.XLOOKUP(U140,Таклифлар37[Таклифлар],Таклифлар37[TaklifID])</f>
        <v>#N/A</v>
      </c>
      <c r="W140" s="24"/>
      <c r="X140" s="23"/>
      <c r="Y140" s="7"/>
      <c r="Z140" s="26"/>
      <c r="AB140" s="23"/>
      <c r="AD140" s="2"/>
      <c r="AF140" s="2"/>
      <c r="AG140" s="23"/>
      <c r="AI140" s="26"/>
      <c r="AJ140" s="23"/>
      <c r="AK140" s="2"/>
      <c r="AM140" s="23"/>
      <c r="AO140" s="32"/>
      <c r="AP140" s="26"/>
      <c r="AR140" s="26"/>
      <c r="AS140" s="24"/>
      <c r="AT140" s="24"/>
      <c r="AU140" s="31"/>
      <c r="AV140" s="24"/>
      <c r="AW140"/>
      <c r="AX140"/>
      <c r="AY140"/>
      <c r="AZ140"/>
      <c r="BA140"/>
      <c r="BB140"/>
      <c r="BC140"/>
      <c r="BD140"/>
      <c r="BE140"/>
      <c r="BF140"/>
      <c r="BG140"/>
    </row>
    <row r="141" spans="1:59" x14ac:dyDescent="0.25">
      <c r="A141" s="2"/>
      <c r="B141" s="22"/>
      <c r="C141" s="23"/>
      <c r="D141" s="2"/>
      <c r="E141" s="23"/>
      <c r="F141" s="24"/>
      <c r="G141" s="2"/>
      <c r="H141" s="10" t="e">
        <f>_xlfn.XLOOKUP(F141,Viloyatlar24[RegionName],Viloyatlar24[RegionId])</f>
        <v>#N/A</v>
      </c>
      <c r="I141" s="10" t="e">
        <f>_xlfn.XLOOKUP('Кўчмас мулк объектлари'!G141,Tumanlar23[DistrictName],Tumanlar23[DistrictId])</f>
        <v>#N/A</v>
      </c>
      <c r="J141" s="2"/>
      <c r="K141" s="24"/>
      <c r="L141" s="10" t="e">
        <f>_xlfn.XLOOKUP(K141,Ташкилотлар39[Ташкилотлар],Ташкилотлар39[TashklilotID])</f>
        <v>#N/A</v>
      </c>
      <c r="M141" s="26"/>
      <c r="N141" s="26"/>
      <c r="O141" s="24"/>
      <c r="P141" s="2"/>
      <c r="Q141" s="26"/>
      <c r="R141" s="26"/>
      <c r="S141" s="26"/>
      <c r="T141" s="26"/>
      <c r="U141" s="24"/>
      <c r="V141" s="10" t="e">
        <f>_xlfn.XLOOKUP(U141,Таклифлар37[Таклифлар],Таклифлар37[TaklifID])</f>
        <v>#N/A</v>
      </c>
      <c r="W141" s="24"/>
      <c r="X141" s="23"/>
      <c r="Y141" s="7"/>
      <c r="Z141" s="26"/>
      <c r="AB141" s="23"/>
      <c r="AD141" s="2"/>
      <c r="AF141" s="2"/>
      <c r="AG141" s="23"/>
      <c r="AI141" s="26"/>
      <c r="AJ141" s="23"/>
      <c r="AK141" s="2"/>
      <c r="AM141" s="23"/>
      <c r="AO141" s="32"/>
      <c r="AP141" s="26"/>
      <c r="AR141" s="26"/>
      <c r="AS141" s="24"/>
      <c r="AT141" s="24"/>
      <c r="AU141" s="31"/>
      <c r="AV141" s="24"/>
      <c r="AW141"/>
      <c r="AX141"/>
      <c r="AY141"/>
      <c r="AZ141"/>
      <c r="BA141"/>
      <c r="BB141"/>
      <c r="BC141"/>
      <c r="BD141"/>
      <c r="BE141"/>
      <c r="BF141"/>
      <c r="BG141"/>
    </row>
    <row r="142" spans="1:59" x14ac:dyDescent="0.25">
      <c r="A142" s="2"/>
      <c r="B142" s="22"/>
      <c r="C142" s="23"/>
      <c r="D142" s="2"/>
      <c r="E142" s="23"/>
      <c r="F142" s="24"/>
      <c r="G142" s="2"/>
      <c r="H142" s="10" t="e">
        <f>_xlfn.XLOOKUP(F142,Viloyatlar24[RegionName],Viloyatlar24[RegionId])</f>
        <v>#N/A</v>
      </c>
      <c r="I142" s="10" t="e">
        <f>_xlfn.XLOOKUP('Кўчмас мулк объектлари'!G142,Tumanlar23[DistrictName],Tumanlar23[DistrictId])</f>
        <v>#N/A</v>
      </c>
      <c r="J142" s="2"/>
      <c r="K142" s="24"/>
      <c r="L142" s="10" t="e">
        <f>_xlfn.XLOOKUP(K142,Ташкилотлар39[Ташкилотлар],Ташкилотлар39[TashklilotID])</f>
        <v>#N/A</v>
      </c>
      <c r="M142" s="26"/>
      <c r="N142" s="26"/>
      <c r="O142" s="24"/>
      <c r="P142" s="2"/>
      <c r="Q142" s="26"/>
      <c r="R142" s="26"/>
      <c r="S142" s="26"/>
      <c r="T142" s="26"/>
      <c r="U142" s="24"/>
      <c r="V142" s="10" t="e">
        <f>_xlfn.XLOOKUP(U142,Таклифлар37[Таклифлар],Таклифлар37[TaklifID])</f>
        <v>#N/A</v>
      </c>
      <c r="W142" s="24"/>
      <c r="X142" s="23"/>
      <c r="Y142" s="7"/>
      <c r="Z142" s="26"/>
      <c r="AB142" s="23"/>
      <c r="AD142" s="2"/>
      <c r="AF142" s="2"/>
      <c r="AG142" s="23"/>
      <c r="AI142" s="26"/>
      <c r="AJ142" s="23"/>
      <c r="AK142" s="2"/>
      <c r="AM142" s="23"/>
      <c r="AO142" s="32"/>
      <c r="AP142" s="26"/>
      <c r="AR142" s="26"/>
      <c r="AS142" s="24"/>
      <c r="AT142" s="24"/>
      <c r="AU142" s="31"/>
      <c r="AV142" s="24"/>
      <c r="AW142"/>
      <c r="AX142"/>
      <c r="AY142"/>
      <c r="AZ142"/>
      <c r="BA142"/>
      <c r="BB142"/>
      <c r="BC142"/>
      <c r="BD142"/>
      <c r="BE142"/>
      <c r="BF142"/>
      <c r="BG142"/>
    </row>
    <row r="143" spans="1:59" x14ac:dyDescent="0.25">
      <c r="A143" s="2"/>
      <c r="B143" s="22"/>
      <c r="C143" s="23"/>
      <c r="D143" s="2"/>
      <c r="E143" s="23"/>
      <c r="F143" s="24"/>
      <c r="G143" s="2"/>
      <c r="H143" s="10" t="e">
        <f>_xlfn.XLOOKUP(F143,Viloyatlar24[RegionName],Viloyatlar24[RegionId])</f>
        <v>#N/A</v>
      </c>
      <c r="I143" s="10" t="e">
        <f>_xlfn.XLOOKUP('Кўчмас мулк объектлари'!G143,Tumanlar23[DistrictName],Tumanlar23[DistrictId])</f>
        <v>#N/A</v>
      </c>
      <c r="J143" s="2"/>
      <c r="K143" s="24"/>
      <c r="L143" s="10" t="e">
        <f>_xlfn.XLOOKUP(K143,Ташкилотлар39[Ташкилотлар],Ташкилотлар39[TashklilotID])</f>
        <v>#N/A</v>
      </c>
      <c r="M143" s="26"/>
      <c r="N143" s="26"/>
      <c r="O143" s="24"/>
      <c r="P143" s="2"/>
      <c r="Q143" s="26"/>
      <c r="R143" s="26"/>
      <c r="S143" s="26"/>
      <c r="T143" s="26"/>
      <c r="U143" s="24"/>
      <c r="V143" s="10" t="e">
        <f>_xlfn.XLOOKUP(U143,Таклифлар37[Таклифлар],Таклифлар37[TaklifID])</f>
        <v>#N/A</v>
      </c>
      <c r="W143" s="24"/>
      <c r="X143" s="23"/>
      <c r="Y143" s="7"/>
      <c r="Z143" s="26"/>
      <c r="AB143" s="23"/>
      <c r="AD143" s="2"/>
      <c r="AF143" s="2"/>
      <c r="AG143" s="23"/>
      <c r="AI143" s="26"/>
      <c r="AJ143" s="23"/>
      <c r="AK143" s="2"/>
      <c r="AM143" s="23"/>
      <c r="AO143" s="32"/>
      <c r="AP143" s="26"/>
      <c r="AR143" s="26"/>
      <c r="AS143" s="24"/>
      <c r="AT143" s="24"/>
      <c r="AU143" s="31"/>
      <c r="AV143" s="24"/>
      <c r="AW143"/>
      <c r="AX143"/>
      <c r="AY143"/>
      <c r="AZ143"/>
      <c r="BA143"/>
      <c r="BB143"/>
      <c r="BC143"/>
      <c r="BD143"/>
      <c r="BE143"/>
      <c r="BF143"/>
      <c r="BG143"/>
    </row>
    <row r="144" spans="1:59" x14ac:dyDescent="0.25">
      <c r="A144" s="2"/>
      <c r="B144" s="22"/>
      <c r="C144" s="23"/>
      <c r="D144" s="2"/>
      <c r="E144" s="23"/>
      <c r="F144" s="24"/>
      <c r="G144" s="2"/>
      <c r="H144" s="10" t="e">
        <f>_xlfn.XLOOKUP(F144,Viloyatlar24[RegionName],Viloyatlar24[RegionId])</f>
        <v>#N/A</v>
      </c>
      <c r="I144" s="10" t="e">
        <f>_xlfn.XLOOKUP('Кўчмас мулк объектлари'!G144,Tumanlar23[DistrictName],Tumanlar23[DistrictId])</f>
        <v>#N/A</v>
      </c>
      <c r="J144" s="2"/>
      <c r="K144" s="24"/>
      <c r="L144" s="10" t="e">
        <f>_xlfn.XLOOKUP(K144,Ташкилотлар39[Ташкилотлар],Ташкилотлар39[TashklilotID])</f>
        <v>#N/A</v>
      </c>
      <c r="M144" s="26"/>
      <c r="N144" s="26"/>
      <c r="O144" s="24"/>
      <c r="P144" s="2"/>
      <c r="Q144" s="26"/>
      <c r="R144" s="26"/>
      <c r="S144" s="26"/>
      <c r="T144" s="26"/>
      <c r="U144" s="24"/>
      <c r="V144" s="10" t="e">
        <f>_xlfn.XLOOKUP(U144,Таклифлар37[Таклифлар],Таклифлар37[TaklifID])</f>
        <v>#N/A</v>
      </c>
      <c r="W144" s="24"/>
      <c r="X144" s="23"/>
      <c r="Y144" s="7"/>
      <c r="Z144" s="26"/>
      <c r="AB144" s="23"/>
      <c r="AD144" s="2"/>
      <c r="AF144" s="2"/>
      <c r="AG144" s="23"/>
      <c r="AI144" s="26"/>
      <c r="AJ144" s="23"/>
      <c r="AK144" s="2"/>
      <c r="AM144" s="23"/>
      <c r="AO144" s="32"/>
      <c r="AP144" s="26"/>
      <c r="AR144" s="26"/>
      <c r="AS144" s="24"/>
      <c r="AT144" s="24"/>
      <c r="AU144" s="31"/>
      <c r="AV144" s="24"/>
      <c r="AW144"/>
      <c r="AX144"/>
      <c r="AY144"/>
      <c r="AZ144"/>
      <c r="BA144"/>
      <c r="BB144"/>
      <c r="BC144"/>
      <c r="BD144"/>
      <c r="BE144"/>
      <c r="BF144"/>
      <c r="BG144"/>
    </row>
    <row r="145" spans="1:59" x14ac:dyDescent="0.25">
      <c r="A145" s="2"/>
      <c r="B145" s="22"/>
      <c r="C145" s="23"/>
      <c r="D145" s="2"/>
      <c r="E145" s="23"/>
      <c r="F145" s="24"/>
      <c r="G145" s="2"/>
      <c r="H145" s="10" t="e">
        <f>_xlfn.XLOOKUP(F145,Viloyatlar24[RegionName],Viloyatlar24[RegionId])</f>
        <v>#N/A</v>
      </c>
      <c r="I145" s="10" t="e">
        <f>_xlfn.XLOOKUP('Кўчмас мулк объектлари'!G145,Tumanlar23[DistrictName],Tumanlar23[DistrictId])</f>
        <v>#N/A</v>
      </c>
      <c r="J145" s="2"/>
      <c r="K145" s="24"/>
      <c r="L145" s="10" t="e">
        <f>_xlfn.XLOOKUP(K145,Ташкилотлар39[Ташкилотлар],Ташкилотлар39[TashklilotID])</f>
        <v>#N/A</v>
      </c>
      <c r="M145" s="26"/>
      <c r="N145" s="26"/>
      <c r="O145" s="24"/>
      <c r="P145" s="2"/>
      <c r="Q145" s="26"/>
      <c r="R145" s="26"/>
      <c r="S145" s="26"/>
      <c r="T145" s="26"/>
      <c r="U145" s="24"/>
      <c r="V145" s="10" t="e">
        <f>_xlfn.XLOOKUP(U145,Таклифлар37[Таклифлар],Таклифлар37[TaklifID])</f>
        <v>#N/A</v>
      </c>
      <c r="W145" s="24"/>
      <c r="X145" s="23"/>
      <c r="Y145" s="7"/>
      <c r="Z145" s="26"/>
      <c r="AB145" s="23"/>
      <c r="AD145" s="2"/>
      <c r="AF145" s="2"/>
      <c r="AG145" s="23"/>
      <c r="AI145" s="26"/>
      <c r="AJ145" s="23"/>
      <c r="AK145" s="2"/>
      <c r="AM145" s="23"/>
      <c r="AO145" s="32"/>
      <c r="AP145" s="26"/>
      <c r="AR145" s="26"/>
      <c r="AS145" s="24"/>
      <c r="AT145" s="24"/>
      <c r="AU145" s="31"/>
      <c r="AV145" s="24"/>
      <c r="AW145"/>
      <c r="AX145"/>
      <c r="AY145"/>
      <c r="AZ145"/>
      <c r="BA145"/>
      <c r="BB145"/>
      <c r="BC145"/>
      <c r="BD145"/>
      <c r="BE145"/>
      <c r="BF145"/>
      <c r="BG145"/>
    </row>
    <row r="146" spans="1:59" x14ac:dyDescent="0.25">
      <c r="A146" s="2"/>
      <c r="B146" s="22"/>
      <c r="C146" s="23"/>
      <c r="D146" s="2"/>
      <c r="E146" s="23"/>
      <c r="F146" s="24"/>
      <c r="G146" s="2"/>
      <c r="H146" s="10" t="e">
        <f>_xlfn.XLOOKUP(F146,Viloyatlar24[RegionName],Viloyatlar24[RegionId])</f>
        <v>#N/A</v>
      </c>
      <c r="I146" s="10" t="e">
        <f>_xlfn.XLOOKUP('Кўчмас мулк объектлари'!G146,Tumanlar23[DistrictName],Tumanlar23[DistrictId])</f>
        <v>#N/A</v>
      </c>
      <c r="J146" s="2"/>
      <c r="K146" s="24"/>
      <c r="L146" s="10" t="e">
        <f>_xlfn.XLOOKUP(K146,Ташкилотлар39[Ташкилотлар],Ташкилотлар39[TashklilotID])</f>
        <v>#N/A</v>
      </c>
      <c r="M146" s="26"/>
      <c r="N146" s="26"/>
      <c r="O146" s="24"/>
      <c r="P146" s="2"/>
      <c r="Q146" s="26"/>
      <c r="R146" s="26"/>
      <c r="S146" s="26"/>
      <c r="T146" s="26"/>
      <c r="U146" s="24"/>
      <c r="V146" s="10" t="e">
        <f>_xlfn.XLOOKUP(U146,Таклифлар37[Таклифлар],Таклифлар37[TaklifID])</f>
        <v>#N/A</v>
      </c>
      <c r="W146" s="24"/>
      <c r="X146" s="23"/>
      <c r="Y146" s="7"/>
      <c r="Z146" s="26"/>
      <c r="AB146" s="23"/>
      <c r="AD146" s="2"/>
      <c r="AF146" s="2"/>
      <c r="AG146" s="23"/>
      <c r="AI146" s="26"/>
      <c r="AJ146" s="23"/>
      <c r="AK146" s="2"/>
      <c r="AM146" s="23"/>
      <c r="AO146" s="32"/>
      <c r="AP146" s="26"/>
      <c r="AR146" s="26"/>
      <c r="AS146" s="24"/>
      <c r="AT146" s="24"/>
      <c r="AU146" s="31"/>
      <c r="AV146" s="24"/>
      <c r="AW146"/>
      <c r="AX146"/>
      <c r="AY146"/>
      <c r="AZ146"/>
      <c r="BA146"/>
      <c r="BB146"/>
      <c r="BC146"/>
      <c r="BD146"/>
      <c r="BE146"/>
      <c r="BF146"/>
      <c r="BG146"/>
    </row>
    <row r="147" spans="1:59" x14ac:dyDescent="0.25">
      <c r="A147" s="2"/>
      <c r="B147" s="22"/>
      <c r="C147" s="23"/>
      <c r="D147" s="2"/>
      <c r="E147" s="23"/>
      <c r="F147" s="24"/>
      <c r="G147" s="2"/>
      <c r="H147" s="10" t="e">
        <f>_xlfn.XLOOKUP(F147,Viloyatlar24[RegionName],Viloyatlar24[RegionId])</f>
        <v>#N/A</v>
      </c>
      <c r="I147" s="10" t="e">
        <f>_xlfn.XLOOKUP('Кўчмас мулк объектлари'!G147,Tumanlar23[DistrictName],Tumanlar23[DistrictId])</f>
        <v>#N/A</v>
      </c>
      <c r="J147" s="2"/>
      <c r="K147" s="24"/>
      <c r="L147" s="10" t="e">
        <f>_xlfn.XLOOKUP(K147,Ташкилотлар39[Ташкилотлар],Ташкилотлар39[TashklilotID])</f>
        <v>#N/A</v>
      </c>
      <c r="M147" s="26"/>
      <c r="N147" s="26"/>
      <c r="O147" s="24"/>
      <c r="P147" s="2"/>
      <c r="Q147" s="26"/>
      <c r="R147" s="26"/>
      <c r="S147" s="26"/>
      <c r="T147" s="26"/>
      <c r="U147" s="24"/>
      <c r="V147" s="10" t="e">
        <f>_xlfn.XLOOKUP(U147,Таклифлар37[Таклифлар],Таклифлар37[TaklifID])</f>
        <v>#N/A</v>
      </c>
      <c r="W147" s="24"/>
      <c r="X147" s="23"/>
      <c r="Y147" s="7"/>
      <c r="Z147" s="26"/>
      <c r="AB147" s="23"/>
      <c r="AD147" s="2"/>
      <c r="AF147" s="2"/>
      <c r="AG147" s="23"/>
      <c r="AI147" s="26"/>
      <c r="AJ147" s="23"/>
      <c r="AK147" s="2"/>
      <c r="AM147" s="23"/>
      <c r="AO147" s="32"/>
      <c r="AP147" s="26"/>
      <c r="AR147" s="26"/>
      <c r="AS147" s="24"/>
      <c r="AT147" s="24"/>
      <c r="AU147" s="31"/>
      <c r="AV147" s="24"/>
      <c r="AW147"/>
      <c r="AX147"/>
      <c r="AY147"/>
      <c r="AZ147"/>
      <c r="BA147"/>
      <c r="BB147"/>
      <c r="BC147"/>
      <c r="BD147"/>
      <c r="BE147"/>
      <c r="BF147"/>
      <c r="BG147"/>
    </row>
    <row r="148" spans="1:59" x14ac:dyDescent="0.25">
      <c r="A148" s="2"/>
      <c r="B148" s="22"/>
      <c r="C148" s="23"/>
      <c r="D148" s="2"/>
      <c r="E148" s="23"/>
      <c r="F148" s="24"/>
      <c r="G148" s="2"/>
      <c r="H148" s="10" t="e">
        <f>_xlfn.XLOOKUP(F148,Viloyatlar24[RegionName],Viloyatlar24[RegionId])</f>
        <v>#N/A</v>
      </c>
      <c r="I148" s="10" t="e">
        <f>_xlfn.XLOOKUP('Кўчмас мулк объектлари'!G148,Tumanlar23[DistrictName],Tumanlar23[DistrictId])</f>
        <v>#N/A</v>
      </c>
      <c r="J148" s="2"/>
      <c r="K148" s="24"/>
      <c r="L148" s="10" t="e">
        <f>_xlfn.XLOOKUP(K148,Ташкилотлар39[Ташкилотлар],Ташкилотлар39[TashklilotID])</f>
        <v>#N/A</v>
      </c>
      <c r="M148" s="26"/>
      <c r="N148" s="26"/>
      <c r="O148" s="24"/>
      <c r="P148" s="2"/>
      <c r="Q148" s="26"/>
      <c r="R148" s="26"/>
      <c r="S148" s="26"/>
      <c r="T148" s="26"/>
      <c r="U148" s="24"/>
      <c r="V148" s="10" t="e">
        <f>_xlfn.XLOOKUP(U148,Таклифлар37[Таклифлар],Таклифлар37[TaklifID])</f>
        <v>#N/A</v>
      </c>
      <c r="W148" s="24"/>
      <c r="X148" s="23"/>
      <c r="Y148" s="7"/>
      <c r="Z148" s="26"/>
      <c r="AB148" s="23"/>
      <c r="AD148" s="2"/>
      <c r="AF148" s="2"/>
      <c r="AG148" s="23"/>
      <c r="AI148" s="26"/>
      <c r="AJ148" s="23"/>
      <c r="AK148" s="2"/>
      <c r="AM148" s="23"/>
      <c r="AO148" s="32"/>
      <c r="AP148" s="26"/>
      <c r="AR148" s="26"/>
      <c r="AS148" s="24"/>
      <c r="AT148" s="24"/>
      <c r="AU148" s="31"/>
      <c r="AV148" s="24"/>
      <c r="AW148"/>
      <c r="AX148"/>
      <c r="AY148"/>
      <c r="AZ148"/>
      <c r="BA148"/>
      <c r="BB148"/>
      <c r="BC148"/>
      <c r="BD148"/>
      <c r="BE148"/>
      <c r="BF148"/>
      <c r="BG148"/>
    </row>
    <row r="149" spans="1:59" x14ac:dyDescent="0.25">
      <c r="A149" s="2"/>
      <c r="B149" s="22"/>
      <c r="C149" s="23"/>
      <c r="D149" s="2"/>
      <c r="E149" s="23"/>
      <c r="F149" s="24"/>
      <c r="G149" s="2"/>
      <c r="H149" s="10" t="e">
        <f>_xlfn.XLOOKUP(F149,Viloyatlar24[RegionName],Viloyatlar24[RegionId])</f>
        <v>#N/A</v>
      </c>
      <c r="I149" s="10" t="e">
        <f>_xlfn.XLOOKUP('Кўчмас мулк объектлари'!G149,Tumanlar23[DistrictName],Tumanlar23[DistrictId])</f>
        <v>#N/A</v>
      </c>
      <c r="J149" s="2"/>
      <c r="K149" s="24"/>
      <c r="L149" s="10" t="e">
        <f>_xlfn.XLOOKUP(K149,Ташкилотлар39[Ташкилотлар],Ташкилотлар39[TashklilotID])</f>
        <v>#N/A</v>
      </c>
      <c r="M149" s="26"/>
      <c r="N149" s="26"/>
      <c r="O149" s="24"/>
      <c r="P149" s="2"/>
      <c r="Q149" s="26"/>
      <c r="R149" s="26"/>
      <c r="S149" s="26"/>
      <c r="T149" s="26"/>
      <c r="U149" s="24"/>
      <c r="V149" s="10" t="e">
        <f>_xlfn.XLOOKUP(U149,Таклифлар37[Таклифлар],Таклифлар37[TaklifID])</f>
        <v>#N/A</v>
      </c>
      <c r="W149" s="24"/>
      <c r="X149" s="23"/>
      <c r="Y149" s="7"/>
      <c r="Z149" s="26"/>
      <c r="AB149" s="23"/>
      <c r="AD149" s="2"/>
      <c r="AF149" s="2"/>
      <c r="AG149" s="23"/>
      <c r="AI149" s="26"/>
      <c r="AJ149" s="23"/>
      <c r="AK149" s="2"/>
      <c r="AM149" s="23"/>
      <c r="AO149" s="32"/>
      <c r="AP149" s="26"/>
      <c r="AR149" s="26"/>
      <c r="AS149" s="24"/>
      <c r="AT149" s="24"/>
      <c r="AU149" s="31"/>
      <c r="AV149" s="24"/>
      <c r="AW149"/>
      <c r="AX149"/>
      <c r="AY149"/>
      <c r="AZ149"/>
      <c r="BA149"/>
      <c r="BB149"/>
      <c r="BC149"/>
      <c r="BD149"/>
      <c r="BE149"/>
      <c r="BF149"/>
      <c r="BG149"/>
    </row>
    <row r="150" spans="1:59" x14ac:dyDescent="0.25">
      <c r="A150" s="2"/>
      <c r="B150" s="22"/>
      <c r="C150" s="23"/>
      <c r="D150" s="2"/>
      <c r="E150" s="23"/>
      <c r="F150" s="24"/>
      <c r="G150" s="2"/>
      <c r="H150" s="10" t="e">
        <f>_xlfn.XLOOKUP(F150,Viloyatlar24[RegionName],Viloyatlar24[RegionId])</f>
        <v>#N/A</v>
      </c>
      <c r="I150" s="10" t="e">
        <f>_xlfn.XLOOKUP('Кўчмас мулк объектлари'!G150,Tumanlar23[DistrictName],Tumanlar23[DistrictId])</f>
        <v>#N/A</v>
      </c>
      <c r="J150" s="2"/>
      <c r="K150" s="24"/>
      <c r="L150" s="10" t="e">
        <f>_xlfn.XLOOKUP(K150,Ташкилотлар39[Ташкилотлар],Ташкилотлар39[TashklilotID])</f>
        <v>#N/A</v>
      </c>
      <c r="M150" s="26"/>
      <c r="N150" s="26"/>
      <c r="O150" s="24"/>
      <c r="P150" s="2"/>
      <c r="Q150" s="26"/>
      <c r="R150" s="26"/>
      <c r="S150" s="26"/>
      <c r="T150" s="26"/>
      <c r="U150" s="24"/>
      <c r="V150" s="10" t="e">
        <f>_xlfn.XLOOKUP(U150,Таклифлар37[Таклифлар],Таклифлар37[TaklifID])</f>
        <v>#N/A</v>
      </c>
      <c r="W150" s="24"/>
      <c r="X150" s="23"/>
      <c r="Y150" s="7"/>
      <c r="Z150" s="26"/>
      <c r="AB150" s="23"/>
      <c r="AD150" s="2"/>
      <c r="AF150" s="2"/>
      <c r="AG150" s="23"/>
      <c r="AI150" s="26"/>
      <c r="AJ150" s="23"/>
      <c r="AK150" s="2"/>
      <c r="AM150" s="23"/>
      <c r="AO150" s="32"/>
      <c r="AP150" s="26"/>
      <c r="AR150" s="26"/>
      <c r="AS150" s="24"/>
      <c r="AT150" s="24"/>
      <c r="AU150" s="31"/>
      <c r="AV150" s="24"/>
      <c r="AW150"/>
      <c r="AX150"/>
      <c r="AY150"/>
      <c r="AZ150"/>
      <c r="BA150"/>
      <c r="BB150"/>
      <c r="BC150"/>
      <c r="BD150"/>
      <c r="BE150"/>
      <c r="BF150"/>
      <c r="BG150"/>
    </row>
    <row r="151" spans="1:59" x14ac:dyDescent="0.25">
      <c r="A151" s="2"/>
      <c r="B151" s="22"/>
      <c r="C151" s="23"/>
      <c r="D151" s="2"/>
      <c r="E151" s="23"/>
      <c r="F151" s="24"/>
      <c r="G151" s="2"/>
      <c r="H151" s="10" t="e">
        <f>_xlfn.XLOOKUP(F151,Viloyatlar24[RegionName],Viloyatlar24[RegionId])</f>
        <v>#N/A</v>
      </c>
      <c r="I151" s="10" t="e">
        <f>_xlfn.XLOOKUP('Кўчмас мулк объектлари'!G151,Tumanlar23[DistrictName],Tumanlar23[DistrictId])</f>
        <v>#N/A</v>
      </c>
      <c r="J151" s="2"/>
      <c r="K151" s="24"/>
      <c r="L151" s="10" t="e">
        <f>_xlfn.XLOOKUP(K151,Ташкилотлар39[Ташкилотлар],Ташкилотлар39[TashklilotID])</f>
        <v>#N/A</v>
      </c>
      <c r="M151" s="26"/>
      <c r="N151" s="26"/>
      <c r="O151" s="24"/>
      <c r="P151" s="2"/>
      <c r="Q151" s="26"/>
      <c r="R151" s="26"/>
      <c r="S151" s="26"/>
      <c r="T151" s="26"/>
      <c r="U151" s="24"/>
      <c r="V151" s="10" t="e">
        <f>_xlfn.XLOOKUP(U151,Таклифлар37[Таклифлар],Таклифлар37[TaklifID])</f>
        <v>#N/A</v>
      </c>
      <c r="W151" s="24"/>
      <c r="X151" s="23"/>
      <c r="Y151" s="7"/>
      <c r="Z151" s="26"/>
      <c r="AB151" s="23"/>
      <c r="AD151" s="2"/>
      <c r="AF151" s="2"/>
      <c r="AG151" s="23"/>
      <c r="AI151" s="26"/>
      <c r="AJ151" s="23"/>
      <c r="AK151" s="2"/>
      <c r="AM151" s="23"/>
      <c r="AO151" s="32"/>
      <c r="AP151" s="26"/>
      <c r="AR151" s="26"/>
      <c r="AS151" s="24"/>
      <c r="AT151" s="24"/>
      <c r="AU151" s="31"/>
      <c r="AV151" s="24"/>
      <c r="AW151"/>
      <c r="AX151"/>
      <c r="AY151"/>
      <c r="AZ151"/>
      <c r="BA151"/>
      <c r="BB151"/>
      <c r="BC151"/>
      <c r="BD151"/>
      <c r="BE151"/>
      <c r="BF151"/>
      <c r="BG151"/>
    </row>
    <row r="152" spans="1:59" x14ac:dyDescent="0.25">
      <c r="A152" s="2"/>
      <c r="B152" s="22"/>
      <c r="C152" s="23"/>
      <c r="D152" s="2"/>
      <c r="E152" s="23"/>
      <c r="F152" s="24"/>
      <c r="G152" s="2"/>
      <c r="H152" s="10" t="e">
        <f>_xlfn.XLOOKUP(F152,Viloyatlar24[RegionName],Viloyatlar24[RegionId])</f>
        <v>#N/A</v>
      </c>
      <c r="I152" s="10" t="e">
        <f>_xlfn.XLOOKUP('Кўчмас мулк объектлари'!G152,Tumanlar23[DistrictName],Tumanlar23[DistrictId])</f>
        <v>#N/A</v>
      </c>
      <c r="J152" s="2"/>
      <c r="K152" s="24"/>
      <c r="L152" s="10" t="e">
        <f>_xlfn.XLOOKUP(K152,Ташкилотлар39[Ташкилотлар],Ташкилотлар39[TashklilotID])</f>
        <v>#N/A</v>
      </c>
      <c r="M152" s="26"/>
      <c r="N152" s="26"/>
      <c r="O152" s="24"/>
      <c r="P152" s="2"/>
      <c r="Q152" s="26"/>
      <c r="R152" s="26"/>
      <c r="S152" s="26"/>
      <c r="T152" s="26"/>
      <c r="U152" s="24"/>
      <c r="V152" s="10" t="e">
        <f>_xlfn.XLOOKUP(U152,Таклифлар37[Таклифлар],Таклифлар37[TaklifID])</f>
        <v>#N/A</v>
      </c>
      <c r="W152" s="24"/>
      <c r="X152" s="23"/>
      <c r="Y152" s="7"/>
      <c r="Z152" s="26"/>
      <c r="AB152" s="23"/>
      <c r="AD152" s="2"/>
      <c r="AF152" s="2"/>
      <c r="AG152" s="23"/>
      <c r="AI152" s="26"/>
      <c r="AJ152" s="23"/>
      <c r="AK152" s="2"/>
      <c r="AM152" s="23"/>
      <c r="AO152" s="32"/>
      <c r="AP152" s="26"/>
      <c r="AR152" s="26"/>
      <c r="AS152" s="24"/>
      <c r="AT152" s="24"/>
      <c r="AU152" s="31"/>
      <c r="AV152" s="24"/>
      <c r="AW152"/>
      <c r="AX152"/>
      <c r="AY152"/>
      <c r="AZ152"/>
      <c r="BA152"/>
      <c r="BB152"/>
      <c r="BC152"/>
      <c r="BD152"/>
      <c r="BE152"/>
      <c r="BF152"/>
      <c r="BG152"/>
    </row>
    <row r="153" spans="1:59" x14ac:dyDescent="0.25">
      <c r="A153" s="2"/>
      <c r="B153" s="22"/>
      <c r="C153" s="23"/>
      <c r="D153" s="2"/>
      <c r="E153" s="23"/>
      <c r="F153" s="24"/>
      <c r="G153" s="2"/>
      <c r="H153" s="10" t="e">
        <f>_xlfn.XLOOKUP(F153,Viloyatlar24[RegionName],Viloyatlar24[RegionId])</f>
        <v>#N/A</v>
      </c>
      <c r="I153" s="10" t="e">
        <f>_xlfn.XLOOKUP('Кўчмас мулк объектлари'!G153,Tumanlar23[DistrictName],Tumanlar23[DistrictId])</f>
        <v>#N/A</v>
      </c>
      <c r="J153" s="2"/>
      <c r="K153" s="24"/>
      <c r="L153" s="10" t="e">
        <f>_xlfn.XLOOKUP(K153,Ташкилотлар39[Ташкилотлар],Ташкилотлар39[TashklilotID])</f>
        <v>#N/A</v>
      </c>
      <c r="M153" s="26"/>
      <c r="N153" s="26"/>
      <c r="O153" s="24"/>
      <c r="P153" s="2"/>
      <c r="Q153" s="26"/>
      <c r="R153" s="26"/>
      <c r="S153" s="26"/>
      <c r="T153" s="26"/>
      <c r="U153" s="24"/>
      <c r="V153" s="10" t="e">
        <f>_xlfn.XLOOKUP(U153,Таклифлар37[Таклифлар],Таклифлар37[TaklifID])</f>
        <v>#N/A</v>
      </c>
      <c r="W153" s="24"/>
      <c r="X153" s="23"/>
      <c r="Y153" s="7"/>
      <c r="Z153" s="26"/>
      <c r="AB153" s="23"/>
      <c r="AD153" s="2"/>
      <c r="AF153" s="2"/>
      <c r="AG153" s="23"/>
      <c r="AI153" s="26"/>
      <c r="AJ153" s="23"/>
      <c r="AK153" s="2"/>
      <c r="AM153" s="23"/>
      <c r="AO153" s="32"/>
      <c r="AP153" s="26"/>
      <c r="AR153" s="26"/>
      <c r="AS153" s="24"/>
      <c r="AT153" s="24"/>
      <c r="AU153" s="31"/>
      <c r="AV153" s="24"/>
      <c r="AW153"/>
      <c r="AX153"/>
      <c r="AY153"/>
      <c r="AZ153"/>
      <c r="BA153"/>
      <c r="BB153"/>
      <c r="BC153"/>
      <c r="BD153"/>
      <c r="BE153"/>
      <c r="BF153"/>
      <c r="BG153"/>
    </row>
    <row r="154" spans="1:59" x14ac:dyDescent="0.25">
      <c r="A154" s="2"/>
      <c r="B154" s="22"/>
      <c r="C154" s="23"/>
      <c r="D154" s="2"/>
      <c r="E154" s="23"/>
      <c r="F154" s="24"/>
      <c r="G154" s="2"/>
      <c r="H154" s="10" t="e">
        <f>_xlfn.XLOOKUP(F154,Viloyatlar24[RegionName],Viloyatlar24[RegionId])</f>
        <v>#N/A</v>
      </c>
      <c r="I154" s="10" t="e">
        <f>_xlfn.XLOOKUP('Кўчмас мулк объектлари'!G154,Tumanlar23[DistrictName],Tumanlar23[DistrictId])</f>
        <v>#N/A</v>
      </c>
      <c r="J154" s="2"/>
      <c r="K154" s="24"/>
      <c r="L154" s="10" t="e">
        <f>_xlfn.XLOOKUP(K154,Ташкилотлар39[Ташкилотлар],Ташкилотлар39[TashklilotID])</f>
        <v>#N/A</v>
      </c>
      <c r="M154" s="26"/>
      <c r="N154" s="26"/>
      <c r="O154" s="24"/>
      <c r="P154" s="2"/>
      <c r="Q154" s="26"/>
      <c r="R154" s="26"/>
      <c r="S154" s="26"/>
      <c r="T154" s="26"/>
      <c r="U154" s="24"/>
      <c r="V154" s="10" t="e">
        <f>_xlfn.XLOOKUP(U154,Таклифлар37[Таклифлар],Таклифлар37[TaklifID])</f>
        <v>#N/A</v>
      </c>
      <c r="W154" s="24"/>
      <c r="X154" s="23"/>
      <c r="Y154" s="7"/>
      <c r="Z154" s="26"/>
      <c r="AB154" s="23"/>
      <c r="AD154" s="2"/>
      <c r="AF154" s="2"/>
      <c r="AG154" s="23"/>
      <c r="AI154" s="26"/>
      <c r="AJ154" s="23"/>
      <c r="AK154" s="2"/>
      <c r="AM154" s="23"/>
      <c r="AO154" s="32"/>
      <c r="AP154" s="26"/>
      <c r="AR154" s="26"/>
      <c r="AS154" s="24"/>
      <c r="AT154" s="24"/>
      <c r="AU154" s="31"/>
      <c r="AV154" s="24"/>
      <c r="AW154"/>
      <c r="AX154"/>
      <c r="AY154"/>
      <c r="AZ154"/>
      <c r="BA154"/>
      <c r="BB154"/>
      <c r="BC154"/>
      <c r="BD154"/>
      <c r="BE154"/>
      <c r="BF154"/>
      <c r="BG154"/>
    </row>
    <row r="155" spans="1:59" x14ac:dyDescent="0.25">
      <c r="A155" s="2"/>
      <c r="B155" s="22"/>
      <c r="C155" s="23"/>
      <c r="D155" s="2"/>
      <c r="E155" s="23"/>
      <c r="F155" s="24"/>
      <c r="G155" s="2"/>
      <c r="H155" s="10" t="e">
        <f>_xlfn.XLOOKUP(F155,Viloyatlar24[RegionName],Viloyatlar24[RegionId])</f>
        <v>#N/A</v>
      </c>
      <c r="I155" s="10" t="e">
        <f>_xlfn.XLOOKUP('Кўчмас мулк объектлари'!G155,Tumanlar23[DistrictName],Tumanlar23[DistrictId])</f>
        <v>#N/A</v>
      </c>
      <c r="J155" s="2"/>
      <c r="K155" s="24"/>
      <c r="L155" s="10" t="e">
        <f>_xlfn.XLOOKUP(K155,Ташкилотлар39[Ташкилотлар],Ташкилотлар39[TashklilotID])</f>
        <v>#N/A</v>
      </c>
      <c r="M155" s="26"/>
      <c r="N155" s="26"/>
      <c r="O155" s="24"/>
      <c r="P155" s="2"/>
      <c r="Q155" s="26"/>
      <c r="R155" s="26"/>
      <c r="S155" s="26"/>
      <c r="T155" s="26"/>
      <c r="U155" s="24"/>
      <c r="V155" s="10" t="e">
        <f>_xlfn.XLOOKUP(U155,Таклифлар37[Таклифлар],Таклифлар37[TaklifID])</f>
        <v>#N/A</v>
      </c>
      <c r="W155" s="24"/>
      <c r="X155" s="23"/>
      <c r="Y155" s="7"/>
      <c r="Z155" s="26"/>
      <c r="AB155" s="23"/>
      <c r="AD155" s="2"/>
      <c r="AF155" s="2"/>
      <c r="AG155" s="23"/>
      <c r="AI155" s="26"/>
      <c r="AJ155" s="23"/>
      <c r="AK155" s="2"/>
      <c r="AM155" s="23"/>
      <c r="AO155" s="32"/>
      <c r="AP155" s="26"/>
      <c r="AR155" s="26"/>
      <c r="AS155" s="24"/>
      <c r="AT155" s="24"/>
      <c r="AU155" s="31"/>
      <c r="AV155" s="24"/>
      <c r="AW155"/>
      <c r="AX155"/>
      <c r="AY155"/>
      <c r="AZ155"/>
      <c r="BA155"/>
      <c r="BB155"/>
      <c r="BC155"/>
      <c r="BD155"/>
      <c r="BE155"/>
      <c r="BF155"/>
      <c r="BG155"/>
    </row>
    <row r="156" spans="1:59" x14ac:dyDescent="0.25">
      <c r="A156" s="2"/>
      <c r="B156" s="22"/>
      <c r="C156" s="23"/>
      <c r="D156" s="2"/>
      <c r="E156" s="23"/>
      <c r="F156" s="24"/>
      <c r="G156" s="2"/>
      <c r="H156" s="10" t="e">
        <f>_xlfn.XLOOKUP(F156,Viloyatlar24[RegionName],Viloyatlar24[RegionId])</f>
        <v>#N/A</v>
      </c>
      <c r="I156" s="10" t="e">
        <f>_xlfn.XLOOKUP('Кўчмас мулк объектлари'!G156,Tumanlar23[DistrictName],Tumanlar23[DistrictId])</f>
        <v>#N/A</v>
      </c>
      <c r="J156" s="2"/>
      <c r="K156" s="24"/>
      <c r="L156" s="10" t="e">
        <f>_xlfn.XLOOKUP(K156,Ташкилотлар39[Ташкилотлар],Ташкилотлар39[TashklilotID])</f>
        <v>#N/A</v>
      </c>
      <c r="M156" s="26"/>
      <c r="N156" s="26"/>
      <c r="O156" s="24"/>
      <c r="P156" s="2"/>
      <c r="Q156" s="26"/>
      <c r="R156" s="26"/>
      <c r="S156" s="26"/>
      <c r="T156" s="26"/>
      <c r="U156" s="24"/>
      <c r="V156" s="10" t="e">
        <f>_xlfn.XLOOKUP(U156,Таклифлар37[Таклифлар],Таклифлар37[TaklifID])</f>
        <v>#N/A</v>
      </c>
      <c r="W156" s="24"/>
      <c r="X156" s="23"/>
      <c r="Y156" s="7"/>
      <c r="Z156" s="26"/>
      <c r="AB156" s="23"/>
      <c r="AD156" s="2"/>
      <c r="AF156" s="2"/>
      <c r="AG156" s="23"/>
      <c r="AI156" s="26"/>
      <c r="AJ156" s="23"/>
      <c r="AK156" s="2"/>
      <c r="AM156" s="23"/>
      <c r="AO156" s="32"/>
      <c r="AP156" s="26"/>
      <c r="AR156" s="26"/>
      <c r="AS156" s="24"/>
      <c r="AT156" s="24"/>
      <c r="AU156" s="31"/>
      <c r="AV156" s="24"/>
      <c r="AW156"/>
      <c r="AX156"/>
      <c r="AY156"/>
      <c r="AZ156"/>
      <c r="BA156"/>
      <c r="BB156"/>
      <c r="BC156"/>
      <c r="BD156"/>
      <c r="BE156"/>
      <c r="BF156"/>
      <c r="BG156"/>
    </row>
    <row r="157" spans="1:59" x14ac:dyDescent="0.25">
      <c r="A157" s="2"/>
      <c r="B157" s="22"/>
      <c r="C157" s="23"/>
      <c r="D157" s="2"/>
      <c r="E157" s="23"/>
      <c r="F157" s="24"/>
      <c r="G157" s="2"/>
      <c r="H157" s="10" t="e">
        <f>_xlfn.XLOOKUP(F157,Viloyatlar24[RegionName],Viloyatlar24[RegionId])</f>
        <v>#N/A</v>
      </c>
      <c r="I157" s="10" t="e">
        <f>_xlfn.XLOOKUP('Кўчмас мулк объектлари'!G157,Tumanlar23[DistrictName],Tumanlar23[DistrictId])</f>
        <v>#N/A</v>
      </c>
      <c r="J157" s="2"/>
      <c r="K157" s="24"/>
      <c r="L157" s="10" t="e">
        <f>_xlfn.XLOOKUP(K157,Ташкилотлар39[Ташкилотлар],Ташкилотлар39[TashklilotID])</f>
        <v>#N/A</v>
      </c>
      <c r="M157" s="26"/>
      <c r="N157" s="26"/>
      <c r="O157" s="24"/>
      <c r="P157" s="2"/>
      <c r="Q157" s="26"/>
      <c r="R157" s="26"/>
      <c r="S157" s="26"/>
      <c r="T157" s="26"/>
      <c r="U157" s="24"/>
      <c r="V157" s="10" t="e">
        <f>_xlfn.XLOOKUP(U157,Таклифлар37[Таклифлар],Таклифлар37[TaklifID])</f>
        <v>#N/A</v>
      </c>
      <c r="W157" s="24"/>
      <c r="X157" s="23"/>
      <c r="Y157" s="7"/>
      <c r="Z157" s="26"/>
      <c r="AB157" s="23"/>
      <c r="AD157" s="2"/>
      <c r="AF157" s="2"/>
      <c r="AG157" s="23"/>
      <c r="AI157" s="26"/>
      <c r="AJ157" s="23"/>
      <c r="AK157" s="2"/>
      <c r="AM157" s="23"/>
      <c r="AO157" s="32"/>
      <c r="AP157" s="26"/>
      <c r="AR157" s="26"/>
      <c r="AS157" s="24"/>
      <c r="AT157" s="24"/>
      <c r="AU157" s="31"/>
      <c r="AV157" s="24"/>
      <c r="AW157"/>
      <c r="AX157"/>
      <c r="AY157"/>
      <c r="AZ157"/>
      <c r="BA157"/>
      <c r="BB157"/>
      <c r="BC157"/>
      <c r="BD157"/>
      <c r="BE157"/>
      <c r="BF157"/>
      <c r="BG157"/>
    </row>
    <row r="158" spans="1:59" x14ac:dyDescent="0.25">
      <c r="A158" s="2"/>
      <c r="B158" s="22"/>
      <c r="C158" s="23"/>
      <c r="D158" s="2"/>
      <c r="E158" s="23"/>
      <c r="F158" s="24"/>
      <c r="G158" s="2"/>
      <c r="H158" s="10" t="e">
        <f>_xlfn.XLOOKUP(F158,Viloyatlar24[RegionName],Viloyatlar24[RegionId])</f>
        <v>#N/A</v>
      </c>
      <c r="I158" s="10" t="e">
        <f>_xlfn.XLOOKUP('Кўчмас мулк объектлари'!G158,Tumanlar23[DistrictName],Tumanlar23[DistrictId])</f>
        <v>#N/A</v>
      </c>
      <c r="J158" s="2"/>
      <c r="K158" s="24"/>
      <c r="L158" s="10" t="e">
        <f>_xlfn.XLOOKUP(K158,Ташкилотлар39[Ташкилотлар],Ташкилотлар39[TashklilotID])</f>
        <v>#N/A</v>
      </c>
      <c r="M158" s="26"/>
      <c r="N158" s="26"/>
      <c r="O158" s="24"/>
      <c r="P158" s="2"/>
      <c r="Q158" s="26"/>
      <c r="R158" s="26"/>
      <c r="S158" s="26"/>
      <c r="T158" s="26"/>
      <c r="U158" s="24"/>
      <c r="V158" s="10" t="e">
        <f>_xlfn.XLOOKUP(U158,Таклифлар37[Таклифлар],Таклифлар37[TaklifID])</f>
        <v>#N/A</v>
      </c>
      <c r="W158" s="24"/>
      <c r="X158" s="23"/>
      <c r="Y158" s="7"/>
      <c r="Z158" s="26"/>
      <c r="AB158" s="23"/>
      <c r="AD158" s="2"/>
      <c r="AF158" s="2"/>
      <c r="AG158" s="23"/>
      <c r="AI158" s="26"/>
      <c r="AJ158" s="23"/>
      <c r="AK158" s="2"/>
      <c r="AM158" s="23"/>
      <c r="AO158" s="32"/>
      <c r="AP158" s="26"/>
      <c r="AR158" s="26"/>
      <c r="AS158" s="24"/>
      <c r="AT158" s="24"/>
      <c r="AU158" s="31"/>
      <c r="AV158" s="24"/>
      <c r="AW158"/>
      <c r="AX158"/>
      <c r="AY158"/>
      <c r="AZ158"/>
      <c r="BA158"/>
      <c r="BB158"/>
      <c r="BC158"/>
      <c r="BD158"/>
      <c r="BE158"/>
      <c r="BF158"/>
      <c r="BG158"/>
    </row>
    <row r="159" spans="1:59" x14ac:dyDescent="0.25">
      <c r="A159" s="2"/>
      <c r="B159" s="22"/>
      <c r="C159" s="23"/>
      <c r="D159" s="2"/>
      <c r="E159" s="23"/>
      <c r="F159" s="24"/>
      <c r="G159" s="2"/>
      <c r="H159" s="10" t="e">
        <f>_xlfn.XLOOKUP(F159,Viloyatlar24[RegionName],Viloyatlar24[RegionId])</f>
        <v>#N/A</v>
      </c>
      <c r="I159" s="10" t="e">
        <f>_xlfn.XLOOKUP('Кўчмас мулк объектлари'!G159,Tumanlar23[DistrictName],Tumanlar23[DistrictId])</f>
        <v>#N/A</v>
      </c>
      <c r="J159" s="2"/>
      <c r="K159" s="24"/>
      <c r="L159" s="10" t="e">
        <f>_xlfn.XLOOKUP(K159,Ташкилотлар39[Ташкилотлар],Ташкилотлар39[TashklilotID])</f>
        <v>#N/A</v>
      </c>
      <c r="M159" s="26"/>
      <c r="N159" s="26"/>
      <c r="O159" s="24"/>
      <c r="P159" s="2"/>
      <c r="Q159" s="26"/>
      <c r="R159" s="26"/>
      <c r="S159" s="26"/>
      <c r="T159" s="26"/>
      <c r="U159" s="24"/>
      <c r="V159" s="10" t="e">
        <f>_xlfn.XLOOKUP(U159,Таклифлар37[Таклифлар],Таклифлар37[TaklifID])</f>
        <v>#N/A</v>
      </c>
      <c r="W159" s="24"/>
      <c r="X159" s="23"/>
      <c r="Y159" s="7"/>
      <c r="Z159" s="26"/>
      <c r="AB159" s="23"/>
      <c r="AD159" s="2"/>
      <c r="AF159" s="2"/>
      <c r="AG159" s="23"/>
      <c r="AI159" s="26"/>
      <c r="AJ159" s="23"/>
      <c r="AK159" s="2"/>
      <c r="AM159" s="23"/>
      <c r="AO159" s="32"/>
      <c r="AP159" s="26"/>
      <c r="AR159" s="26"/>
      <c r="AS159" s="24"/>
      <c r="AT159" s="24"/>
      <c r="AU159" s="31"/>
      <c r="AV159" s="24"/>
      <c r="AW159"/>
      <c r="AX159"/>
      <c r="AY159"/>
      <c r="AZ159"/>
      <c r="BA159"/>
      <c r="BB159"/>
      <c r="BC159"/>
      <c r="BD159"/>
      <c r="BE159"/>
      <c r="BF159"/>
      <c r="BG159"/>
    </row>
    <row r="160" spans="1:59" x14ac:dyDescent="0.25">
      <c r="A160" s="2"/>
      <c r="B160" s="22"/>
      <c r="C160" s="23"/>
      <c r="D160" s="2"/>
      <c r="E160" s="23"/>
      <c r="F160" s="24"/>
      <c r="G160" s="2"/>
      <c r="H160" s="10" t="e">
        <f>_xlfn.XLOOKUP(F160,Viloyatlar24[RegionName],Viloyatlar24[RegionId])</f>
        <v>#N/A</v>
      </c>
      <c r="I160" s="10" t="e">
        <f>_xlfn.XLOOKUP('Кўчмас мулк объектлари'!G160,Tumanlar23[DistrictName],Tumanlar23[DistrictId])</f>
        <v>#N/A</v>
      </c>
      <c r="J160" s="2"/>
      <c r="K160" s="24"/>
      <c r="L160" s="10" t="e">
        <f>_xlfn.XLOOKUP(K160,Ташкилотлар39[Ташкилотлар],Ташкилотлар39[TashklilotID])</f>
        <v>#N/A</v>
      </c>
      <c r="M160" s="26"/>
      <c r="N160" s="26"/>
      <c r="O160" s="24"/>
      <c r="P160" s="2"/>
      <c r="Q160" s="26"/>
      <c r="R160" s="26"/>
      <c r="S160" s="26"/>
      <c r="T160" s="26"/>
      <c r="U160" s="24"/>
      <c r="V160" s="10" t="e">
        <f>_xlfn.XLOOKUP(U160,Таклифлар37[Таклифлар],Таклифлар37[TaklifID])</f>
        <v>#N/A</v>
      </c>
      <c r="W160" s="24"/>
      <c r="X160" s="23"/>
      <c r="Y160" s="7"/>
      <c r="Z160" s="26"/>
      <c r="AB160" s="23"/>
      <c r="AD160" s="2"/>
      <c r="AF160" s="2"/>
      <c r="AG160" s="23"/>
      <c r="AI160" s="26"/>
      <c r="AJ160" s="23"/>
      <c r="AK160" s="2"/>
      <c r="AM160" s="23"/>
      <c r="AO160" s="32"/>
      <c r="AP160" s="26"/>
      <c r="AR160" s="26"/>
      <c r="AS160" s="24"/>
      <c r="AT160" s="24"/>
      <c r="AU160" s="31"/>
      <c r="AV160" s="24"/>
      <c r="AW160"/>
      <c r="AX160"/>
      <c r="AY160"/>
      <c r="AZ160"/>
      <c r="BA160"/>
      <c r="BB160"/>
      <c r="BC160"/>
      <c r="BD160"/>
      <c r="BE160"/>
      <c r="BF160"/>
      <c r="BG160"/>
    </row>
    <row r="161" spans="1:59" x14ac:dyDescent="0.25">
      <c r="A161" s="2"/>
      <c r="B161" s="22"/>
      <c r="C161" s="23"/>
      <c r="D161" s="2"/>
      <c r="E161" s="23"/>
      <c r="F161" s="24"/>
      <c r="G161" s="2"/>
      <c r="H161" s="10" t="e">
        <f>_xlfn.XLOOKUP(F161,Viloyatlar24[RegionName],Viloyatlar24[RegionId])</f>
        <v>#N/A</v>
      </c>
      <c r="I161" s="10" t="e">
        <f>_xlfn.XLOOKUP('Кўчмас мулк объектлари'!G161,Tumanlar23[DistrictName],Tumanlar23[DistrictId])</f>
        <v>#N/A</v>
      </c>
      <c r="J161" s="2"/>
      <c r="K161" s="24"/>
      <c r="L161" s="10" t="e">
        <f>_xlfn.XLOOKUP(K161,Ташкилотлар39[Ташкилотлар],Ташкилотлар39[TashklilotID])</f>
        <v>#N/A</v>
      </c>
      <c r="M161" s="26"/>
      <c r="N161" s="26"/>
      <c r="O161" s="24"/>
      <c r="P161" s="2"/>
      <c r="Q161" s="26"/>
      <c r="R161" s="26"/>
      <c r="S161" s="26"/>
      <c r="T161" s="26"/>
      <c r="U161" s="24"/>
      <c r="V161" s="10" t="e">
        <f>_xlfn.XLOOKUP(U161,Таклифлар37[Таклифлар],Таклифлар37[TaklifID])</f>
        <v>#N/A</v>
      </c>
      <c r="W161" s="24"/>
      <c r="X161" s="23"/>
      <c r="Y161" s="7"/>
      <c r="Z161" s="26"/>
      <c r="AB161" s="23"/>
      <c r="AD161" s="2"/>
      <c r="AF161" s="2"/>
      <c r="AG161" s="23"/>
      <c r="AI161" s="26"/>
      <c r="AJ161" s="23"/>
      <c r="AK161" s="2"/>
      <c r="AM161" s="23"/>
      <c r="AO161" s="32"/>
      <c r="AP161" s="26"/>
      <c r="AR161" s="26"/>
      <c r="AS161" s="24"/>
      <c r="AT161" s="24"/>
      <c r="AU161" s="31"/>
      <c r="AV161" s="24"/>
      <c r="AW161"/>
      <c r="AX161"/>
      <c r="AY161"/>
      <c r="AZ161"/>
      <c r="BA161"/>
      <c r="BB161"/>
      <c r="BC161"/>
      <c r="BD161"/>
      <c r="BE161"/>
      <c r="BF161"/>
      <c r="BG161"/>
    </row>
    <row r="162" spans="1:59" x14ac:dyDescent="0.25">
      <c r="A162" s="2"/>
      <c r="B162" s="22"/>
      <c r="C162" s="23"/>
      <c r="D162" s="2"/>
      <c r="E162" s="23"/>
      <c r="F162" s="24"/>
      <c r="G162" s="2"/>
      <c r="H162" s="10" t="e">
        <f>_xlfn.XLOOKUP(F162,Viloyatlar24[RegionName],Viloyatlar24[RegionId])</f>
        <v>#N/A</v>
      </c>
      <c r="I162" s="10" t="e">
        <f>_xlfn.XLOOKUP('Кўчмас мулк объектлари'!G162,Tumanlar23[DistrictName],Tumanlar23[DistrictId])</f>
        <v>#N/A</v>
      </c>
      <c r="J162" s="2"/>
      <c r="K162" s="24"/>
      <c r="L162" s="10" t="e">
        <f>_xlfn.XLOOKUP(K162,Ташкилотлар39[Ташкилотлар],Ташкилотлар39[TashklilotID])</f>
        <v>#N/A</v>
      </c>
      <c r="M162" s="26"/>
      <c r="N162" s="26"/>
      <c r="O162" s="24"/>
      <c r="P162" s="2"/>
      <c r="Q162" s="26"/>
      <c r="R162" s="26"/>
      <c r="S162" s="26"/>
      <c r="T162" s="26"/>
      <c r="U162" s="24"/>
      <c r="V162" s="10" t="e">
        <f>_xlfn.XLOOKUP(U162,Таклифлар37[Таклифлар],Таклифлар37[TaklifID])</f>
        <v>#N/A</v>
      </c>
      <c r="W162" s="24"/>
      <c r="X162" s="23"/>
      <c r="Y162" s="7"/>
      <c r="Z162" s="26"/>
      <c r="AB162" s="23"/>
      <c r="AD162" s="2"/>
      <c r="AF162" s="2"/>
      <c r="AG162" s="23"/>
      <c r="AI162" s="26"/>
      <c r="AJ162" s="23"/>
      <c r="AK162" s="2"/>
      <c r="AM162" s="23"/>
      <c r="AO162" s="32"/>
      <c r="AP162" s="26"/>
      <c r="AR162" s="26"/>
      <c r="AS162" s="24"/>
      <c r="AT162" s="24"/>
      <c r="AU162" s="31"/>
      <c r="AV162" s="24"/>
      <c r="AW162"/>
      <c r="AX162"/>
      <c r="AY162"/>
      <c r="AZ162"/>
      <c r="BA162"/>
      <c r="BB162"/>
      <c r="BC162"/>
      <c r="BD162"/>
      <c r="BE162"/>
      <c r="BF162"/>
      <c r="BG162"/>
    </row>
    <row r="163" spans="1:59" x14ac:dyDescent="0.25">
      <c r="A163" s="2"/>
      <c r="B163" s="22"/>
      <c r="C163" s="23"/>
      <c r="D163" s="2"/>
      <c r="E163" s="23"/>
      <c r="F163" s="24"/>
      <c r="G163" s="2"/>
      <c r="H163" s="10" t="e">
        <f>_xlfn.XLOOKUP(F163,Viloyatlar24[RegionName],Viloyatlar24[RegionId])</f>
        <v>#N/A</v>
      </c>
      <c r="I163" s="10" t="e">
        <f>_xlfn.XLOOKUP('Кўчмас мулк объектлари'!G163,Tumanlar23[DistrictName],Tumanlar23[DistrictId])</f>
        <v>#N/A</v>
      </c>
      <c r="J163" s="2"/>
      <c r="K163" s="24"/>
      <c r="L163" s="10" t="e">
        <f>_xlfn.XLOOKUP(K163,Ташкилотлар39[Ташкилотлар],Ташкилотлар39[TashklilotID])</f>
        <v>#N/A</v>
      </c>
      <c r="M163" s="26"/>
      <c r="N163" s="26"/>
      <c r="O163" s="24"/>
      <c r="P163" s="2"/>
      <c r="Q163" s="26"/>
      <c r="R163" s="26"/>
      <c r="S163" s="26"/>
      <c r="T163" s="26"/>
      <c r="U163" s="24"/>
      <c r="V163" s="10" t="e">
        <f>_xlfn.XLOOKUP(U163,Таклифлар37[Таклифлар],Таклифлар37[TaklifID])</f>
        <v>#N/A</v>
      </c>
      <c r="W163" s="24"/>
      <c r="X163" s="23"/>
      <c r="Y163" s="7"/>
      <c r="Z163" s="26"/>
      <c r="AB163" s="23"/>
      <c r="AD163" s="2"/>
      <c r="AF163" s="2"/>
      <c r="AG163" s="23"/>
      <c r="AI163" s="26"/>
      <c r="AJ163" s="23"/>
      <c r="AK163" s="2"/>
      <c r="AM163" s="23"/>
      <c r="AO163" s="32"/>
      <c r="AP163" s="26"/>
      <c r="AR163" s="26"/>
      <c r="AS163" s="24"/>
      <c r="AT163" s="24"/>
      <c r="AU163" s="31"/>
      <c r="AV163" s="24"/>
      <c r="AW163"/>
      <c r="AX163"/>
      <c r="AY163"/>
      <c r="AZ163"/>
      <c r="BA163"/>
      <c r="BB163"/>
      <c r="BC163"/>
      <c r="BD163"/>
      <c r="BE163"/>
      <c r="BF163"/>
      <c r="BG163"/>
    </row>
    <row r="164" spans="1:59" x14ac:dyDescent="0.25">
      <c r="A164" s="2"/>
      <c r="B164" s="22"/>
      <c r="C164" s="23"/>
      <c r="D164" s="2"/>
      <c r="E164" s="23"/>
      <c r="F164" s="24"/>
      <c r="G164" s="2"/>
      <c r="H164" s="10" t="e">
        <f>_xlfn.XLOOKUP(F164,Viloyatlar24[RegionName],Viloyatlar24[RegionId])</f>
        <v>#N/A</v>
      </c>
      <c r="I164" s="10" t="e">
        <f>_xlfn.XLOOKUP('Кўчмас мулк объектлари'!G164,Tumanlar23[DistrictName],Tumanlar23[DistrictId])</f>
        <v>#N/A</v>
      </c>
      <c r="J164" s="2"/>
      <c r="K164" s="24"/>
      <c r="L164" s="10" t="e">
        <f>_xlfn.XLOOKUP(K164,Ташкилотлар39[Ташкилотлар],Ташкилотлар39[TashklilotID])</f>
        <v>#N/A</v>
      </c>
      <c r="M164" s="26"/>
      <c r="N164" s="26"/>
      <c r="O164" s="24"/>
      <c r="P164" s="2"/>
      <c r="Q164" s="26"/>
      <c r="R164" s="26"/>
      <c r="S164" s="26"/>
      <c r="T164" s="26"/>
      <c r="U164" s="24"/>
      <c r="V164" s="10" t="e">
        <f>_xlfn.XLOOKUP(U164,Таклифлар37[Таклифлар],Таклифлар37[TaklifID])</f>
        <v>#N/A</v>
      </c>
      <c r="W164" s="24"/>
      <c r="X164" s="23"/>
      <c r="Y164" s="7"/>
      <c r="Z164" s="26"/>
      <c r="AB164" s="23"/>
      <c r="AD164" s="2"/>
      <c r="AF164" s="2"/>
      <c r="AG164" s="23"/>
      <c r="AI164" s="26"/>
      <c r="AJ164" s="23"/>
      <c r="AK164" s="2"/>
      <c r="AM164" s="23"/>
      <c r="AO164" s="32"/>
      <c r="AP164" s="26"/>
      <c r="AR164" s="26"/>
      <c r="AS164" s="24"/>
      <c r="AT164" s="24"/>
      <c r="AU164" s="31"/>
      <c r="AV164" s="24"/>
      <c r="AW164"/>
      <c r="AX164"/>
      <c r="AY164"/>
      <c r="AZ164"/>
      <c r="BA164"/>
      <c r="BB164"/>
      <c r="BC164"/>
      <c r="BD164"/>
      <c r="BE164"/>
      <c r="BF164"/>
      <c r="BG164"/>
    </row>
    <row r="165" spans="1:59" x14ac:dyDescent="0.25">
      <c r="A165" s="2"/>
      <c r="B165" s="22"/>
      <c r="C165" s="23"/>
      <c r="D165" s="2"/>
      <c r="E165" s="23"/>
      <c r="F165" s="24"/>
      <c r="G165" s="2"/>
      <c r="H165" s="10" t="e">
        <f>_xlfn.XLOOKUP(F165,Viloyatlar24[RegionName],Viloyatlar24[RegionId])</f>
        <v>#N/A</v>
      </c>
      <c r="I165" s="10" t="e">
        <f>_xlfn.XLOOKUP('Кўчмас мулк объектлари'!G165,Tumanlar23[DistrictName],Tumanlar23[DistrictId])</f>
        <v>#N/A</v>
      </c>
      <c r="J165" s="2"/>
      <c r="K165" s="24"/>
      <c r="L165" s="10" t="e">
        <f>_xlfn.XLOOKUP(K165,Ташкилотлар39[Ташкилотлар],Ташкилотлар39[TashklilotID])</f>
        <v>#N/A</v>
      </c>
      <c r="M165" s="26"/>
      <c r="N165" s="26"/>
      <c r="O165" s="24"/>
      <c r="P165" s="2"/>
      <c r="Q165" s="26"/>
      <c r="R165" s="26"/>
      <c r="S165" s="26"/>
      <c r="T165" s="26"/>
      <c r="U165" s="24"/>
      <c r="V165" s="10" t="e">
        <f>_xlfn.XLOOKUP(U165,Таклифлар37[Таклифлар],Таклифлар37[TaklifID])</f>
        <v>#N/A</v>
      </c>
      <c r="W165" s="24"/>
      <c r="X165" s="23"/>
      <c r="Y165" s="7"/>
      <c r="Z165" s="26"/>
      <c r="AB165" s="23"/>
      <c r="AD165" s="2"/>
      <c r="AF165" s="2"/>
      <c r="AG165" s="23"/>
      <c r="AI165" s="26"/>
      <c r="AJ165" s="23"/>
      <c r="AK165" s="2"/>
      <c r="AM165" s="23"/>
      <c r="AO165" s="32"/>
      <c r="AP165" s="26"/>
      <c r="AR165" s="26"/>
      <c r="AS165" s="24"/>
      <c r="AT165" s="24"/>
      <c r="AU165" s="31"/>
      <c r="AV165" s="24"/>
      <c r="AW165"/>
      <c r="AX165"/>
      <c r="AY165"/>
      <c r="AZ165"/>
      <c r="BA165"/>
      <c r="BB165"/>
      <c r="BC165"/>
      <c r="BD165"/>
      <c r="BE165"/>
      <c r="BF165"/>
      <c r="BG165"/>
    </row>
    <row r="166" spans="1:59" x14ac:dyDescent="0.25">
      <c r="A166" s="2"/>
      <c r="B166" s="22"/>
      <c r="C166" s="23"/>
      <c r="D166" s="2"/>
      <c r="E166" s="23"/>
      <c r="F166" s="24"/>
      <c r="G166" s="2"/>
      <c r="H166" s="10" t="e">
        <f>_xlfn.XLOOKUP(F166,Viloyatlar24[RegionName],Viloyatlar24[RegionId])</f>
        <v>#N/A</v>
      </c>
      <c r="I166" s="10" t="e">
        <f>_xlfn.XLOOKUP('Кўчмас мулк объектлари'!G166,Tumanlar23[DistrictName],Tumanlar23[DistrictId])</f>
        <v>#N/A</v>
      </c>
      <c r="J166" s="2"/>
      <c r="K166" s="24"/>
      <c r="L166" s="10" t="e">
        <f>_xlfn.XLOOKUP(K166,Ташкилотлар39[Ташкилотлар],Ташкилотлар39[TashklilotID])</f>
        <v>#N/A</v>
      </c>
      <c r="M166" s="26"/>
      <c r="N166" s="26"/>
      <c r="O166" s="24"/>
      <c r="P166" s="2"/>
      <c r="Q166" s="26"/>
      <c r="R166" s="26"/>
      <c r="S166" s="26"/>
      <c r="T166" s="26"/>
      <c r="U166" s="24"/>
      <c r="V166" s="10" t="e">
        <f>_xlfn.XLOOKUP(U166,Таклифлар37[Таклифлар],Таклифлар37[TaklifID])</f>
        <v>#N/A</v>
      </c>
      <c r="W166" s="24"/>
      <c r="X166" s="23"/>
      <c r="Y166" s="7"/>
      <c r="Z166" s="26"/>
      <c r="AB166" s="23"/>
      <c r="AD166" s="2"/>
      <c r="AF166" s="2"/>
      <c r="AG166" s="23"/>
      <c r="AI166" s="26"/>
      <c r="AJ166" s="23"/>
      <c r="AK166" s="2"/>
      <c r="AM166" s="23"/>
      <c r="AO166" s="32"/>
      <c r="AP166" s="26"/>
      <c r="AR166" s="26"/>
      <c r="AS166" s="24"/>
      <c r="AT166" s="24"/>
      <c r="AU166" s="31"/>
      <c r="AV166" s="24"/>
      <c r="AW166"/>
      <c r="AX166"/>
      <c r="AY166"/>
      <c r="AZ166"/>
      <c r="BA166"/>
      <c r="BB166"/>
      <c r="BC166"/>
      <c r="BD166"/>
      <c r="BE166"/>
      <c r="BF166"/>
      <c r="BG166"/>
    </row>
    <row r="167" spans="1:59" x14ac:dyDescent="0.25">
      <c r="A167" s="2"/>
      <c r="B167" s="22"/>
      <c r="C167" s="23"/>
      <c r="D167" s="2"/>
      <c r="E167" s="23"/>
      <c r="F167" s="24"/>
      <c r="G167" s="2"/>
      <c r="H167" s="10" t="e">
        <f>_xlfn.XLOOKUP(F167,Viloyatlar24[RegionName],Viloyatlar24[RegionId])</f>
        <v>#N/A</v>
      </c>
      <c r="I167" s="10" t="e">
        <f>_xlfn.XLOOKUP('Кўчмас мулк объектлари'!G167,Tumanlar23[DistrictName],Tumanlar23[DistrictId])</f>
        <v>#N/A</v>
      </c>
      <c r="J167" s="2"/>
      <c r="K167" s="24"/>
      <c r="L167" s="10" t="e">
        <f>_xlfn.XLOOKUP(K167,Ташкилотлар39[Ташкилотлар],Ташкилотлар39[TashklilotID])</f>
        <v>#N/A</v>
      </c>
      <c r="M167" s="26"/>
      <c r="N167" s="26"/>
      <c r="O167" s="24"/>
      <c r="P167" s="2"/>
      <c r="Q167" s="26"/>
      <c r="R167" s="26"/>
      <c r="S167" s="26"/>
      <c r="T167" s="26"/>
      <c r="U167" s="24"/>
      <c r="V167" s="10" t="e">
        <f>_xlfn.XLOOKUP(U167,Таклифлар37[Таклифлар],Таклифлар37[TaklifID])</f>
        <v>#N/A</v>
      </c>
      <c r="W167" s="24"/>
      <c r="X167" s="23"/>
      <c r="Y167" s="7"/>
      <c r="Z167" s="26"/>
      <c r="AB167" s="23"/>
      <c r="AD167" s="2"/>
      <c r="AF167" s="2"/>
      <c r="AG167" s="23"/>
      <c r="AI167" s="26"/>
      <c r="AJ167" s="23"/>
      <c r="AK167" s="2"/>
      <c r="AM167" s="23"/>
      <c r="AO167" s="32"/>
      <c r="AP167" s="26"/>
      <c r="AR167" s="26"/>
      <c r="AS167" s="24"/>
      <c r="AT167" s="24"/>
      <c r="AU167" s="31"/>
      <c r="AV167" s="24"/>
      <c r="AW167"/>
      <c r="AX167"/>
      <c r="AY167"/>
      <c r="AZ167"/>
      <c r="BA167"/>
      <c r="BB167"/>
      <c r="BC167"/>
      <c r="BD167"/>
      <c r="BE167"/>
      <c r="BF167"/>
      <c r="BG167"/>
    </row>
    <row r="168" spans="1:59" x14ac:dyDescent="0.25">
      <c r="A168" s="2"/>
      <c r="B168" s="22"/>
      <c r="C168" s="23"/>
      <c r="D168" s="2"/>
      <c r="E168" s="23"/>
      <c r="F168" s="24"/>
      <c r="G168" s="2"/>
      <c r="H168" s="10" t="e">
        <f>_xlfn.XLOOKUP(F168,Viloyatlar24[RegionName],Viloyatlar24[RegionId])</f>
        <v>#N/A</v>
      </c>
      <c r="I168" s="10" t="e">
        <f>_xlfn.XLOOKUP('Кўчмас мулк объектлари'!G168,Tumanlar23[DistrictName],Tumanlar23[DistrictId])</f>
        <v>#N/A</v>
      </c>
      <c r="J168" s="2"/>
      <c r="K168" s="24"/>
      <c r="L168" s="10" t="e">
        <f>_xlfn.XLOOKUP(K168,Ташкилотлар39[Ташкилотлар],Ташкилотлар39[TashklilotID])</f>
        <v>#N/A</v>
      </c>
      <c r="M168" s="26"/>
      <c r="N168" s="26"/>
      <c r="O168" s="24"/>
      <c r="P168" s="2"/>
      <c r="Q168" s="26"/>
      <c r="R168" s="26"/>
      <c r="S168" s="26"/>
      <c r="T168" s="26"/>
      <c r="U168" s="24"/>
      <c r="V168" s="10" t="e">
        <f>_xlfn.XLOOKUP(U168,Таклифлар37[Таклифлар],Таклифлар37[TaklifID])</f>
        <v>#N/A</v>
      </c>
      <c r="W168" s="24"/>
      <c r="X168" s="23"/>
      <c r="Y168" s="7"/>
      <c r="Z168" s="26"/>
      <c r="AB168" s="23"/>
      <c r="AD168" s="2"/>
      <c r="AF168" s="2"/>
      <c r="AG168" s="23"/>
      <c r="AI168" s="26"/>
      <c r="AJ168" s="23"/>
      <c r="AK168" s="2"/>
      <c r="AM168" s="23"/>
      <c r="AO168" s="32"/>
      <c r="AP168" s="26"/>
      <c r="AR168" s="26"/>
      <c r="AS168" s="24"/>
      <c r="AT168" s="24"/>
      <c r="AU168" s="31"/>
      <c r="AV168" s="24"/>
      <c r="AW168"/>
      <c r="AX168"/>
      <c r="AY168"/>
      <c r="AZ168"/>
      <c r="BA168"/>
      <c r="BB168"/>
      <c r="BC168"/>
      <c r="BD168"/>
      <c r="BE168"/>
      <c r="BF168"/>
      <c r="BG168"/>
    </row>
    <row r="169" spans="1:59" x14ac:dyDescent="0.25">
      <c r="A169" s="2"/>
      <c r="B169" s="22"/>
      <c r="C169" s="23"/>
      <c r="D169" s="2"/>
      <c r="E169" s="23"/>
      <c r="F169" s="24"/>
      <c r="G169" s="2"/>
      <c r="H169" s="10" t="e">
        <f>_xlfn.XLOOKUP(F169,Viloyatlar24[RegionName],Viloyatlar24[RegionId])</f>
        <v>#N/A</v>
      </c>
      <c r="I169" s="10" t="e">
        <f>_xlfn.XLOOKUP('Кўчмас мулк объектлари'!G169,Tumanlar23[DistrictName],Tumanlar23[DistrictId])</f>
        <v>#N/A</v>
      </c>
      <c r="J169" s="2"/>
      <c r="K169" s="24"/>
      <c r="L169" s="10" t="e">
        <f>_xlfn.XLOOKUP(K169,Ташкилотлар39[Ташкилотлар],Ташкилотлар39[TashklilotID])</f>
        <v>#N/A</v>
      </c>
      <c r="M169" s="26"/>
      <c r="N169" s="26"/>
      <c r="O169" s="24"/>
      <c r="P169" s="2"/>
      <c r="Q169" s="26"/>
      <c r="R169" s="26"/>
      <c r="S169" s="26"/>
      <c r="T169" s="26"/>
      <c r="U169" s="24"/>
      <c r="V169" s="10" t="e">
        <f>_xlfn.XLOOKUP(U169,Таклифлар37[Таклифлар],Таклифлар37[TaklifID])</f>
        <v>#N/A</v>
      </c>
      <c r="W169" s="24"/>
      <c r="X169" s="23"/>
      <c r="Y169" s="7"/>
      <c r="Z169" s="26"/>
      <c r="AB169" s="23"/>
      <c r="AD169" s="2"/>
      <c r="AF169" s="2"/>
      <c r="AG169" s="23"/>
      <c r="AI169" s="26"/>
      <c r="AJ169" s="23"/>
      <c r="AK169" s="2"/>
      <c r="AM169" s="23"/>
      <c r="AO169" s="32"/>
      <c r="AP169" s="26"/>
      <c r="AR169" s="26"/>
      <c r="AS169" s="24"/>
      <c r="AT169" s="24"/>
      <c r="AU169" s="31"/>
      <c r="AV169" s="24"/>
      <c r="AW169"/>
      <c r="AX169"/>
      <c r="AY169"/>
      <c r="AZ169"/>
      <c r="BA169"/>
      <c r="BB169"/>
      <c r="BC169"/>
      <c r="BD169"/>
      <c r="BE169"/>
      <c r="BF169"/>
      <c r="BG169"/>
    </row>
    <row r="170" spans="1:59" x14ac:dyDescent="0.25">
      <c r="A170" s="2"/>
      <c r="B170" s="22"/>
      <c r="C170" s="23"/>
      <c r="D170" s="2"/>
      <c r="E170" s="23"/>
      <c r="F170" s="24"/>
      <c r="G170" s="2"/>
      <c r="H170" s="10" t="e">
        <f>_xlfn.XLOOKUP(F170,Viloyatlar24[RegionName],Viloyatlar24[RegionId])</f>
        <v>#N/A</v>
      </c>
      <c r="I170" s="10" t="e">
        <f>_xlfn.XLOOKUP('Кўчмас мулк объектлари'!G170,Tumanlar23[DistrictName],Tumanlar23[DistrictId])</f>
        <v>#N/A</v>
      </c>
      <c r="J170" s="2"/>
      <c r="K170" s="24"/>
      <c r="L170" s="10" t="e">
        <f>_xlfn.XLOOKUP(K170,Ташкилотлар39[Ташкилотлар],Ташкилотлар39[TashklilotID])</f>
        <v>#N/A</v>
      </c>
      <c r="M170" s="26"/>
      <c r="N170" s="26"/>
      <c r="O170" s="24"/>
      <c r="P170" s="2"/>
      <c r="Q170" s="26"/>
      <c r="R170" s="26"/>
      <c r="S170" s="26"/>
      <c r="T170" s="26"/>
      <c r="U170" s="24"/>
      <c r="V170" s="10" t="e">
        <f>_xlfn.XLOOKUP(U170,Таклифлар37[Таклифлар],Таклифлар37[TaklifID])</f>
        <v>#N/A</v>
      </c>
      <c r="W170" s="24"/>
      <c r="X170" s="23"/>
      <c r="Y170" s="7"/>
      <c r="Z170" s="26"/>
      <c r="AB170" s="23"/>
      <c r="AD170" s="2"/>
      <c r="AF170" s="2"/>
      <c r="AG170" s="23"/>
      <c r="AI170" s="26"/>
      <c r="AJ170" s="23"/>
      <c r="AK170" s="2"/>
      <c r="AM170" s="23"/>
      <c r="AO170" s="32"/>
      <c r="AP170" s="26"/>
      <c r="AR170" s="26"/>
      <c r="AS170" s="24"/>
      <c r="AT170" s="24"/>
      <c r="AU170" s="31"/>
      <c r="AV170" s="24"/>
      <c r="AW170"/>
      <c r="AX170"/>
      <c r="AY170"/>
      <c r="AZ170"/>
      <c r="BA170"/>
      <c r="BB170"/>
      <c r="BC170"/>
      <c r="BD170"/>
      <c r="BE170"/>
      <c r="BF170"/>
      <c r="BG170"/>
    </row>
    <row r="171" spans="1:59" x14ac:dyDescent="0.25">
      <c r="A171" s="2"/>
      <c r="B171" s="22"/>
      <c r="C171" s="23"/>
      <c r="D171" s="2"/>
      <c r="E171" s="23"/>
      <c r="F171" s="24"/>
      <c r="G171" s="2"/>
      <c r="H171" s="10" t="e">
        <f>_xlfn.XLOOKUP(F171,Viloyatlar24[RegionName],Viloyatlar24[RegionId])</f>
        <v>#N/A</v>
      </c>
      <c r="I171" s="10" t="e">
        <f>_xlfn.XLOOKUP('Кўчмас мулк объектлари'!G171,Tumanlar23[DistrictName],Tumanlar23[DistrictId])</f>
        <v>#N/A</v>
      </c>
      <c r="J171" s="2"/>
      <c r="K171" s="24"/>
      <c r="L171" s="10" t="e">
        <f>_xlfn.XLOOKUP(K171,Ташкилотлар39[Ташкилотлар],Ташкилотлар39[TashklilotID])</f>
        <v>#N/A</v>
      </c>
      <c r="M171" s="26"/>
      <c r="N171" s="26"/>
      <c r="O171" s="24"/>
      <c r="P171" s="2"/>
      <c r="Q171" s="26"/>
      <c r="R171" s="26"/>
      <c r="S171" s="26"/>
      <c r="T171" s="26"/>
      <c r="U171" s="24"/>
      <c r="V171" s="10" t="e">
        <f>_xlfn.XLOOKUP(U171,Таклифлар37[Таклифлар],Таклифлар37[TaklifID])</f>
        <v>#N/A</v>
      </c>
      <c r="W171" s="24"/>
      <c r="X171" s="23"/>
      <c r="Y171" s="7"/>
      <c r="Z171" s="26"/>
      <c r="AB171" s="23"/>
      <c r="AD171" s="2"/>
      <c r="AF171" s="2"/>
      <c r="AG171" s="23"/>
      <c r="AI171" s="26"/>
      <c r="AJ171" s="23"/>
      <c r="AK171" s="2"/>
      <c r="AM171" s="23"/>
      <c r="AO171" s="32"/>
      <c r="AP171" s="26"/>
      <c r="AR171" s="26"/>
      <c r="AS171" s="24"/>
      <c r="AT171" s="24"/>
      <c r="AU171" s="31"/>
      <c r="AV171" s="24"/>
      <c r="AW171"/>
      <c r="AX171"/>
      <c r="AY171"/>
      <c r="AZ171"/>
      <c r="BA171"/>
      <c r="BB171"/>
      <c r="BC171"/>
      <c r="BD171"/>
      <c r="BE171"/>
      <c r="BF171"/>
      <c r="BG171"/>
    </row>
    <row r="172" spans="1:59" x14ac:dyDescent="0.25">
      <c r="A172" s="2"/>
      <c r="B172" s="22"/>
      <c r="C172" s="23"/>
      <c r="D172" s="2"/>
      <c r="E172" s="23"/>
      <c r="F172" s="24"/>
      <c r="G172" s="2"/>
      <c r="H172" s="10" t="e">
        <f>_xlfn.XLOOKUP(F172,Viloyatlar24[RegionName],Viloyatlar24[RegionId])</f>
        <v>#N/A</v>
      </c>
      <c r="I172" s="10" t="e">
        <f>_xlfn.XLOOKUP('Кўчмас мулк объектлари'!G172,Tumanlar23[DistrictName],Tumanlar23[DistrictId])</f>
        <v>#N/A</v>
      </c>
      <c r="J172" s="2"/>
      <c r="K172" s="24"/>
      <c r="L172" s="10" t="e">
        <f>_xlfn.XLOOKUP(K172,Ташкилотлар39[Ташкилотлар],Ташкилотлар39[TashklilotID])</f>
        <v>#N/A</v>
      </c>
      <c r="M172" s="26"/>
      <c r="N172" s="26"/>
      <c r="O172" s="24"/>
      <c r="P172" s="2"/>
      <c r="Q172" s="26"/>
      <c r="R172" s="26"/>
      <c r="S172" s="26"/>
      <c r="T172" s="26"/>
      <c r="U172" s="24"/>
      <c r="V172" s="10" t="e">
        <f>_xlfn.XLOOKUP(U172,Таклифлар37[Таклифлар],Таклифлар37[TaklifID])</f>
        <v>#N/A</v>
      </c>
      <c r="W172" s="24"/>
      <c r="X172" s="23"/>
      <c r="Y172" s="7"/>
      <c r="Z172" s="26"/>
      <c r="AB172" s="23"/>
      <c r="AD172" s="2"/>
      <c r="AF172" s="2"/>
      <c r="AG172" s="23"/>
      <c r="AI172" s="26"/>
      <c r="AJ172" s="23"/>
      <c r="AK172" s="2"/>
      <c r="AM172" s="23"/>
      <c r="AO172" s="32"/>
      <c r="AP172" s="26"/>
      <c r="AR172" s="26"/>
      <c r="AS172" s="24"/>
      <c r="AT172" s="24"/>
      <c r="AU172" s="31"/>
      <c r="AV172" s="24"/>
      <c r="AW172"/>
      <c r="AX172"/>
      <c r="AY172"/>
      <c r="AZ172"/>
      <c r="BA172"/>
      <c r="BB172"/>
      <c r="BC172"/>
      <c r="BD172"/>
      <c r="BE172"/>
      <c r="BF172"/>
      <c r="BG172"/>
    </row>
    <row r="173" spans="1:59" x14ac:dyDescent="0.25">
      <c r="A173" s="2"/>
      <c r="B173" s="22"/>
      <c r="C173" s="23"/>
      <c r="D173" s="2"/>
      <c r="E173" s="23"/>
      <c r="F173" s="24"/>
      <c r="G173" s="2"/>
      <c r="H173" s="10" t="e">
        <f>_xlfn.XLOOKUP(F173,Viloyatlar24[RegionName],Viloyatlar24[RegionId])</f>
        <v>#N/A</v>
      </c>
      <c r="I173" s="10" t="e">
        <f>_xlfn.XLOOKUP('Кўчмас мулк объектлари'!G173,Tumanlar23[DistrictName],Tumanlar23[DistrictId])</f>
        <v>#N/A</v>
      </c>
      <c r="J173" s="2"/>
      <c r="K173" s="24"/>
      <c r="L173" s="10" t="e">
        <f>_xlfn.XLOOKUP(K173,Ташкилотлар39[Ташкилотлар],Ташкилотлар39[TashklilotID])</f>
        <v>#N/A</v>
      </c>
      <c r="M173" s="26"/>
      <c r="N173" s="26"/>
      <c r="O173" s="24"/>
      <c r="P173" s="2"/>
      <c r="Q173" s="26"/>
      <c r="R173" s="26"/>
      <c r="S173" s="26"/>
      <c r="T173" s="26"/>
      <c r="U173" s="24"/>
      <c r="V173" s="10" t="e">
        <f>_xlfn.XLOOKUP(U173,Таклифлар37[Таклифлар],Таклифлар37[TaklifID])</f>
        <v>#N/A</v>
      </c>
      <c r="W173" s="24"/>
      <c r="X173" s="23"/>
      <c r="Y173" s="7"/>
      <c r="Z173" s="26"/>
      <c r="AB173" s="23"/>
      <c r="AD173" s="2"/>
      <c r="AF173" s="2"/>
      <c r="AG173" s="23"/>
      <c r="AI173" s="26"/>
      <c r="AJ173" s="23"/>
      <c r="AK173" s="2"/>
      <c r="AM173" s="23"/>
      <c r="AO173" s="32"/>
      <c r="AP173" s="26"/>
      <c r="AR173" s="26"/>
      <c r="AS173" s="24"/>
      <c r="AT173" s="24"/>
      <c r="AU173" s="31"/>
      <c r="AV173" s="24"/>
      <c r="AW173"/>
      <c r="AX173"/>
      <c r="AY173"/>
      <c r="AZ173"/>
      <c r="BA173"/>
      <c r="BB173"/>
      <c r="BC173"/>
      <c r="BD173"/>
      <c r="BE173"/>
      <c r="BF173"/>
      <c r="BG173"/>
    </row>
    <row r="174" spans="1:59" x14ac:dyDescent="0.25">
      <c r="A174" s="2"/>
      <c r="B174" s="22"/>
      <c r="C174" s="23"/>
      <c r="D174" s="2"/>
      <c r="E174" s="23"/>
      <c r="F174" s="24"/>
      <c r="G174" s="2"/>
      <c r="H174" s="10" t="e">
        <f>_xlfn.XLOOKUP(F174,Viloyatlar24[RegionName],Viloyatlar24[RegionId])</f>
        <v>#N/A</v>
      </c>
      <c r="I174" s="10" t="e">
        <f>_xlfn.XLOOKUP('Кўчмас мулк объектлари'!G174,Tumanlar23[DistrictName],Tumanlar23[DistrictId])</f>
        <v>#N/A</v>
      </c>
      <c r="J174" s="2"/>
      <c r="K174" s="24"/>
      <c r="L174" s="10" t="e">
        <f>_xlfn.XLOOKUP(K174,Ташкилотлар39[Ташкилотлар],Ташкилотлар39[TashklilotID])</f>
        <v>#N/A</v>
      </c>
      <c r="M174" s="26"/>
      <c r="N174" s="26"/>
      <c r="O174" s="24"/>
      <c r="P174" s="2"/>
      <c r="Q174" s="26"/>
      <c r="R174" s="26"/>
      <c r="S174" s="26"/>
      <c r="T174" s="26"/>
      <c r="U174" s="24"/>
      <c r="V174" s="10" t="e">
        <f>_xlfn.XLOOKUP(U174,Таклифлар37[Таклифлар],Таклифлар37[TaklifID])</f>
        <v>#N/A</v>
      </c>
      <c r="W174" s="24"/>
      <c r="X174" s="23"/>
      <c r="Y174" s="7"/>
      <c r="Z174" s="26"/>
      <c r="AB174" s="23"/>
      <c r="AD174" s="2"/>
      <c r="AF174" s="2"/>
      <c r="AG174" s="23"/>
      <c r="AI174" s="26"/>
      <c r="AJ174" s="23"/>
      <c r="AK174" s="2"/>
      <c r="AM174" s="23"/>
      <c r="AO174" s="32"/>
      <c r="AP174" s="26"/>
      <c r="AR174" s="26"/>
      <c r="AS174" s="24"/>
      <c r="AT174" s="24"/>
      <c r="AU174" s="31"/>
      <c r="AV174" s="24"/>
      <c r="AW174"/>
      <c r="AX174"/>
      <c r="AY174"/>
      <c r="AZ174"/>
      <c r="BA174"/>
      <c r="BB174"/>
      <c r="BC174"/>
      <c r="BD174"/>
      <c r="BE174"/>
      <c r="BF174"/>
      <c r="BG174"/>
    </row>
    <row r="175" spans="1:59" x14ac:dyDescent="0.25">
      <c r="A175" s="2"/>
      <c r="B175" s="22"/>
      <c r="C175" s="23"/>
      <c r="D175" s="2"/>
      <c r="E175" s="23"/>
      <c r="F175" s="24"/>
      <c r="G175" s="2"/>
      <c r="H175" s="10" t="e">
        <f>_xlfn.XLOOKUP(F175,Viloyatlar24[RegionName],Viloyatlar24[RegionId])</f>
        <v>#N/A</v>
      </c>
      <c r="I175" s="10" t="e">
        <f>_xlfn.XLOOKUP('Кўчмас мулк объектлари'!G175,Tumanlar23[DistrictName],Tumanlar23[DistrictId])</f>
        <v>#N/A</v>
      </c>
      <c r="J175" s="2"/>
      <c r="K175" s="24"/>
      <c r="L175" s="10" t="e">
        <f>_xlfn.XLOOKUP(K175,Ташкилотлар39[Ташкилотлар],Ташкилотлар39[TashklilotID])</f>
        <v>#N/A</v>
      </c>
      <c r="M175" s="26"/>
      <c r="N175" s="26"/>
      <c r="O175" s="24"/>
      <c r="P175" s="2"/>
      <c r="Q175" s="26"/>
      <c r="R175" s="26"/>
      <c r="S175" s="26"/>
      <c r="T175" s="26"/>
      <c r="U175" s="24"/>
      <c r="V175" s="10" t="e">
        <f>_xlfn.XLOOKUP(U175,Таклифлар37[Таклифлар],Таклифлар37[TaklifID])</f>
        <v>#N/A</v>
      </c>
      <c r="W175" s="24"/>
      <c r="X175" s="23"/>
      <c r="Y175" s="7"/>
      <c r="Z175" s="26"/>
      <c r="AB175" s="23"/>
      <c r="AD175" s="2"/>
      <c r="AF175" s="2"/>
      <c r="AG175" s="23"/>
      <c r="AI175" s="26"/>
      <c r="AJ175" s="23"/>
      <c r="AK175" s="2"/>
      <c r="AM175" s="23"/>
      <c r="AO175" s="32"/>
      <c r="AP175" s="26"/>
      <c r="AR175" s="26"/>
      <c r="AS175" s="24"/>
      <c r="AT175" s="24"/>
      <c r="AU175" s="31"/>
      <c r="AV175" s="24"/>
      <c r="AW175"/>
      <c r="AX175"/>
      <c r="AY175"/>
      <c r="AZ175"/>
      <c r="BA175"/>
      <c r="BB175"/>
      <c r="BC175"/>
      <c r="BD175"/>
      <c r="BE175"/>
      <c r="BF175"/>
      <c r="BG175"/>
    </row>
    <row r="176" spans="1:59" x14ac:dyDescent="0.25">
      <c r="A176" s="2"/>
      <c r="B176" s="22"/>
      <c r="C176" s="23"/>
      <c r="D176" s="2"/>
      <c r="E176" s="23"/>
      <c r="F176" s="24"/>
      <c r="G176" s="2"/>
      <c r="H176" s="10" t="e">
        <f>_xlfn.XLOOKUP(F176,Viloyatlar24[RegionName],Viloyatlar24[RegionId])</f>
        <v>#N/A</v>
      </c>
      <c r="I176" s="10" t="e">
        <f>_xlfn.XLOOKUP('Кўчмас мулк объектлари'!G176,Tumanlar23[DistrictName],Tumanlar23[DistrictId])</f>
        <v>#N/A</v>
      </c>
      <c r="J176" s="2"/>
      <c r="K176" s="24"/>
      <c r="L176" s="10" t="e">
        <f>_xlfn.XLOOKUP(K176,Ташкилотлар39[Ташкилотлар],Ташкилотлар39[TashklilotID])</f>
        <v>#N/A</v>
      </c>
      <c r="M176" s="26"/>
      <c r="N176" s="26"/>
      <c r="O176" s="24"/>
      <c r="P176" s="2"/>
      <c r="Q176" s="26"/>
      <c r="R176" s="26"/>
      <c r="S176" s="26"/>
      <c r="T176" s="26"/>
      <c r="U176" s="24"/>
      <c r="V176" s="10" t="e">
        <f>_xlfn.XLOOKUP(U176,Таклифлар37[Таклифлар],Таклифлар37[TaklifID])</f>
        <v>#N/A</v>
      </c>
      <c r="W176" s="24"/>
      <c r="X176" s="23"/>
      <c r="Y176" s="7"/>
      <c r="Z176" s="26"/>
      <c r="AB176" s="23"/>
      <c r="AD176" s="2"/>
      <c r="AF176" s="2"/>
      <c r="AG176" s="23"/>
      <c r="AI176" s="26"/>
      <c r="AJ176" s="23"/>
      <c r="AK176" s="2"/>
      <c r="AM176" s="23"/>
      <c r="AO176" s="32"/>
      <c r="AP176" s="26"/>
      <c r="AR176" s="26"/>
      <c r="AS176" s="24"/>
      <c r="AT176" s="24"/>
      <c r="AU176" s="31"/>
      <c r="AV176" s="24"/>
      <c r="AW176"/>
      <c r="AX176"/>
      <c r="AY176"/>
      <c r="AZ176"/>
      <c r="BA176"/>
      <c r="BB176"/>
      <c r="BC176"/>
      <c r="BD176"/>
      <c r="BE176"/>
      <c r="BF176"/>
      <c r="BG176"/>
    </row>
    <row r="177" spans="1:59" x14ac:dyDescent="0.25">
      <c r="A177" s="2"/>
      <c r="B177" s="22"/>
      <c r="C177" s="23"/>
      <c r="D177" s="2"/>
      <c r="E177" s="23"/>
      <c r="F177" s="24"/>
      <c r="G177" s="2"/>
      <c r="H177" s="10" t="e">
        <f>_xlfn.XLOOKUP(F177,Viloyatlar24[RegionName],Viloyatlar24[RegionId])</f>
        <v>#N/A</v>
      </c>
      <c r="I177" s="10" t="e">
        <f>_xlfn.XLOOKUP('Кўчмас мулк объектлари'!G177,Tumanlar23[DistrictName],Tumanlar23[DistrictId])</f>
        <v>#N/A</v>
      </c>
      <c r="J177" s="2"/>
      <c r="K177" s="24"/>
      <c r="L177" s="10" t="e">
        <f>_xlfn.XLOOKUP(K177,Ташкилотлар39[Ташкилотлар],Ташкилотлар39[TashklilotID])</f>
        <v>#N/A</v>
      </c>
      <c r="M177" s="26"/>
      <c r="N177" s="26"/>
      <c r="O177" s="24"/>
      <c r="P177" s="2"/>
      <c r="Q177" s="26"/>
      <c r="R177" s="26"/>
      <c r="S177" s="26"/>
      <c r="T177" s="26"/>
      <c r="U177" s="24"/>
      <c r="V177" s="10" t="e">
        <f>_xlfn.XLOOKUP(U177,Таклифлар37[Таклифлар],Таклифлар37[TaklifID])</f>
        <v>#N/A</v>
      </c>
      <c r="W177" s="24"/>
      <c r="X177" s="23"/>
      <c r="Y177" s="7"/>
      <c r="Z177" s="26"/>
      <c r="AB177" s="23"/>
      <c r="AD177" s="2"/>
      <c r="AF177" s="2"/>
      <c r="AG177" s="23"/>
      <c r="AI177" s="26"/>
      <c r="AJ177" s="23"/>
      <c r="AK177" s="2"/>
      <c r="AM177" s="23"/>
      <c r="AO177" s="32"/>
      <c r="AP177" s="26"/>
      <c r="AR177" s="26"/>
      <c r="AS177" s="24"/>
      <c r="AT177" s="24"/>
      <c r="AU177" s="31"/>
      <c r="AV177" s="24"/>
      <c r="AW177"/>
      <c r="AX177"/>
      <c r="AY177"/>
      <c r="AZ177"/>
      <c r="BA177"/>
      <c r="BB177"/>
      <c r="BC177"/>
      <c r="BD177"/>
      <c r="BE177"/>
      <c r="BF177"/>
      <c r="BG177"/>
    </row>
    <row r="178" spans="1:59" x14ac:dyDescent="0.25">
      <c r="A178" s="2"/>
      <c r="B178" s="22"/>
      <c r="C178" s="23"/>
      <c r="D178" s="2"/>
      <c r="E178" s="23"/>
      <c r="F178" s="24"/>
      <c r="G178" s="2"/>
      <c r="H178" s="10" t="e">
        <f>_xlfn.XLOOKUP(F178,Viloyatlar24[RegionName],Viloyatlar24[RegionId])</f>
        <v>#N/A</v>
      </c>
      <c r="I178" s="10" t="e">
        <f>_xlfn.XLOOKUP('Кўчмас мулк объектлари'!G178,Tumanlar23[DistrictName],Tumanlar23[DistrictId])</f>
        <v>#N/A</v>
      </c>
      <c r="J178" s="2"/>
      <c r="K178" s="24"/>
      <c r="L178" s="10" t="e">
        <f>_xlfn.XLOOKUP(K178,Ташкилотлар39[Ташкилотлар],Ташкилотлар39[TashklilotID])</f>
        <v>#N/A</v>
      </c>
      <c r="M178" s="26"/>
      <c r="N178" s="26"/>
      <c r="O178" s="24"/>
      <c r="P178" s="2"/>
      <c r="Q178" s="26"/>
      <c r="R178" s="26"/>
      <c r="S178" s="26"/>
      <c r="T178" s="26"/>
      <c r="U178" s="24"/>
      <c r="V178" s="10" t="e">
        <f>_xlfn.XLOOKUP(U178,Таклифлар37[Таклифлар],Таклифлар37[TaklifID])</f>
        <v>#N/A</v>
      </c>
      <c r="W178" s="24"/>
      <c r="X178" s="23"/>
      <c r="Y178" s="7"/>
      <c r="Z178" s="26"/>
      <c r="AB178" s="23"/>
      <c r="AD178" s="2"/>
      <c r="AF178" s="2"/>
      <c r="AG178" s="23"/>
      <c r="AI178" s="26"/>
      <c r="AJ178" s="23"/>
      <c r="AK178" s="2"/>
      <c r="AM178" s="23"/>
      <c r="AO178" s="32"/>
      <c r="AP178" s="26"/>
      <c r="AR178" s="26"/>
      <c r="AS178" s="24"/>
      <c r="AT178" s="24"/>
      <c r="AU178" s="31"/>
      <c r="AV178" s="24"/>
      <c r="AW178"/>
      <c r="AX178"/>
      <c r="AY178"/>
      <c r="AZ178"/>
      <c r="BA178"/>
      <c r="BB178"/>
      <c r="BC178"/>
      <c r="BD178"/>
      <c r="BE178"/>
      <c r="BF178"/>
      <c r="BG178"/>
    </row>
    <row r="179" spans="1:59" x14ac:dyDescent="0.25">
      <c r="A179" s="2"/>
      <c r="B179" s="22"/>
      <c r="C179" s="23"/>
      <c r="D179" s="2"/>
      <c r="E179" s="23"/>
      <c r="F179" s="24"/>
      <c r="G179" s="2"/>
      <c r="H179" s="10" t="e">
        <f>_xlfn.XLOOKUP(F179,Viloyatlar24[RegionName],Viloyatlar24[RegionId])</f>
        <v>#N/A</v>
      </c>
      <c r="I179" s="10" t="e">
        <f>_xlfn.XLOOKUP('Кўчмас мулк объектлари'!G179,Tumanlar23[DistrictName],Tumanlar23[DistrictId])</f>
        <v>#N/A</v>
      </c>
      <c r="J179" s="2"/>
      <c r="K179" s="24"/>
      <c r="L179" s="10" t="e">
        <f>_xlfn.XLOOKUP(K179,Ташкилотлар39[Ташкилотлар],Ташкилотлар39[TashklilotID])</f>
        <v>#N/A</v>
      </c>
      <c r="M179" s="26"/>
      <c r="N179" s="26"/>
      <c r="O179" s="24"/>
      <c r="P179" s="2"/>
      <c r="Q179" s="26"/>
      <c r="R179" s="26"/>
      <c r="S179" s="26"/>
      <c r="T179" s="26"/>
      <c r="U179" s="24"/>
      <c r="V179" s="10" t="e">
        <f>_xlfn.XLOOKUP(U179,Таклифлар37[Таклифлар],Таклифлар37[TaklifID])</f>
        <v>#N/A</v>
      </c>
      <c r="W179" s="24"/>
      <c r="X179" s="23"/>
      <c r="Y179" s="7"/>
      <c r="Z179" s="26"/>
      <c r="AB179" s="23"/>
      <c r="AD179" s="2"/>
      <c r="AF179" s="2"/>
      <c r="AG179" s="23"/>
      <c r="AI179" s="26"/>
      <c r="AJ179" s="23"/>
      <c r="AK179" s="2"/>
      <c r="AM179" s="23"/>
      <c r="AO179" s="32"/>
      <c r="AP179" s="26"/>
      <c r="AR179" s="26"/>
      <c r="AS179" s="24"/>
      <c r="AT179" s="24"/>
      <c r="AU179" s="31"/>
      <c r="AV179" s="24"/>
      <c r="AW179"/>
      <c r="AX179"/>
      <c r="AY179"/>
      <c r="AZ179"/>
      <c r="BA179"/>
      <c r="BB179"/>
      <c r="BC179"/>
      <c r="BD179"/>
      <c r="BE179"/>
      <c r="BF179"/>
      <c r="BG179"/>
    </row>
    <row r="180" spans="1:59" x14ac:dyDescent="0.25">
      <c r="A180" s="2"/>
      <c r="B180" s="22"/>
      <c r="C180" s="23"/>
      <c r="D180" s="2"/>
      <c r="E180" s="23"/>
      <c r="F180" s="24"/>
      <c r="G180" s="2"/>
      <c r="H180" s="10" t="e">
        <f>_xlfn.XLOOKUP(F180,Viloyatlar24[RegionName],Viloyatlar24[RegionId])</f>
        <v>#N/A</v>
      </c>
      <c r="I180" s="10" t="e">
        <f>_xlfn.XLOOKUP('Кўчмас мулк объектлари'!G180,Tumanlar23[DistrictName],Tumanlar23[DistrictId])</f>
        <v>#N/A</v>
      </c>
      <c r="J180" s="2"/>
      <c r="K180" s="24"/>
      <c r="L180" s="10" t="e">
        <f>_xlfn.XLOOKUP(K180,Ташкилотлар39[Ташкилотлар],Ташкилотлар39[TashklilotID])</f>
        <v>#N/A</v>
      </c>
      <c r="M180" s="26"/>
      <c r="N180" s="26"/>
      <c r="O180" s="24"/>
      <c r="P180" s="2"/>
      <c r="Q180" s="26"/>
      <c r="R180" s="26"/>
      <c r="S180" s="26"/>
      <c r="T180" s="26"/>
      <c r="U180" s="24"/>
      <c r="V180" s="10" t="e">
        <f>_xlfn.XLOOKUP(U180,Таклифлар37[Таклифлар],Таклифлар37[TaklifID])</f>
        <v>#N/A</v>
      </c>
      <c r="W180" s="24"/>
      <c r="X180" s="23"/>
      <c r="Y180" s="7"/>
      <c r="Z180" s="26"/>
      <c r="AB180" s="23"/>
      <c r="AD180" s="2"/>
      <c r="AF180" s="2"/>
      <c r="AG180" s="23"/>
      <c r="AI180" s="26"/>
      <c r="AJ180" s="23"/>
      <c r="AK180" s="2"/>
      <c r="AM180" s="23"/>
      <c r="AO180" s="32"/>
      <c r="AP180" s="26"/>
      <c r="AR180" s="26"/>
      <c r="AS180" s="24"/>
      <c r="AT180" s="24"/>
      <c r="AU180" s="31"/>
      <c r="AV180" s="24"/>
      <c r="AW180"/>
      <c r="AX180"/>
      <c r="AY180"/>
      <c r="AZ180"/>
      <c r="BA180"/>
      <c r="BB180"/>
      <c r="BC180"/>
      <c r="BD180"/>
      <c r="BE180"/>
      <c r="BF180"/>
      <c r="BG180"/>
    </row>
    <row r="181" spans="1:59" x14ac:dyDescent="0.25">
      <c r="A181" s="2"/>
      <c r="B181" s="22"/>
      <c r="C181" s="23"/>
      <c r="D181" s="2"/>
      <c r="E181" s="23"/>
      <c r="F181" s="24"/>
      <c r="G181" s="2"/>
      <c r="H181" s="10" t="e">
        <f>_xlfn.XLOOKUP(F181,Viloyatlar24[RegionName],Viloyatlar24[RegionId])</f>
        <v>#N/A</v>
      </c>
      <c r="I181" s="10" t="e">
        <f>_xlfn.XLOOKUP('Кўчмас мулк объектлари'!G181,Tumanlar23[DistrictName],Tumanlar23[DistrictId])</f>
        <v>#N/A</v>
      </c>
      <c r="J181" s="2"/>
      <c r="K181" s="24"/>
      <c r="L181" s="10" t="e">
        <f>_xlfn.XLOOKUP(K181,Ташкилотлар39[Ташкилотлар],Ташкилотлар39[TashklilotID])</f>
        <v>#N/A</v>
      </c>
      <c r="M181" s="26"/>
      <c r="N181" s="26"/>
      <c r="O181" s="24"/>
      <c r="P181" s="2"/>
      <c r="Q181" s="26"/>
      <c r="R181" s="26"/>
      <c r="S181" s="26"/>
      <c r="T181" s="26"/>
      <c r="U181" s="24"/>
      <c r="V181" s="10" t="e">
        <f>_xlfn.XLOOKUP(U181,Таклифлар37[Таклифлар],Таклифлар37[TaklifID])</f>
        <v>#N/A</v>
      </c>
      <c r="W181" s="24"/>
      <c r="X181" s="23"/>
      <c r="Y181" s="7"/>
      <c r="Z181" s="26"/>
      <c r="AB181" s="23"/>
      <c r="AD181" s="2"/>
      <c r="AF181" s="2"/>
      <c r="AG181" s="23"/>
      <c r="AI181" s="26"/>
      <c r="AJ181" s="23"/>
      <c r="AK181" s="2"/>
      <c r="AM181" s="23"/>
      <c r="AO181" s="32"/>
      <c r="AP181" s="26"/>
      <c r="AR181" s="26"/>
      <c r="AS181" s="24"/>
      <c r="AT181" s="24"/>
      <c r="AU181" s="31"/>
      <c r="AV181" s="24"/>
      <c r="AW181"/>
      <c r="AX181"/>
      <c r="AY181"/>
      <c r="AZ181"/>
      <c r="BA181"/>
      <c r="BB181"/>
      <c r="BC181"/>
      <c r="BD181"/>
      <c r="BE181"/>
      <c r="BF181"/>
      <c r="BG181"/>
    </row>
    <row r="182" spans="1:59" x14ac:dyDescent="0.25">
      <c r="A182" s="2"/>
      <c r="B182" s="22"/>
      <c r="C182" s="23"/>
      <c r="D182" s="2"/>
      <c r="E182" s="23"/>
      <c r="F182" s="24"/>
      <c r="G182" s="2"/>
      <c r="H182" s="10" t="e">
        <f>_xlfn.XLOOKUP(F182,Viloyatlar24[RegionName],Viloyatlar24[RegionId])</f>
        <v>#N/A</v>
      </c>
      <c r="I182" s="10" t="e">
        <f>_xlfn.XLOOKUP('Кўчмас мулк объектлари'!G182,Tumanlar23[DistrictName],Tumanlar23[DistrictId])</f>
        <v>#N/A</v>
      </c>
      <c r="J182" s="2"/>
      <c r="K182" s="24"/>
      <c r="L182" s="10" t="e">
        <f>_xlfn.XLOOKUP(K182,Ташкилотлар39[Ташкилотлар],Ташкилотлар39[TashklilotID])</f>
        <v>#N/A</v>
      </c>
      <c r="M182" s="26"/>
      <c r="N182" s="26"/>
      <c r="O182" s="24"/>
      <c r="P182" s="2"/>
      <c r="Q182" s="26"/>
      <c r="R182" s="26"/>
      <c r="S182" s="26"/>
      <c r="T182" s="26"/>
      <c r="U182" s="24"/>
      <c r="V182" s="10" t="e">
        <f>_xlfn.XLOOKUP(U182,Таклифлар37[Таклифлар],Таклифлар37[TaklifID])</f>
        <v>#N/A</v>
      </c>
      <c r="W182" s="24"/>
      <c r="X182" s="23"/>
      <c r="Y182" s="7"/>
      <c r="Z182" s="26"/>
      <c r="AB182" s="23"/>
      <c r="AD182" s="2"/>
      <c r="AF182" s="2"/>
      <c r="AG182" s="23"/>
      <c r="AI182" s="26"/>
      <c r="AJ182" s="23"/>
      <c r="AK182" s="2"/>
      <c r="AM182" s="23"/>
      <c r="AO182" s="32"/>
      <c r="AP182" s="26"/>
      <c r="AR182" s="26"/>
      <c r="AS182" s="24"/>
      <c r="AT182" s="24"/>
      <c r="AU182" s="31"/>
      <c r="AV182" s="24"/>
      <c r="AW182"/>
      <c r="AX182"/>
      <c r="AY182"/>
      <c r="AZ182"/>
      <c r="BA182"/>
      <c r="BB182"/>
      <c r="BC182"/>
      <c r="BD182"/>
      <c r="BE182"/>
      <c r="BF182"/>
      <c r="BG182"/>
    </row>
    <row r="183" spans="1:59" x14ac:dyDescent="0.25">
      <c r="A183" s="2"/>
      <c r="B183" s="22"/>
      <c r="C183" s="23"/>
      <c r="D183" s="2"/>
      <c r="E183" s="23"/>
      <c r="F183" s="24"/>
      <c r="G183" s="2"/>
      <c r="H183" s="10" t="e">
        <f>_xlfn.XLOOKUP(F183,Viloyatlar24[RegionName],Viloyatlar24[RegionId])</f>
        <v>#N/A</v>
      </c>
      <c r="I183" s="10" t="e">
        <f>_xlfn.XLOOKUP('Кўчмас мулк объектлари'!G183,Tumanlar23[DistrictName],Tumanlar23[DistrictId])</f>
        <v>#N/A</v>
      </c>
      <c r="J183" s="2"/>
      <c r="K183" s="24"/>
      <c r="L183" s="10" t="e">
        <f>_xlfn.XLOOKUP(K183,Ташкилотлар39[Ташкилотлар],Ташкилотлар39[TashklilotID])</f>
        <v>#N/A</v>
      </c>
      <c r="M183" s="26"/>
      <c r="N183" s="26"/>
      <c r="O183" s="24"/>
      <c r="P183" s="2"/>
      <c r="Q183" s="26"/>
      <c r="R183" s="26"/>
      <c r="S183" s="26"/>
      <c r="T183" s="26"/>
      <c r="U183" s="24"/>
      <c r="V183" s="10" t="e">
        <f>_xlfn.XLOOKUP(U183,Таклифлар37[Таклифлар],Таклифлар37[TaklifID])</f>
        <v>#N/A</v>
      </c>
      <c r="W183" s="24"/>
      <c r="X183" s="23"/>
      <c r="Y183" s="7"/>
      <c r="Z183" s="26"/>
      <c r="AB183" s="23"/>
      <c r="AD183" s="2"/>
      <c r="AF183" s="2"/>
      <c r="AG183" s="23"/>
      <c r="AI183" s="26"/>
      <c r="AJ183" s="23"/>
      <c r="AK183" s="2"/>
      <c r="AM183" s="23"/>
      <c r="AO183" s="32"/>
      <c r="AP183" s="26"/>
      <c r="AR183" s="26"/>
      <c r="AS183" s="24"/>
      <c r="AT183" s="24"/>
      <c r="AU183" s="31"/>
      <c r="AV183" s="24"/>
      <c r="AW183"/>
      <c r="AX183"/>
      <c r="AY183"/>
      <c r="AZ183"/>
      <c r="BA183"/>
      <c r="BB183"/>
      <c r="BC183"/>
      <c r="BD183"/>
      <c r="BE183"/>
      <c r="BF183"/>
      <c r="BG183"/>
    </row>
    <row r="184" spans="1:59" x14ac:dyDescent="0.25">
      <c r="A184" s="2"/>
      <c r="B184" s="22"/>
      <c r="C184" s="23"/>
      <c r="D184" s="2"/>
      <c r="E184" s="23"/>
      <c r="F184" s="24"/>
      <c r="G184" s="2"/>
      <c r="H184" s="10" t="e">
        <f>_xlfn.XLOOKUP(F184,Viloyatlar24[RegionName],Viloyatlar24[RegionId])</f>
        <v>#N/A</v>
      </c>
      <c r="I184" s="10" t="e">
        <f>_xlfn.XLOOKUP('Кўчмас мулк объектлари'!G184,Tumanlar23[DistrictName],Tumanlar23[DistrictId])</f>
        <v>#N/A</v>
      </c>
      <c r="J184" s="2"/>
      <c r="K184" s="24"/>
      <c r="L184" s="10" t="e">
        <f>_xlfn.XLOOKUP(K184,Ташкилотлар39[Ташкилотлар],Ташкилотлар39[TashklilotID])</f>
        <v>#N/A</v>
      </c>
      <c r="M184" s="26"/>
      <c r="N184" s="26"/>
      <c r="O184" s="24"/>
      <c r="P184" s="2"/>
      <c r="Q184" s="26"/>
      <c r="R184" s="26"/>
      <c r="S184" s="26"/>
      <c r="T184" s="26"/>
      <c r="U184" s="24"/>
      <c r="V184" s="10" t="e">
        <f>_xlfn.XLOOKUP(U184,Таклифлар37[Таклифлар],Таклифлар37[TaklifID])</f>
        <v>#N/A</v>
      </c>
      <c r="W184" s="24"/>
      <c r="X184" s="23"/>
      <c r="Y184" s="7"/>
      <c r="Z184" s="26"/>
      <c r="AB184" s="23"/>
      <c r="AD184" s="2"/>
      <c r="AF184" s="2"/>
      <c r="AG184" s="23"/>
      <c r="AI184" s="26"/>
      <c r="AJ184" s="23"/>
      <c r="AK184" s="2"/>
      <c r="AM184" s="23"/>
      <c r="AO184" s="32"/>
      <c r="AP184" s="26"/>
      <c r="AR184" s="26"/>
      <c r="AS184" s="24"/>
      <c r="AT184" s="24"/>
      <c r="AU184" s="31"/>
      <c r="AV184" s="24"/>
      <c r="AW184"/>
      <c r="AX184"/>
      <c r="AY184"/>
      <c r="AZ184"/>
      <c r="BA184"/>
      <c r="BB184"/>
      <c r="BC184"/>
      <c r="BD184"/>
      <c r="BE184"/>
      <c r="BF184"/>
      <c r="BG184"/>
    </row>
    <row r="185" spans="1:59" x14ac:dyDescent="0.25">
      <c r="A185" s="2"/>
      <c r="B185" s="22"/>
      <c r="C185" s="23"/>
      <c r="D185" s="2"/>
      <c r="E185" s="23"/>
      <c r="F185" s="24"/>
      <c r="G185" s="2"/>
      <c r="H185" s="10" t="e">
        <f>_xlfn.XLOOKUP(F185,Viloyatlar24[RegionName],Viloyatlar24[RegionId])</f>
        <v>#N/A</v>
      </c>
      <c r="I185" s="10" t="e">
        <f>_xlfn.XLOOKUP('Кўчмас мулк объектлари'!G185,Tumanlar23[DistrictName],Tumanlar23[DistrictId])</f>
        <v>#N/A</v>
      </c>
      <c r="J185" s="2"/>
      <c r="K185" s="24"/>
      <c r="L185" s="10" t="e">
        <f>_xlfn.XLOOKUP(K185,Ташкилотлар39[Ташкилотлар],Ташкилотлар39[TashklilotID])</f>
        <v>#N/A</v>
      </c>
      <c r="M185" s="26"/>
      <c r="N185" s="26"/>
      <c r="O185" s="24"/>
      <c r="P185" s="2"/>
      <c r="Q185" s="26"/>
      <c r="R185" s="26"/>
      <c r="S185" s="26"/>
      <c r="T185" s="26"/>
      <c r="U185" s="24"/>
      <c r="V185" s="10" t="e">
        <f>_xlfn.XLOOKUP(U185,Таклифлар37[Таклифлар],Таклифлар37[TaklifID])</f>
        <v>#N/A</v>
      </c>
      <c r="W185" s="24"/>
      <c r="X185" s="23"/>
      <c r="Y185" s="7"/>
      <c r="Z185" s="26"/>
      <c r="AB185" s="23"/>
      <c r="AD185" s="2"/>
      <c r="AF185" s="2"/>
      <c r="AG185" s="23"/>
      <c r="AI185" s="26"/>
      <c r="AJ185" s="23"/>
      <c r="AK185" s="2"/>
      <c r="AM185" s="23"/>
      <c r="AO185" s="32"/>
      <c r="AP185" s="26"/>
      <c r="AR185" s="26"/>
      <c r="AS185" s="24"/>
      <c r="AT185" s="24"/>
      <c r="AU185" s="31"/>
      <c r="AV185" s="24"/>
      <c r="AW185"/>
      <c r="AX185"/>
      <c r="AY185"/>
      <c r="AZ185"/>
      <c r="BA185"/>
      <c r="BB185"/>
      <c r="BC185"/>
      <c r="BD185"/>
      <c r="BE185"/>
      <c r="BF185"/>
      <c r="BG185"/>
    </row>
    <row r="186" spans="1:59" x14ac:dyDescent="0.25">
      <c r="A186" s="2"/>
      <c r="B186" s="22"/>
      <c r="C186" s="23"/>
      <c r="D186" s="2"/>
      <c r="E186" s="23"/>
      <c r="F186" s="24"/>
      <c r="G186" s="2"/>
      <c r="H186" s="10" t="e">
        <f>_xlfn.XLOOKUP(F186,Viloyatlar24[RegionName],Viloyatlar24[RegionId])</f>
        <v>#N/A</v>
      </c>
      <c r="I186" s="10" t="e">
        <f>_xlfn.XLOOKUP('Кўчмас мулк объектлари'!G186,Tumanlar23[DistrictName],Tumanlar23[DistrictId])</f>
        <v>#N/A</v>
      </c>
      <c r="J186" s="2"/>
      <c r="K186" s="24"/>
      <c r="L186" s="10" t="e">
        <f>_xlfn.XLOOKUP(K186,Ташкилотлар39[Ташкилотлар],Ташкилотлар39[TashklilotID])</f>
        <v>#N/A</v>
      </c>
      <c r="M186" s="26"/>
      <c r="N186" s="26"/>
      <c r="O186" s="24"/>
      <c r="P186" s="2"/>
      <c r="Q186" s="26"/>
      <c r="R186" s="26"/>
      <c r="S186" s="26"/>
      <c r="T186" s="26"/>
      <c r="U186" s="24"/>
      <c r="V186" s="10" t="e">
        <f>_xlfn.XLOOKUP(U186,Таклифлар37[Таклифлар],Таклифлар37[TaklifID])</f>
        <v>#N/A</v>
      </c>
      <c r="W186" s="24"/>
      <c r="X186" s="23"/>
      <c r="Y186" s="7"/>
      <c r="Z186" s="26"/>
      <c r="AB186" s="23"/>
      <c r="AD186" s="2"/>
      <c r="AF186" s="2"/>
      <c r="AG186" s="23"/>
      <c r="AI186" s="26"/>
      <c r="AJ186" s="23"/>
      <c r="AK186" s="2"/>
      <c r="AM186" s="23"/>
      <c r="AO186" s="32"/>
      <c r="AP186" s="26"/>
      <c r="AR186" s="26"/>
      <c r="AS186" s="24"/>
      <c r="AT186" s="24"/>
      <c r="AU186" s="31"/>
      <c r="AV186" s="24"/>
      <c r="AW186"/>
      <c r="AX186"/>
      <c r="AY186"/>
      <c r="AZ186"/>
      <c r="BA186"/>
      <c r="BB186"/>
      <c r="BC186"/>
      <c r="BD186"/>
      <c r="BE186"/>
      <c r="BF186"/>
      <c r="BG186"/>
    </row>
    <row r="187" spans="1:59" x14ac:dyDescent="0.25">
      <c r="A187" s="2"/>
      <c r="B187" s="22"/>
      <c r="C187" s="23"/>
      <c r="D187" s="2"/>
      <c r="E187" s="23"/>
      <c r="F187" s="24"/>
      <c r="G187" s="2"/>
      <c r="H187" s="10" t="e">
        <f>_xlfn.XLOOKUP(F187,Viloyatlar24[RegionName],Viloyatlar24[RegionId])</f>
        <v>#N/A</v>
      </c>
      <c r="I187" s="10" t="e">
        <f>_xlfn.XLOOKUP('Кўчмас мулк объектлари'!G187,Tumanlar23[DistrictName],Tumanlar23[DistrictId])</f>
        <v>#N/A</v>
      </c>
      <c r="J187" s="2"/>
      <c r="K187" s="24"/>
      <c r="L187" s="10" t="e">
        <f>_xlfn.XLOOKUP(K187,Ташкилотлар39[Ташкилотлар],Ташкилотлар39[TashklilotID])</f>
        <v>#N/A</v>
      </c>
      <c r="M187" s="26"/>
      <c r="N187" s="26"/>
      <c r="O187" s="24"/>
      <c r="P187" s="2"/>
      <c r="Q187" s="26"/>
      <c r="R187" s="26"/>
      <c r="S187" s="26"/>
      <c r="T187" s="26"/>
      <c r="U187" s="24"/>
      <c r="V187" s="10" t="e">
        <f>_xlfn.XLOOKUP(U187,Таклифлар37[Таклифлар],Таклифлар37[TaklifID])</f>
        <v>#N/A</v>
      </c>
      <c r="W187" s="24"/>
      <c r="X187" s="23"/>
      <c r="Y187" s="7"/>
      <c r="Z187" s="26"/>
      <c r="AB187" s="23"/>
      <c r="AD187" s="2"/>
      <c r="AF187" s="2"/>
      <c r="AG187" s="23"/>
      <c r="AI187" s="26"/>
      <c r="AJ187" s="23"/>
      <c r="AK187" s="2"/>
      <c r="AM187" s="23"/>
      <c r="AO187" s="32"/>
      <c r="AP187" s="26"/>
      <c r="AR187" s="26"/>
      <c r="AS187" s="24"/>
      <c r="AT187" s="24"/>
      <c r="AU187" s="31"/>
      <c r="AV187" s="24"/>
      <c r="AW187"/>
      <c r="AX187"/>
      <c r="AY187"/>
      <c r="AZ187"/>
      <c r="BA187"/>
      <c r="BB187"/>
      <c r="BC187"/>
      <c r="BD187"/>
      <c r="BE187"/>
      <c r="BF187"/>
      <c r="BG187"/>
    </row>
    <row r="188" spans="1:59" x14ac:dyDescent="0.25">
      <c r="A188" s="2"/>
      <c r="B188" s="22"/>
      <c r="C188" s="23"/>
      <c r="D188" s="2"/>
      <c r="E188" s="23"/>
      <c r="F188" s="24"/>
      <c r="G188" s="2"/>
      <c r="H188" s="10" t="e">
        <f>_xlfn.XLOOKUP(F188,Viloyatlar24[RegionName],Viloyatlar24[RegionId])</f>
        <v>#N/A</v>
      </c>
      <c r="I188" s="10" t="e">
        <f>_xlfn.XLOOKUP('Кўчмас мулк объектлари'!G188,Tumanlar23[DistrictName],Tumanlar23[DistrictId])</f>
        <v>#N/A</v>
      </c>
      <c r="J188" s="2"/>
      <c r="K188" s="24"/>
      <c r="L188" s="10" t="e">
        <f>_xlfn.XLOOKUP(K188,Ташкилотлар39[Ташкилотлар],Ташкилотлар39[TashklilotID])</f>
        <v>#N/A</v>
      </c>
      <c r="M188" s="26"/>
      <c r="N188" s="26"/>
      <c r="O188" s="24"/>
      <c r="P188" s="2"/>
      <c r="Q188" s="26"/>
      <c r="R188" s="26"/>
      <c r="S188" s="26"/>
      <c r="T188" s="26"/>
      <c r="U188" s="24"/>
      <c r="V188" s="10" t="e">
        <f>_xlfn.XLOOKUP(U188,Таклифлар37[Таклифлар],Таклифлар37[TaklifID])</f>
        <v>#N/A</v>
      </c>
      <c r="W188" s="24"/>
      <c r="X188" s="23"/>
      <c r="Y188" s="7"/>
      <c r="Z188" s="26"/>
      <c r="AB188" s="23"/>
      <c r="AD188" s="2"/>
      <c r="AF188" s="2"/>
      <c r="AG188" s="23"/>
      <c r="AI188" s="26"/>
      <c r="AJ188" s="23"/>
      <c r="AK188" s="2"/>
      <c r="AM188" s="23"/>
      <c r="AO188" s="32"/>
      <c r="AP188" s="26"/>
      <c r="AR188" s="26"/>
      <c r="AS188" s="24"/>
      <c r="AT188" s="24"/>
      <c r="AU188" s="31"/>
      <c r="AV188" s="24"/>
      <c r="AW188"/>
      <c r="AX188"/>
      <c r="AY188"/>
      <c r="AZ188"/>
      <c r="BA188"/>
      <c r="BB188"/>
      <c r="BC188"/>
      <c r="BD188"/>
      <c r="BE188"/>
      <c r="BF188"/>
      <c r="BG188"/>
    </row>
    <row r="189" spans="1:59" x14ac:dyDescent="0.25">
      <c r="A189" s="2"/>
      <c r="B189" s="22"/>
      <c r="C189" s="23"/>
      <c r="D189" s="2"/>
      <c r="E189" s="23"/>
      <c r="F189" s="24"/>
      <c r="G189" s="2"/>
      <c r="H189" s="10" t="e">
        <f>_xlfn.XLOOKUP(F189,Viloyatlar24[RegionName],Viloyatlar24[RegionId])</f>
        <v>#N/A</v>
      </c>
      <c r="I189" s="10" t="e">
        <f>_xlfn.XLOOKUP('Кўчмас мулк объектлари'!G189,Tumanlar23[DistrictName],Tumanlar23[DistrictId])</f>
        <v>#N/A</v>
      </c>
      <c r="J189" s="2"/>
      <c r="K189" s="24"/>
      <c r="L189" s="10" t="e">
        <f>_xlfn.XLOOKUP(K189,Ташкилотлар39[Ташкилотлар],Ташкилотлар39[TashklilotID])</f>
        <v>#N/A</v>
      </c>
      <c r="M189" s="26"/>
      <c r="N189" s="26"/>
      <c r="O189" s="24"/>
      <c r="P189" s="2"/>
      <c r="Q189" s="26"/>
      <c r="R189" s="26"/>
      <c r="S189" s="26"/>
      <c r="T189" s="26"/>
      <c r="U189" s="24"/>
      <c r="V189" s="10" t="e">
        <f>_xlfn.XLOOKUP(U189,Таклифлар37[Таклифлар],Таклифлар37[TaklifID])</f>
        <v>#N/A</v>
      </c>
      <c r="W189" s="24"/>
      <c r="X189" s="23"/>
      <c r="Y189" s="7"/>
      <c r="Z189" s="26"/>
      <c r="AB189" s="23"/>
      <c r="AD189" s="2"/>
      <c r="AF189" s="2"/>
      <c r="AG189" s="23"/>
      <c r="AI189" s="26"/>
      <c r="AJ189" s="23"/>
      <c r="AK189" s="2"/>
      <c r="AM189" s="23"/>
      <c r="AO189" s="32"/>
      <c r="AP189" s="26"/>
      <c r="AR189" s="26"/>
      <c r="AS189" s="24"/>
      <c r="AT189" s="24"/>
      <c r="AU189" s="31"/>
      <c r="AV189" s="24"/>
      <c r="AW189"/>
      <c r="AX189"/>
      <c r="AY189"/>
      <c r="AZ189"/>
      <c r="BA189"/>
      <c r="BB189"/>
      <c r="BC189"/>
      <c r="BD189"/>
      <c r="BE189"/>
      <c r="BF189"/>
      <c r="BG189"/>
    </row>
    <row r="190" spans="1:59" x14ac:dyDescent="0.25">
      <c r="A190" s="2"/>
      <c r="B190" s="22"/>
      <c r="C190" s="23"/>
      <c r="D190" s="2"/>
      <c r="E190" s="23"/>
      <c r="F190" s="24"/>
      <c r="G190" s="2"/>
      <c r="H190" s="10" t="e">
        <f>_xlfn.XLOOKUP(F190,Viloyatlar24[RegionName],Viloyatlar24[RegionId])</f>
        <v>#N/A</v>
      </c>
      <c r="I190" s="10" t="e">
        <f>_xlfn.XLOOKUP('Кўчмас мулк объектлари'!G190,Tumanlar23[DistrictName],Tumanlar23[DistrictId])</f>
        <v>#N/A</v>
      </c>
      <c r="J190" s="2"/>
      <c r="K190" s="24"/>
      <c r="L190" s="10" t="e">
        <f>_xlfn.XLOOKUP(K190,Ташкилотлар39[Ташкилотлар],Ташкилотлар39[TashklilotID])</f>
        <v>#N/A</v>
      </c>
      <c r="M190" s="26"/>
      <c r="N190" s="26"/>
      <c r="O190" s="24"/>
      <c r="P190" s="2"/>
      <c r="Q190" s="26"/>
      <c r="R190" s="26"/>
      <c r="S190" s="26"/>
      <c r="T190" s="26"/>
      <c r="U190" s="24"/>
      <c r="V190" s="10" t="e">
        <f>_xlfn.XLOOKUP(U190,Таклифлар37[Таклифлар],Таклифлар37[TaklifID])</f>
        <v>#N/A</v>
      </c>
      <c r="W190" s="24"/>
      <c r="X190" s="23"/>
      <c r="Y190" s="7"/>
      <c r="Z190" s="26"/>
      <c r="AB190" s="23"/>
      <c r="AD190" s="2"/>
      <c r="AF190" s="2"/>
      <c r="AG190" s="23"/>
      <c r="AI190" s="26"/>
      <c r="AJ190" s="23"/>
      <c r="AK190" s="2"/>
      <c r="AM190" s="23"/>
      <c r="AO190" s="32"/>
      <c r="AP190" s="26"/>
      <c r="AR190" s="26"/>
      <c r="AS190" s="24"/>
      <c r="AT190" s="24"/>
      <c r="AU190" s="31"/>
      <c r="AV190" s="24"/>
      <c r="AW190"/>
      <c r="AX190"/>
      <c r="AY190"/>
      <c r="AZ190"/>
      <c r="BA190"/>
      <c r="BB190"/>
      <c r="BC190"/>
      <c r="BD190"/>
      <c r="BE190"/>
      <c r="BF190"/>
      <c r="BG190"/>
    </row>
    <row r="191" spans="1:59" x14ac:dyDescent="0.25">
      <c r="A191" s="2"/>
      <c r="B191" s="22"/>
      <c r="C191" s="23"/>
      <c r="D191" s="2"/>
      <c r="E191" s="23"/>
      <c r="F191" s="24"/>
      <c r="G191" s="2"/>
      <c r="H191" s="10" t="e">
        <f>_xlfn.XLOOKUP(F191,Viloyatlar24[RegionName],Viloyatlar24[RegionId])</f>
        <v>#N/A</v>
      </c>
      <c r="I191" s="10" t="e">
        <f>_xlfn.XLOOKUP('Кўчмас мулк объектлари'!G191,Tumanlar23[DistrictName],Tumanlar23[DistrictId])</f>
        <v>#N/A</v>
      </c>
      <c r="J191" s="2"/>
      <c r="K191" s="24"/>
      <c r="L191" s="10" t="e">
        <f>_xlfn.XLOOKUP(K191,Ташкилотлар39[Ташкилотлар],Ташкилотлар39[TashklilotID])</f>
        <v>#N/A</v>
      </c>
      <c r="M191" s="26"/>
      <c r="N191" s="26"/>
      <c r="O191" s="24"/>
      <c r="P191" s="2"/>
      <c r="Q191" s="26"/>
      <c r="R191" s="26"/>
      <c r="S191" s="26"/>
      <c r="T191" s="26"/>
      <c r="U191" s="24"/>
      <c r="V191" s="10" t="e">
        <f>_xlfn.XLOOKUP(U191,Таклифлар37[Таклифлар],Таклифлар37[TaklifID])</f>
        <v>#N/A</v>
      </c>
      <c r="W191" s="24"/>
      <c r="X191" s="23"/>
      <c r="Y191" s="7"/>
      <c r="Z191" s="26"/>
      <c r="AB191" s="23"/>
      <c r="AD191" s="2"/>
      <c r="AF191" s="2"/>
      <c r="AG191" s="23"/>
      <c r="AI191" s="26"/>
      <c r="AJ191" s="23"/>
      <c r="AK191" s="2"/>
      <c r="AM191" s="23"/>
      <c r="AO191" s="32"/>
      <c r="AP191" s="26"/>
      <c r="AR191" s="26"/>
      <c r="AS191" s="24"/>
      <c r="AT191" s="24"/>
      <c r="AU191" s="31"/>
      <c r="AV191" s="24"/>
      <c r="AW191"/>
      <c r="AX191"/>
      <c r="AY191"/>
      <c r="AZ191"/>
      <c r="BA191"/>
      <c r="BB191"/>
      <c r="BC191"/>
      <c r="BD191"/>
      <c r="BE191"/>
      <c r="BF191"/>
      <c r="BG191"/>
    </row>
    <row r="192" spans="1:59" x14ac:dyDescent="0.25">
      <c r="A192" s="2"/>
      <c r="B192" s="22"/>
      <c r="C192" s="23"/>
      <c r="D192" s="2"/>
      <c r="E192" s="23"/>
      <c r="F192" s="24"/>
      <c r="G192" s="2"/>
      <c r="H192" s="10" t="e">
        <f>_xlfn.XLOOKUP(F192,Viloyatlar24[RegionName],Viloyatlar24[RegionId])</f>
        <v>#N/A</v>
      </c>
      <c r="I192" s="10" t="e">
        <f>_xlfn.XLOOKUP('Кўчмас мулк объектлари'!G192,Tumanlar23[DistrictName],Tumanlar23[DistrictId])</f>
        <v>#N/A</v>
      </c>
      <c r="J192" s="2"/>
      <c r="K192" s="24"/>
      <c r="L192" s="10" t="e">
        <f>_xlfn.XLOOKUP(K192,Ташкилотлар39[Ташкилотлар],Ташкилотлар39[TashklilotID])</f>
        <v>#N/A</v>
      </c>
      <c r="M192" s="26"/>
      <c r="N192" s="26"/>
      <c r="O192" s="24"/>
      <c r="P192" s="2"/>
      <c r="Q192" s="26"/>
      <c r="R192" s="26"/>
      <c r="S192" s="26"/>
      <c r="T192" s="26"/>
      <c r="U192" s="24"/>
      <c r="V192" s="10" t="e">
        <f>_xlfn.XLOOKUP(U192,Таклифлар37[Таклифлар],Таклифлар37[TaklifID])</f>
        <v>#N/A</v>
      </c>
      <c r="W192" s="24"/>
      <c r="X192" s="23"/>
      <c r="Y192" s="7"/>
      <c r="Z192" s="26"/>
      <c r="AB192" s="23"/>
      <c r="AD192" s="2"/>
      <c r="AF192" s="2"/>
      <c r="AG192" s="23"/>
      <c r="AI192" s="26"/>
      <c r="AJ192" s="23"/>
      <c r="AK192" s="2"/>
      <c r="AM192" s="23"/>
      <c r="AO192" s="32"/>
      <c r="AP192" s="26"/>
      <c r="AR192" s="26"/>
      <c r="AS192" s="24"/>
      <c r="AT192" s="24"/>
      <c r="AU192" s="31"/>
      <c r="AV192" s="24"/>
      <c r="AW192"/>
      <c r="AX192"/>
      <c r="AY192"/>
      <c r="AZ192"/>
      <c r="BA192"/>
      <c r="BB192"/>
      <c r="BC192"/>
      <c r="BD192"/>
      <c r="BE192"/>
      <c r="BF192"/>
      <c r="BG192"/>
    </row>
    <row r="193" spans="1:59" x14ac:dyDescent="0.25">
      <c r="A193" s="2"/>
      <c r="B193" s="22"/>
      <c r="C193" s="23"/>
      <c r="D193" s="2"/>
      <c r="E193" s="23"/>
      <c r="F193" s="24"/>
      <c r="G193" s="2"/>
      <c r="H193" s="10" t="e">
        <f>_xlfn.XLOOKUP(F193,Viloyatlar24[RegionName],Viloyatlar24[RegionId])</f>
        <v>#N/A</v>
      </c>
      <c r="I193" s="10" t="e">
        <f>_xlfn.XLOOKUP('Кўчмас мулк объектлари'!G193,Tumanlar23[DistrictName],Tumanlar23[DistrictId])</f>
        <v>#N/A</v>
      </c>
      <c r="J193" s="2"/>
      <c r="K193" s="24"/>
      <c r="L193" s="10" t="e">
        <f>_xlfn.XLOOKUP(K193,Ташкилотлар39[Ташкилотлар],Ташкилотлар39[TashklilotID])</f>
        <v>#N/A</v>
      </c>
      <c r="M193" s="26"/>
      <c r="N193" s="26"/>
      <c r="O193" s="24"/>
      <c r="P193" s="2"/>
      <c r="Q193" s="26"/>
      <c r="R193" s="26"/>
      <c r="S193" s="26"/>
      <c r="T193" s="26"/>
      <c r="U193" s="24"/>
      <c r="V193" s="10" t="e">
        <f>_xlfn.XLOOKUP(U193,Таклифлар37[Таклифлар],Таклифлар37[TaklifID])</f>
        <v>#N/A</v>
      </c>
      <c r="W193" s="24"/>
      <c r="X193" s="23"/>
      <c r="Y193" s="7"/>
      <c r="Z193" s="26"/>
      <c r="AB193" s="23"/>
      <c r="AD193" s="2"/>
      <c r="AF193" s="2"/>
      <c r="AG193" s="23"/>
      <c r="AI193" s="26"/>
      <c r="AJ193" s="23"/>
      <c r="AK193" s="2"/>
      <c r="AM193" s="23"/>
      <c r="AO193" s="32"/>
      <c r="AP193" s="26"/>
      <c r="AR193" s="26"/>
      <c r="AS193" s="24"/>
      <c r="AT193" s="24"/>
      <c r="AU193" s="31"/>
      <c r="AV193" s="24"/>
      <c r="AW193"/>
      <c r="AX193"/>
      <c r="AY193"/>
      <c r="AZ193"/>
      <c r="BA193"/>
      <c r="BB193"/>
      <c r="BC193"/>
      <c r="BD193"/>
      <c r="BE193"/>
      <c r="BF193"/>
      <c r="BG193"/>
    </row>
    <row r="194" spans="1:59" x14ac:dyDescent="0.25">
      <c r="A194" s="2"/>
      <c r="B194" s="22"/>
      <c r="C194" s="23"/>
      <c r="D194" s="2"/>
      <c r="E194" s="23"/>
      <c r="F194" s="24"/>
      <c r="G194" s="2"/>
      <c r="H194" s="10" t="e">
        <f>_xlfn.XLOOKUP(F194,Viloyatlar24[RegionName],Viloyatlar24[RegionId])</f>
        <v>#N/A</v>
      </c>
      <c r="I194" s="10" t="e">
        <f>_xlfn.XLOOKUP('Кўчмас мулк объектлари'!G194,Tumanlar23[DistrictName],Tumanlar23[DistrictId])</f>
        <v>#N/A</v>
      </c>
      <c r="J194" s="2"/>
      <c r="K194" s="24"/>
      <c r="L194" s="10" t="e">
        <f>_xlfn.XLOOKUP(K194,Ташкилотлар39[Ташкилотлар],Ташкилотлар39[TashklilotID])</f>
        <v>#N/A</v>
      </c>
      <c r="M194" s="26"/>
      <c r="N194" s="26"/>
      <c r="O194" s="24"/>
      <c r="P194" s="2"/>
      <c r="Q194" s="26"/>
      <c r="R194" s="26"/>
      <c r="S194" s="26"/>
      <c r="T194" s="26"/>
      <c r="U194" s="24"/>
      <c r="V194" s="10" t="e">
        <f>_xlfn.XLOOKUP(U194,Таклифлар37[Таклифлар],Таклифлар37[TaklifID])</f>
        <v>#N/A</v>
      </c>
      <c r="W194" s="24"/>
      <c r="X194" s="23"/>
      <c r="Y194" s="7"/>
      <c r="Z194" s="26"/>
      <c r="AB194" s="23"/>
      <c r="AD194" s="2"/>
      <c r="AF194" s="2"/>
      <c r="AG194" s="23"/>
      <c r="AI194" s="26"/>
      <c r="AJ194" s="23"/>
      <c r="AK194" s="2"/>
      <c r="AM194" s="23"/>
      <c r="AO194" s="32"/>
      <c r="AP194" s="26"/>
      <c r="AR194" s="26"/>
      <c r="AS194" s="24"/>
      <c r="AT194" s="24"/>
      <c r="AU194" s="31"/>
      <c r="AV194" s="24"/>
      <c r="AW194"/>
      <c r="AX194"/>
      <c r="AY194"/>
      <c r="AZ194"/>
      <c r="BA194"/>
      <c r="BB194"/>
      <c r="BC194"/>
      <c r="BD194"/>
      <c r="BE194"/>
      <c r="BF194"/>
      <c r="BG194"/>
    </row>
    <row r="195" spans="1:59" x14ac:dyDescent="0.25">
      <c r="A195" s="2"/>
      <c r="B195" s="22"/>
      <c r="C195" s="23"/>
      <c r="D195" s="2"/>
      <c r="E195" s="23"/>
      <c r="F195" s="24"/>
      <c r="G195" s="2"/>
      <c r="H195" s="10" t="e">
        <f>_xlfn.XLOOKUP(F195,Viloyatlar24[RegionName],Viloyatlar24[RegionId])</f>
        <v>#N/A</v>
      </c>
      <c r="I195" s="10" t="e">
        <f>_xlfn.XLOOKUP('Кўчмас мулк объектлари'!G195,Tumanlar23[DistrictName],Tumanlar23[DistrictId])</f>
        <v>#N/A</v>
      </c>
      <c r="J195" s="2"/>
      <c r="K195" s="24"/>
      <c r="L195" s="10" t="e">
        <f>_xlfn.XLOOKUP(K195,Ташкилотлар39[Ташкилотлар],Ташкилотлар39[TashklilotID])</f>
        <v>#N/A</v>
      </c>
      <c r="M195" s="26"/>
      <c r="N195" s="26"/>
      <c r="O195" s="24"/>
      <c r="P195" s="2"/>
      <c r="Q195" s="26"/>
      <c r="R195" s="26"/>
      <c r="S195" s="26"/>
      <c r="T195" s="26"/>
      <c r="U195" s="24"/>
      <c r="V195" s="10" t="e">
        <f>_xlfn.XLOOKUP(U195,Таклифлар37[Таклифлар],Таклифлар37[TaklifID])</f>
        <v>#N/A</v>
      </c>
      <c r="W195" s="24"/>
      <c r="X195" s="23"/>
      <c r="Y195" s="7"/>
      <c r="Z195" s="26"/>
      <c r="AB195" s="23"/>
      <c r="AD195" s="2"/>
      <c r="AF195" s="2"/>
      <c r="AG195" s="23"/>
      <c r="AI195" s="26"/>
      <c r="AJ195" s="23"/>
      <c r="AK195" s="2"/>
      <c r="AM195" s="23"/>
      <c r="AO195" s="32"/>
      <c r="AP195" s="26"/>
      <c r="AR195" s="26"/>
      <c r="AS195" s="24"/>
      <c r="AT195" s="24"/>
      <c r="AU195" s="31"/>
      <c r="AV195" s="24"/>
      <c r="AW195"/>
      <c r="AX195"/>
      <c r="AY195"/>
      <c r="AZ195"/>
      <c r="BA195"/>
      <c r="BB195"/>
      <c r="BC195"/>
      <c r="BD195"/>
      <c r="BE195"/>
      <c r="BF195"/>
      <c r="BG195"/>
    </row>
    <row r="196" spans="1:59" x14ac:dyDescent="0.25">
      <c r="A196" s="2"/>
      <c r="B196" s="22"/>
      <c r="C196" s="23"/>
      <c r="D196" s="2"/>
      <c r="E196" s="23"/>
      <c r="F196" s="24"/>
      <c r="G196" s="2"/>
      <c r="H196" s="10" t="e">
        <f>_xlfn.XLOOKUP(F196,Viloyatlar24[RegionName],Viloyatlar24[RegionId])</f>
        <v>#N/A</v>
      </c>
      <c r="I196" s="10" t="e">
        <f>_xlfn.XLOOKUP('Кўчмас мулк объектлари'!G196,Tumanlar23[DistrictName],Tumanlar23[DistrictId])</f>
        <v>#N/A</v>
      </c>
      <c r="J196" s="2"/>
      <c r="K196" s="24"/>
      <c r="L196" s="10" t="e">
        <f>_xlfn.XLOOKUP(K196,Ташкилотлар39[Ташкилотлар],Ташкилотлар39[TashklilotID])</f>
        <v>#N/A</v>
      </c>
      <c r="M196" s="26"/>
      <c r="N196" s="26"/>
      <c r="O196" s="24"/>
      <c r="P196" s="2"/>
      <c r="Q196" s="26"/>
      <c r="R196" s="26"/>
      <c r="S196" s="26"/>
      <c r="T196" s="26"/>
      <c r="U196" s="24"/>
      <c r="V196" s="10" t="e">
        <f>_xlfn.XLOOKUP(U196,Таклифлар37[Таклифлар],Таклифлар37[TaklifID])</f>
        <v>#N/A</v>
      </c>
      <c r="W196" s="24"/>
      <c r="X196" s="23"/>
      <c r="Y196" s="7"/>
      <c r="Z196" s="26"/>
      <c r="AB196" s="23"/>
      <c r="AD196" s="2"/>
      <c r="AF196" s="2"/>
      <c r="AG196" s="23"/>
      <c r="AI196" s="26"/>
      <c r="AJ196" s="23"/>
      <c r="AK196" s="2"/>
      <c r="AM196" s="23"/>
      <c r="AO196" s="32"/>
      <c r="AP196" s="26"/>
      <c r="AR196" s="26"/>
      <c r="AS196" s="24"/>
      <c r="AT196" s="24"/>
      <c r="AU196" s="31"/>
      <c r="AV196" s="24"/>
      <c r="AW196"/>
      <c r="AX196"/>
      <c r="AY196"/>
      <c r="AZ196"/>
      <c r="BA196"/>
      <c r="BB196"/>
      <c r="BC196"/>
      <c r="BD196"/>
      <c r="BE196"/>
      <c r="BF196"/>
      <c r="BG196"/>
    </row>
    <row r="197" spans="1:59" x14ac:dyDescent="0.25">
      <c r="A197" s="2"/>
      <c r="B197" s="22"/>
      <c r="C197" s="23"/>
      <c r="D197" s="2"/>
      <c r="E197" s="23"/>
      <c r="F197" s="24"/>
      <c r="G197" s="2"/>
      <c r="H197" s="10" t="e">
        <f>_xlfn.XLOOKUP(F197,Viloyatlar24[RegionName],Viloyatlar24[RegionId])</f>
        <v>#N/A</v>
      </c>
      <c r="I197" s="10" t="e">
        <f>_xlfn.XLOOKUP('Кўчмас мулк объектлари'!G197,Tumanlar23[DistrictName],Tumanlar23[DistrictId])</f>
        <v>#N/A</v>
      </c>
      <c r="J197" s="2"/>
      <c r="K197" s="24"/>
      <c r="L197" s="10" t="e">
        <f>_xlfn.XLOOKUP(K197,Ташкилотлар39[Ташкилотлар],Ташкилотлар39[TashklilotID])</f>
        <v>#N/A</v>
      </c>
      <c r="M197" s="26"/>
      <c r="N197" s="26"/>
      <c r="O197" s="24"/>
      <c r="P197" s="2"/>
      <c r="Q197" s="26"/>
      <c r="R197" s="26"/>
      <c r="S197" s="26"/>
      <c r="T197" s="26"/>
      <c r="U197" s="24"/>
      <c r="V197" s="10" t="e">
        <f>_xlfn.XLOOKUP(U197,Таклифлар37[Таклифлар],Таклифлар37[TaklifID])</f>
        <v>#N/A</v>
      </c>
      <c r="W197" s="24"/>
      <c r="X197" s="23"/>
      <c r="Y197" s="7"/>
      <c r="Z197" s="26"/>
      <c r="AB197" s="23"/>
      <c r="AD197" s="2"/>
      <c r="AF197" s="2"/>
      <c r="AG197" s="23"/>
      <c r="AI197" s="26"/>
      <c r="AJ197" s="23"/>
      <c r="AK197" s="2"/>
      <c r="AM197" s="23"/>
      <c r="AO197" s="32"/>
      <c r="AP197" s="26"/>
      <c r="AR197" s="26"/>
      <c r="AS197" s="24"/>
      <c r="AT197" s="24"/>
      <c r="AU197" s="31"/>
      <c r="AV197" s="24"/>
      <c r="AW197"/>
      <c r="AX197"/>
      <c r="AY197"/>
      <c r="AZ197"/>
      <c r="BA197"/>
      <c r="BB197"/>
      <c r="BC197"/>
      <c r="BD197"/>
      <c r="BE197"/>
      <c r="BF197"/>
      <c r="BG197"/>
    </row>
    <row r="198" spans="1:59" x14ac:dyDescent="0.25">
      <c r="A198" s="2"/>
      <c r="B198" s="22"/>
      <c r="C198" s="23"/>
      <c r="D198" s="2"/>
      <c r="E198" s="23"/>
      <c r="F198" s="24"/>
      <c r="G198" s="2"/>
      <c r="H198" s="10" t="e">
        <f>_xlfn.XLOOKUP(F198,Viloyatlar24[RegionName],Viloyatlar24[RegionId])</f>
        <v>#N/A</v>
      </c>
      <c r="I198" s="10" t="e">
        <f>_xlfn.XLOOKUP('Кўчмас мулк объектлари'!G198,Tumanlar23[DistrictName],Tumanlar23[DistrictId])</f>
        <v>#N/A</v>
      </c>
      <c r="J198" s="2"/>
      <c r="K198" s="24"/>
      <c r="L198" s="10" t="e">
        <f>_xlfn.XLOOKUP(K198,Ташкилотлар39[Ташкилотлар],Ташкилотлар39[TashklilotID])</f>
        <v>#N/A</v>
      </c>
      <c r="M198" s="26"/>
      <c r="N198" s="26"/>
      <c r="O198" s="24"/>
      <c r="P198" s="2"/>
      <c r="Q198" s="26"/>
      <c r="R198" s="26"/>
      <c r="S198" s="26"/>
      <c r="T198" s="26"/>
      <c r="U198" s="24"/>
      <c r="V198" s="10" t="e">
        <f>_xlfn.XLOOKUP(U198,Таклифлар37[Таклифлар],Таклифлар37[TaklifID])</f>
        <v>#N/A</v>
      </c>
      <c r="W198" s="24"/>
      <c r="X198" s="23"/>
      <c r="Y198" s="7"/>
      <c r="Z198" s="26"/>
      <c r="AB198" s="23"/>
      <c r="AD198" s="2"/>
      <c r="AF198" s="2"/>
      <c r="AG198" s="23"/>
      <c r="AI198" s="26"/>
      <c r="AJ198" s="23"/>
      <c r="AK198" s="2"/>
      <c r="AM198" s="23"/>
      <c r="AO198" s="32"/>
      <c r="AP198" s="26"/>
      <c r="AR198" s="26"/>
      <c r="AS198" s="24"/>
      <c r="AT198" s="24"/>
      <c r="AU198" s="31"/>
      <c r="AV198" s="24"/>
      <c r="AW198"/>
      <c r="AX198"/>
      <c r="AY198"/>
      <c r="AZ198"/>
      <c r="BA198"/>
      <c r="BB198"/>
      <c r="BC198"/>
      <c r="BD198"/>
      <c r="BE198"/>
      <c r="BF198"/>
      <c r="BG198"/>
    </row>
    <row r="199" spans="1:59" x14ac:dyDescent="0.25">
      <c r="A199" s="2"/>
      <c r="B199" s="22"/>
      <c r="C199" s="23"/>
      <c r="D199" s="2"/>
      <c r="E199" s="23"/>
      <c r="F199" s="24"/>
      <c r="G199" s="2"/>
      <c r="H199" s="10" t="e">
        <f>_xlfn.XLOOKUP(F199,Viloyatlar24[RegionName],Viloyatlar24[RegionId])</f>
        <v>#N/A</v>
      </c>
      <c r="I199" s="10" t="e">
        <f>_xlfn.XLOOKUP('Кўчмас мулк объектлари'!G199,Tumanlar23[DistrictName],Tumanlar23[DistrictId])</f>
        <v>#N/A</v>
      </c>
      <c r="J199" s="2"/>
      <c r="K199" s="24"/>
      <c r="L199" s="10" t="e">
        <f>_xlfn.XLOOKUP(K199,Ташкилотлар39[Ташкилотлар],Ташкилотлар39[TashklilotID])</f>
        <v>#N/A</v>
      </c>
      <c r="M199" s="26"/>
      <c r="N199" s="26"/>
      <c r="O199" s="24"/>
      <c r="P199" s="2"/>
      <c r="Q199" s="26"/>
      <c r="R199" s="26"/>
      <c r="S199" s="26"/>
      <c r="T199" s="26"/>
      <c r="U199" s="24"/>
      <c r="V199" s="10" t="e">
        <f>_xlfn.XLOOKUP(U199,Таклифлар37[Таклифлар],Таклифлар37[TaklifID])</f>
        <v>#N/A</v>
      </c>
      <c r="W199" s="24"/>
      <c r="X199" s="23"/>
      <c r="Y199" s="7"/>
      <c r="Z199" s="26"/>
      <c r="AB199" s="23"/>
      <c r="AD199" s="2"/>
      <c r="AF199" s="2"/>
      <c r="AG199" s="23"/>
      <c r="AI199" s="26"/>
      <c r="AJ199" s="23"/>
      <c r="AK199" s="2"/>
      <c r="AM199" s="23"/>
      <c r="AO199" s="32"/>
      <c r="AP199" s="26"/>
      <c r="AR199" s="26"/>
      <c r="AS199" s="24"/>
      <c r="AT199" s="24"/>
      <c r="AU199" s="31"/>
      <c r="AV199" s="24"/>
      <c r="AW199"/>
      <c r="AX199"/>
      <c r="AY199"/>
      <c r="AZ199"/>
      <c r="BA199"/>
      <c r="BB199"/>
      <c r="BC199"/>
      <c r="BD199"/>
      <c r="BE199"/>
      <c r="BF199"/>
      <c r="BG199"/>
    </row>
    <row r="200" spans="1:59" x14ac:dyDescent="0.25">
      <c r="A200" s="2"/>
      <c r="B200" s="22"/>
      <c r="C200" s="23"/>
      <c r="D200" s="2"/>
      <c r="E200" s="23"/>
      <c r="F200" s="24"/>
      <c r="G200" s="2"/>
      <c r="H200" s="10" t="e">
        <f>_xlfn.XLOOKUP(F200,Viloyatlar24[RegionName],Viloyatlar24[RegionId])</f>
        <v>#N/A</v>
      </c>
      <c r="I200" s="10" t="e">
        <f>_xlfn.XLOOKUP('Кўчмас мулк объектлари'!G200,Tumanlar23[DistrictName],Tumanlar23[DistrictId])</f>
        <v>#N/A</v>
      </c>
      <c r="J200" s="2"/>
      <c r="K200" s="24"/>
      <c r="L200" s="10" t="e">
        <f>_xlfn.XLOOKUP(K200,Ташкилотлар39[Ташкилотлар],Ташкилотлар39[TashklilotID])</f>
        <v>#N/A</v>
      </c>
      <c r="M200" s="26"/>
      <c r="N200" s="26"/>
      <c r="O200" s="24"/>
      <c r="P200" s="2"/>
      <c r="Q200" s="26"/>
      <c r="R200" s="26"/>
      <c r="S200" s="26"/>
      <c r="T200" s="26"/>
      <c r="U200" s="24"/>
      <c r="V200" s="10" t="e">
        <f>_xlfn.XLOOKUP(U200,Таклифлар37[Таклифлар],Таклифлар37[TaklifID])</f>
        <v>#N/A</v>
      </c>
      <c r="W200" s="24"/>
      <c r="X200" s="23"/>
      <c r="Y200" s="7"/>
      <c r="Z200" s="26"/>
      <c r="AB200" s="23"/>
      <c r="AD200" s="2"/>
      <c r="AF200" s="2"/>
      <c r="AG200" s="23"/>
      <c r="AI200" s="26"/>
      <c r="AJ200" s="23"/>
      <c r="AK200" s="2"/>
      <c r="AM200" s="23"/>
      <c r="AO200" s="32"/>
      <c r="AP200" s="26"/>
      <c r="AR200" s="26"/>
      <c r="AS200" s="24"/>
      <c r="AT200" s="24"/>
      <c r="AU200" s="31"/>
      <c r="AV200" s="24"/>
      <c r="AW200"/>
      <c r="AX200"/>
      <c r="AY200"/>
      <c r="AZ200"/>
      <c r="BA200"/>
      <c r="BB200"/>
      <c r="BC200"/>
      <c r="BD200"/>
      <c r="BE200"/>
      <c r="BF200"/>
      <c r="BG200"/>
    </row>
    <row r="201" spans="1:59" x14ac:dyDescent="0.25">
      <c r="A201" s="2"/>
      <c r="B201" s="22"/>
      <c r="C201" s="23"/>
      <c r="D201" s="2"/>
      <c r="E201" s="23"/>
      <c r="F201" s="24"/>
      <c r="G201" s="2"/>
      <c r="H201" s="10" t="e">
        <f>_xlfn.XLOOKUP(F201,Viloyatlar24[RegionName],Viloyatlar24[RegionId])</f>
        <v>#N/A</v>
      </c>
      <c r="I201" s="10" t="e">
        <f>_xlfn.XLOOKUP('Кўчмас мулк объектлари'!G201,Tumanlar23[DistrictName],Tumanlar23[DistrictId])</f>
        <v>#N/A</v>
      </c>
      <c r="J201" s="2"/>
      <c r="K201" s="24"/>
      <c r="L201" s="10" t="e">
        <f>_xlfn.XLOOKUP(K201,Ташкилотлар39[Ташкилотлар],Ташкилотлар39[TashklilotID])</f>
        <v>#N/A</v>
      </c>
      <c r="M201" s="26"/>
      <c r="N201" s="26"/>
      <c r="O201" s="24"/>
      <c r="P201" s="2"/>
      <c r="Q201" s="26"/>
      <c r="R201" s="26"/>
      <c r="S201" s="26"/>
      <c r="T201" s="26"/>
      <c r="U201" s="24"/>
      <c r="V201" s="10" t="e">
        <f>_xlfn.XLOOKUP(U201,Таклифлар37[Таклифлар],Таклифлар37[TaklifID])</f>
        <v>#N/A</v>
      </c>
      <c r="W201" s="24"/>
      <c r="X201" s="23"/>
      <c r="Y201" s="7"/>
      <c r="Z201" s="26"/>
      <c r="AB201" s="23"/>
      <c r="AD201" s="2"/>
      <c r="AF201" s="2"/>
      <c r="AG201" s="23"/>
      <c r="AI201" s="26"/>
      <c r="AJ201" s="23"/>
      <c r="AK201" s="2"/>
      <c r="AM201" s="23"/>
      <c r="AO201" s="32"/>
      <c r="AP201" s="26"/>
      <c r="AR201" s="26"/>
      <c r="AS201" s="24"/>
      <c r="AT201" s="24"/>
      <c r="AU201" s="31"/>
      <c r="AV201" s="24"/>
      <c r="AW201"/>
      <c r="AX201"/>
      <c r="AY201"/>
      <c r="AZ201"/>
      <c r="BA201"/>
      <c r="BB201"/>
      <c r="BC201"/>
      <c r="BD201"/>
      <c r="BE201"/>
      <c r="BF201"/>
      <c r="BG201"/>
    </row>
    <row r="202" spans="1:59" x14ac:dyDescent="0.25">
      <c r="A202" s="2"/>
      <c r="B202" s="22"/>
      <c r="C202" s="23"/>
      <c r="D202" s="2"/>
      <c r="E202" s="23"/>
      <c r="F202" s="24"/>
      <c r="G202" s="2"/>
      <c r="H202" s="10" t="e">
        <f>_xlfn.XLOOKUP(F202,Viloyatlar24[RegionName],Viloyatlar24[RegionId])</f>
        <v>#N/A</v>
      </c>
      <c r="I202" s="10" t="e">
        <f>_xlfn.XLOOKUP('Кўчмас мулк объектлари'!G202,Tumanlar23[DistrictName],Tumanlar23[DistrictId])</f>
        <v>#N/A</v>
      </c>
      <c r="J202" s="2"/>
      <c r="K202" s="24"/>
      <c r="L202" s="10" t="e">
        <f>_xlfn.XLOOKUP(K202,Ташкилотлар39[Ташкилотлар],Ташкилотлар39[TashklilotID])</f>
        <v>#N/A</v>
      </c>
      <c r="M202" s="26"/>
      <c r="N202" s="26"/>
      <c r="O202" s="24"/>
      <c r="P202" s="2"/>
      <c r="Q202" s="26"/>
      <c r="R202" s="26"/>
      <c r="S202" s="26"/>
      <c r="T202" s="26"/>
      <c r="U202" s="24"/>
      <c r="V202" s="10" t="e">
        <f>_xlfn.XLOOKUP(U202,Таклифлар37[Таклифлар],Таклифлар37[TaklifID])</f>
        <v>#N/A</v>
      </c>
      <c r="W202" s="24"/>
      <c r="X202" s="23"/>
      <c r="Y202" s="7"/>
      <c r="Z202" s="26"/>
      <c r="AB202" s="23"/>
      <c r="AD202" s="2"/>
      <c r="AF202" s="2"/>
      <c r="AG202" s="23"/>
      <c r="AI202" s="26"/>
      <c r="AJ202" s="23"/>
      <c r="AK202" s="2"/>
      <c r="AM202" s="23"/>
      <c r="AO202" s="32"/>
      <c r="AP202" s="26"/>
      <c r="AR202" s="26"/>
      <c r="AS202" s="24"/>
      <c r="AT202" s="24"/>
      <c r="AU202" s="31"/>
      <c r="AV202" s="24"/>
      <c r="AW202"/>
      <c r="AX202"/>
      <c r="AY202"/>
      <c r="AZ202"/>
      <c r="BA202"/>
      <c r="BB202"/>
      <c r="BC202"/>
      <c r="BD202"/>
      <c r="BE202"/>
      <c r="BF202"/>
      <c r="BG202"/>
    </row>
    <row r="203" spans="1:59" x14ac:dyDescent="0.25">
      <c r="A203" s="2"/>
      <c r="B203" s="22"/>
      <c r="C203" s="23"/>
      <c r="D203" s="2"/>
      <c r="E203" s="23"/>
      <c r="F203" s="24"/>
      <c r="G203" s="2"/>
      <c r="H203" s="10" t="e">
        <f>_xlfn.XLOOKUP(F203,Viloyatlar24[RegionName],Viloyatlar24[RegionId])</f>
        <v>#N/A</v>
      </c>
      <c r="I203" s="10" t="e">
        <f>_xlfn.XLOOKUP('Кўчмас мулк объектлари'!G203,Tumanlar23[DistrictName],Tumanlar23[DistrictId])</f>
        <v>#N/A</v>
      </c>
      <c r="J203" s="2"/>
      <c r="K203" s="24"/>
      <c r="L203" s="10" t="e">
        <f>_xlfn.XLOOKUP(K203,Ташкилотлар39[Ташкилотлар],Ташкилотлар39[TashklilotID])</f>
        <v>#N/A</v>
      </c>
      <c r="M203" s="26"/>
      <c r="N203" s="26"/>
      <c r="O203" s="24"/>
      <c r="P203" s="2"/>
      <c r="Q203" s="26"/>
      <c r="R203" s="26"/>
      <c r="S203" s="26"/>
      <c r="T203" s="26"/>
      <c r="U203" s="24"/>
      <c r="V203" s="10" t="e">
        <f>_xlfn.XLOOKUP(U203,Таклифлар37[Таклифлар],Таклифлар37[TaklifID])</f>
        <v>#N/A</v>
      </c>
      <c r="W203" s="24"/>
      <c r="X203" s="23"/>
      <c r="Y203" s="7"/>
      <c r="Z203" s="26"/>
      <c r="AB203" s="23"/>
      <c r="AD203" s="2"/>
      <c r="AF203" s="2"/>
      <c r="AG203" s="23"/>
      <c r="AI203" s="26"/>
      <c r="AJ203" s="23"/>
      <c r="AK203" s="2"/>
      <c r="AM203" s="23"/>
      <c r="AO203" s="32"/>
      <c r="AP203" s="26"/>
      <c r="AR203" s="26"/>
      <c r="AS203" s="24"/>
      <c r="AT203" s="24"/>
      <c r="AU203" s="31"/>
      <c r="AV203" s="24"/>
      <c r="AW203"/>
      <c r="AX203"/>
      <c r="AY203"/>
      <c r="AZ203"/>
      <c r="BA203"/>
      <c r="BB203"/>
      <c r="BC203"/>
      <c r="BD203"/>
      <c r="BE203"/>
      <c r="BF203"/>
      <c r="BG203"/>
    </row>
    <row r="204" spans="1:59" x14ac:dyDescent="0.25">
      <c r="A204" s="2"/>
      <c r="B204" s="22"/>
      <c r="C204" s="23"/>
      <c r="D204" s="2"/>
      <c r="E204" s="23"/>
      <c r="F204" s="24"/>
      <c r="G204" s="2"/>
      <c r="H204" s="10" t="e">
        <f>_xlfn.XLOOKUP(F204,Viloyatlar24[RegionName],Viloyatlar24[RegionId])</f>
        <v>#N/A</v>
      </c>
      <c r="I204" s="10" t="e">
        <f>_xlfn.XLOOKUP('Кўчмас мулк объектлари'!G204,Tumanlar23[DistrictName],Tumanlar23[DistrictId])</f>
        <v>#N/A</v>
      </c>
      <c r="J204" s="2"/>
      <c r="K204" s="24"/>
      <c r="L204" s="10" t="e">
        <f>_xlfn.XLOOKUP(K204,Ташкилотлар39[Ташкилотлар],Ташкилотлар39[TashklilotID])</f>
        <v>#N/A</v>
      </c>
      <c r="M204" s="26"/>
      <c r="N204" s="26"/>
      <c r="O204" s="24"/>
      <c r="P204" s="2"/>
      <c r="Q204" s="26"/>
      <c r="R204" s="26"/>
      <c r="S204" s="26"/>
      <c r="T204" s="26"/>
      <c r="U204" s="24"/>
      <c r="V204" s="10" t="e">
        <f>_xlfn.XLOOKUP(U204,Таклифлар37[Таклифлар],Таклифлар37[TaklifID])</f>
        <v>#N/A</v>
      </c>
      <c r="W204" s="24"/>
      <c r="X204" s="23"/>
      <c r="Y204" s="7"/>
      <c r="Z204" s="26"/>
      <c r="AB204" s="23"/>
      <c r="AD204" s="2"/>
      <c r="AF204" s="2"/>
      <c r="AG204" s="23"/>
      <c r="AI204" s="26"/>
      <c r="AJ204" s="23"/>
      <c r="AK204" s="2"/>
      <c r="AM204" s="23"/>
      <c r="AO204" s="32"/>
      <c r="AP204" s="26"/>
      <c r="AR204" s="26"/>
      <c r="AS204" s="24"/>
      <c r="AT204" s="24"/>
      <c r="AU204" s="31"/>
      <c r="AV204" s="24"/>
      <c r="AW204"/>
      <c r="AX204"/>
      <c r="AY204"/>
      <c r="AZ204"/>
      <c r="BA204"/>
      <c r="BB204"/>
      <c r="BC204"/>
      <c r="BD204"/>
      <c r="BE204"/>
      <c r="BF204"/>
      <c r="BG204"/>
    </row>
    <row r="205" spans="1:59" x14ac:dyDescent="0.25">
      <c r="A205" s="2"/>
      <c r="B205" s="22"/>
      <c r="C205" s="23"/>
      <c r="D205" s="2"/>
      <c r="E205" s="23"/>
      <c r="F205" s="24"/>
      <c r="G205" s="2"/>
      <c r="H205" s="10" t="e">
        <f>_xlfn.XLOOKUP(F205,Viloyatlar24[RegionName],Viloyatlar24[RegionId])</f>
        <v>#N/A</v>
      </c>
      <c r="I205" s="10" t="e">
        <f>_xlfn.XLOOKUP('Кўчмас мулк объектлари'!G205,Tumanlar23[DistrictName],Tumanlar23[DistrictId])</f>
        <v>#N/A</v>
      </c>
      <c r="J205" s="2"/>
      <c r="K205" s="24"/>
      <c r="L205" s="10" t="e">
        <f>_xlfn.XLOOKUP(K205,Ташкилотлар39[Ташкилотлар],Ташкилотлар39[TashklilotID])</f>
        <v>#N/A</v>
      </c>
      <c r="M205" s="26"/>
      <c r="N205" s="26"/>
      <c r="O205" s="24"/>
      <c r="P205" s="2"/>
      <c r="Q205" s="26"/>
      <c r="R205" s="26"/>
      <c r="S205" s="26"/>
      <c r="T205" s="26"/>
      <c r="U205" s="24"/>
      <c r="V205" s="10" t="e">
        <f>_xlfn.XLOOKUP(U205,Таклифлар37[Таклифлар],Таклифлар37[TaklifID])</f>
        <v>#N/A</v>
      </c>
      <c r="W205" s="24"/>
      <c r="X205" s="23"/>
      <c r="Y205" s="7"/>
      <c r="Z205" s="26"/>
      <c r="AB205" s="23"/>
      <c r="AD205" s="2"/>
      <c r="AF205" s="2"/>
      <c r="AG205" s="23"/>
      <c r="AI205" s="26"/>
      <c r="AJ205" s="23"/>
      <c r="AK205" s="2"/>
      <c r="AM205" s="23"/>
      <c r="AO205" s="32"/>
      <c r="AP205" s="26"/>
      <c r="AR205" s="26"/>
      <c r="AS205" s="24"/>
      <c r="AT205" s="24"/>
      <c r="AU205" s="31"/>
      <c r="AV205" s="24"/>
      <c r="AW205"/>
      <c r="AX205"/>
      <c r="AY205"/>
      <c r="AZ205"/>
      <c r="BA205"/>
      <c r="BB205"/>
      <c r="BC205"/>
      <c r="BD205"/>
      <c r="BE205"/>
      <c r="BF205"/>
      <c r="BG205"/>
    </row>
    <row r="206" spans="1:59" x14ac:dyDescent="0.25">
      <c r="A206" s="2"/>
      <c r="B206" s="22"/>
      <c r="C206" s="23"/>
      <c r="D206" s="2"/>
      <c r="E206" s="23"/>
      <c r="F206" s="24"/>
      <c r="G206" s="2"/>
      <c r="H206" s="10" t="e">
        <f>_xlfn.XLOOKUP(F206,Viloyatlar24[RegionName],Viloyatlar24[RegionId])</f>
        <v>#N/A</v>
      </c>
      <c r="I206" s="10" t="e">
        <f>_xlfn.XLOOKUP('Кўчмас мулк объектлари'!G206,Tumanlar23[DistrictName],Tumanlar23[DistrictId])</f>
        <v>#N/A</v>
      </c>
      <c r="J206" s="2"/>
      <c r="K206" s="24"/>
      <c r="L206" s="10" t="e">
        <f>_xlfn.XLOOKUP(K206,Ташкилотлар39[Ташкилотлар],Ташкилотлар39[TashklilotID])</f>
        <v>#N/A</v>
      </c>
      <c r="M206" s="26"/>
      <c r="N206" s="26"/>
      <c r="O206" s="24"/>
      <c r="P206" s="2"/>
      <c r="Q206" s="26"/>
      <c r="R206" s="26"/>
      <c r="S206" s="26"/>
      <c r="T206" s="26"/>
      <c r="U206" s="24"/>
      <c r="V206" s="10" t="e">
        <f>_xlfn.XLOOKUP(U206,Таклифлар37[Таклифлар],Таклифлар37[TaklifID])</f>
        <v>#N/A</v>
      </c>
      <c r="W206" s="24"/>
      <c r="X206" s="23"/>
      <c r="Y206" s="7"/>
      <c r="Z206" s="26"/>
      <c r="AB206" s="23"/>
      <c r="AD206" s="2"/>
      <c r="AF206" s="2"/>
      <c r="AG206" s="23"/>
      <c r="AI206" s="26"/>
      <c r="AJ206" s="23"/>
      <c r="AK206" s="2"/>
      <c r="AM206" s="23"/>
      <c r="AO206" s="32"/>
      <c r="AP206" s="26"/>
      <c r="AR206" s="26"/>
      <c r="AS206" s="24"/>
      <c r="AT206" s="24"/>
      <c r="AU206" s="31"/>
      <c r="AV206" s="24"/>
      <c r="AW206"/>
      <c r="AX206"/>
      <c r="AY206"/>
      <c r="AZ206"/>
      <c r="BA206"/>
      <c r="BB206"/>
      <c r="BC206"/>
      <c r="BD206"/>
      <c r="BE206"/>
      <c r="BF206"/>
      <c r="BG206"/>
    </row>
    <row r="207" spans="1:59" x14ac:dyDescent="0.25">
      <c r="A207" s="2"/>
      <c r="B207" s="22"/>
      <c r="C207" s="23"/>
      <c r="D207" s="2"/>
      <c r="E207" s="23"/>
      <c r="F207" s="24"/>
      <c r="G207" s="2"/>
      <c r="H207" s="10" t="e">
        <f>_xlfn.XLOOKUP(F207,Viloyatlar24[RegionName],Viloyatlar24[RegionId])</f>
        <v>#N/A</v>
      </c>
      <c r="I207" s="10" t="e">
        <f>_xlfn.XLOOKUP('Кўчмас мулк объектлари'!G207,Tumanlar23[DistrictName],Tumanlar23[DistrictId])</f>
        <v>#N/A</v>
      </c>
      <c r="J207" s="2"/>
      <c r="K207" s="24"/>
      <c r="L207" s="10" t="e">
        <f>_xlfn.XLOOKUP(K207,Ташкилотлар39[Ташкилотлар],Ташкилотлар39[TashklilotID])</f>
        <v>#N/A</v>
      </c>
      <c r="M207" s="26"/>
      <c r="N207" s="26"/>
      <c r="O207" s="24"/>
      <c r="P207" s="2"/>
      <c r="Q207" s="26"/>
      <c r="R207" s="26"/>
      <c r="S207" s="26"/>
      <c r="T207" s="26"/>
      <c r="U207" s="24"/>
      <c r="V207" s="10" t="e">
        <f>_xlfn.XLOOKUP(U207,Таклифлар37[Таклифлар],Таклифлар37[TaklifID])</f>
        <v>#N/A</v>
      </c>
      <c r="W207" s="24"/>
      <c r="X207" s="23"/>
      <c r="Y207" s="7"/>
      <c r="Z207" s="26"/>
      <c r="AB207" s="23"/>
      <c r="AD207" s="2"/>
      <c r="AF207" s="2"/>
      <c r="AG207" s="23"/>
      <c r="AI207" s="26"/>
      <c r="AJ207" s="23"/>
      <c r="AK207" s="2"/>
      <c r="AM207" s="23"/>
      <c r="AO207" s="32"/>
      <c r="AP207" s="26"/>
      <c r="AR207" s="26"/>
      <c r="AS207" s="24"/>
      <c r="AT207" s="24"/>
      <c r="AU207" s="31"/>
      <c r="AV207" s="24"/>
      <c r="AW207"/>
      <c r="AX207"/>
      <c r="AY207"/>
      <c r="AZ207"/>
      <c r="BA207"/>
      <c r="BB207"/>
      <c r="BC207"/>
      <c r="BD207"/>
      <c r="BE207"/>
      <c r="BF207"/>
      <c r="BG207"/>
    </row>
    <row r="208" spans="1:59" x14ac:dyDescent="0.25">
      <c r="A208" s="2"/>
      <c r="B208" s="22"/>
      <c r="C208" s="23"/>
      <c r="D208" s="2"/>
      <c r="E208" s="23"/>
      <c r="F208" s="24"/>
      <c r="G208" s="2"/>
      <c r="H208" s="10" t="e">
        <f>_xlfn.XLOOKUP(F208,Viloyatlar24[RegionName],Viloyatlar24[RegionId])</f>
        <v>#N/A</v>
      </c>
      <c r="I208" s="10" t="e">
        <f>_xlfn.XLOOKUP('Кўчмас мулк объектлари'!G208,Tumanlar23[DistrictName],Tumanlar23[DistrictId])</f>
        <v>#N/A</v>
      </c>
      <c r="J208" s="2"/>
      <c r="K208" s="24"/>
      <c r="L208" s="10" t="e">
        <f>_xlfn.XLOOKUP(K208,Ташкилотлар39[Ташкилотлар],Ташкилотлар39[TashklilotID])</f>
        <v>#N/A</v>
      </c>
      <c r="M208" s="26"/>
      <c r="N208" s="26"/>
      <c r="O208" s="24"/>
      <c r="P208" s="2"/>
      <c r="Q208" s="26"/>
      <c r="R208" s="26"/>
      <c r="S208" s="26"/>
      <c r="T208" s="26"/>
      <c r="U208" s="24"/>
      <c r="V208" s="10" t="e">
        <f>_xlfn.XLOOKUP(U208,Таклифлар37[Таклифлар],Таклифлар37[TaklifID])</f>
        <v>#N/A</v>
      </c>
      <c r="W208" s="24"/>
      <c r="X208" s="23"/>
      <c r="Y208" s="7"/>
      <c r="Z208" s="26"/>
      <c r="AB208" s="23"/>
      <c r="AD208" s="2"/>
      <c r="AF208" s="2"/>
      <c r="AG208" s="23"/>
      <c r="AI208" s="26"/>
      <c r="AJ208" s="23"/>
      <c r="AK208" s="2"/>
      <c r="AM208" s="23"/>
      <c r="AO208" s="32"/>
      <c r="AP208" s="26"/>
      <c r="AR208" s="26"/>
      <c r="AS208" s="24"/>
      <c r="AT208" s="24"/>
      <c r="AU208" s="31"/>
      <c r="AV208" s="24"/>
      <c r="AW208"/>
      <c r="AX208"/>
      <c r="AY208"/>
      <c r="AZ208"/>
      <c r="BA208"/>
      <c r="BB208"/>
      <c r="BC208"/>
      <c r="BD208"/>
      <c r="BE208"/>
      <c r="BF208"/>
      <c r="BG208"/>
    </row>
    <row r="209" spans="1:59" x14ac:dyDescent="0.25">
      <c r="A209" s="2"/>
      <c r="B209" s="22"/>
      <c r="C209" s="23"/>
      <c r="D209" s="2"/>
      <c r="E209" s="23"/>
      <c r="F209" s="24"/>
      <c r="G209" s="2"/>
      <c r="H209" s="10" t="e">
        <f>_xlfn.XLOOKUP(F209,Viloyatlar24[RegionName],Viloyatlar24[RegionId])</f>
        <v>#N/A</v>
      </c>
      <c r="I209" s="10" t="e">
        <f>_xlfn.XLOOKUP('Кўчмас мулк объектлари'!G209,Tumanlar23[DistrictName],Tumanlar23[DistrictId])</f>
        <v>#N/A</v>
      </c>
      <c r="J209" s="2"/>
      <c r="K209" s="24"/>
      <c r="L209" s="10" t="e">
        <f>_xlfn.XLOOKUP(K209,Ташкилотлар39[Ташкилотлар],Ташкилотлар39[TashklilotID])</f>
        <v>#N/A</v>
      </c>
      <c r="M209" s="26"/>
      <c r="N209" s="26"/>
      <c r="O209" s="24"/>
      <c r="P209" s="2"/>
      <c r="Q209" s="26"/>
      <c r="R209" s="26"/>
      <c r="S209" s="26"/>
      <c r="T209" s="26"/>
      <c r="U209" s="24"/>
      <c r="V209" s="10" t="e">
        <f>_xlfn.XLOOKUP(U209,Таклифлар37[Таклифлар],Таклифлар37[TaklifID])</f>
        <v>#N/A</v>
      </c>
      <c r="W209" s="24"/>
      <c r="X209" s="23"/>
      <c r="Y209" s="7"/>
      <c r="Z209" s="26"/>
      <c r="AB209" s="23"/>
      <c r="AD209" s="2"/>
      <c r="AF209" s="2"/>
      <c r="AG209" s="23"/>
      <c r="AI209" s="26"/>
      <c r="AJ209" s="23"/>
      <c r="AK209" s="2"/>
      <c r="AM209" s="23"/>
      <c r="AO209" s="32"/>
      <c r="AP209" s="26"/>
      <c r="AR209" s="26"/>
      <c r="AS209" s="24"/>
      <c r="AT209" s="24"/>
      <c r="AU209" s="31"/>
      <c r="AV209" s="24"/>
      <c r="AW209"/>
      <c r="AX209"/>
      <c r="AY209"/>
      <c r="AZ209"/>
      <c r="BA209"/>
      <c r="BB209"/>
      <c r="BC209"/>
      <c r="BD209"/>
      <c r="BE209"/>
      <c r="BF209"/>
      <c r="BG209"/>
    </row>
    <row r="210" spans="1:59" x14ac:dyDescent="0.25">
      <c r="A210" s="2"/>
      <c r="B210" s="22"/>
      <c r="C210" s="23"/>
      <c r="D210" s="2"/>
      <c r="E210" s="23"/>
      <c r="F210" s="24"/>
      <c r="G210" s="2"/>
      <c r="H210" s="10" t="e">
        <f>_xlfn.XLOOKUP(F210,Viloyatlar24[RegionName],Viloyatlar24[RegionId])</f>
        <v>#N/A</v>
      </c>
      <c r="I210" s="10" t="e">
        <f>_xlfn.XLOOKUP('Кўчмас мулк объектлари'!G210,Tumanlar23[DistrictName],Tumanlar23[DistrictId])</f>
        <v>#N/A</v>
      </c>
      <c r="J210" s="2"/>
      <c r="K210" s="24"/>
      <c r="L210" s="10" t="e">
        <f>_xlfn.XLOOKUP(K210,Ташкилотлар39[Ташкилотлар],Ташкилотлар39[TashklilotID])</f>
        <v>#N/A</v>
      </c>
      <c r="M210" s="26"/>
      <c r="N210" s="26"/>
      <c r="O210" s="24"/>
      <c r="P210" s="2"/>
      <c r="Q210" s="26"/>
      <c r="R210" s="26"/>
      <c r="S210" s="26"/>
      <c r="T210" s="26"/>
      <c r="U210" s="24"/>
      <c r="V210" s="10" t="e">
        <f>_xlfn.XLOOKUP(U210,Таклифлар37[Таклифлар],Таклифлар37[TaklifID])</f>
        <v>#N/A</v>
      </c>
      <c r="W210" s="24"/>
      <c r="X210" s="23"/>
      <c r="Y210" s="7"/>
      <c r="Z210" s="26"/>
      <c r="AB210" s="23"/>
      <c r="AD210" s="2"/>
      <c r="AF210" s="2"/>
      <c r="AG210" s="23"/>
      <c r="AI210" s="26"/>
      <c r="AJ210" s="23"/>
      <c r="AK210" s="2"/>
      <c r="AM210" s="23"/>
      <c r="AO210" s="32"/>
      <c r="AP210" s="26"/>
      <c r="AR210" s="26"/>
      <c r="AS210" s="24"/>
      <c r="AT210" s="24"/>
      <c r="AU210" s="31"/>
      <c r="AV210" s="24"/>
      <c r="AW210"/>
      <c r="AX210"/>
      <c r="AY210"/>
      <c r="AZ210"/>
      <c r="BA210"/>
      <c r="BB210"/>
      <c r="BC210"/>
      <c r="BD210"/>
      <c r="BE210"/>
      <c r="BF210"/>
      <c r="BG210"/>
    </row>
    <row r="211" spans="1:59" x14ac:dyDescent="0.25">
      <c r="A211" s="2"/>
      <c r="B211" s="22"/>
      <c r="C211" s="23"/>
      <c r="D211" s="2"/>
      <c r="E211" s="23"/>
      <c r="F211" s="24"/>
      <c r="G211" s="2"/>
      <c r="H211" s="10" t="e">
        <f>_xlfn.XLOOKUP(F211,Viloyatlar24[RegionName],Viloyatlar24[RegionId])</f>
        <v>#N/A</v>
      </c>
      <c r="I211" s="10" t="e">
        <f>_xlfn.XLOOKUP('Кўчмас мулк объектлари'!G211,Tumanlar23[DistrictName],Tumanlar23[DistrictId])</f>
        <v>#N/A</v>
      </c>
      <c r="J211" s="2"/>
      <c r="K211" s="24"/>
      <c r="L211" s="10" t="e">
        <f>_xlfn.XLOOKUP(K211,Ташкилотлар39[Ташкилотлар],Ташкилотлар39[TashklilotID])</f>
        <v>#N/A</v>
      </c>
      <c r="M211" s="26"/>
      <c r="N211" s="26"/>
      <c r="O211" s="24"/>
      <c r="P211" s="2"/>
      <c r="Q211" s="26"/>
      <c r="R211" s="26"/>
      <c r="S211" s="26"/>
      <c r="T211" s="26"/>
      <c r="U211" s="24"/>
      <c r="V211" s="10" t="e">
        <f>_xlfn.XLOOKUP(U211,Таклифлар37[Таклифлар],Таклифлар37[TaklifID])</f>
        <v>#N/A</v>
      </c>
      <c r="W211" s="24"/>
      <c r="X211" s="23"/>
      <c r="Y211" s="7"/>
      <c r="Z211" s="26"/>
      <c r="AB211" s="23"/>
      <c r="AD211" s="2"/>
      <c r="AF211" s="2"/>
      <c r="AG211" s="23"/>
      <c r="AI211" s="26"/>
      <c r="AJ211" s="23"/>
      <c r="AK211" s="2"/>
      <c r="AM211" s="23"/>
      <c r="AO211" s="32"/>
      <c r="AP211" s="26"/>
      <c r="AR211" s="26"/>
      <c r="AS211" s="24"/>
      <c r="AT211" s="24"/>
      <c r="AU211" s="31"/>
      <c r="AV211" s="24"/>
      <c r="AW211"/>
      <c r="AX211"/>
      <c r="AY211"/>
      <c r="AZ211"/>
      <c r="BA211"/>
      <c r="BB211"/>
      <c r="BC211"/>
      <c r="BD211"/>
      <c r="BE211"/>
      <c r="BF211"/>
      <c r="BG211"/>
    </row>
    <row r="212" spans="1:59" x14ac:dyDescent="0.25">
      <c r="A212" s="2"/>
      <c r="B212" s="22"/>
      <c r="C212" s="23"/>
      <c r="D212" s="2"/>
      <c r="E212" s="23"/>
      <c r="F212" s="24"/>
      <c r="G212" s="2"/>
      <c r="H212" s="10" t="e">
        <f>_xlfn.XLOOKUP(F212,Viloyatlar24[RegionName],Viloyatlar24[RegionId])</f>
        <v>#N/A</v>
      </c>
      <c r="I212" s="10" t="e">
        <f>_xlfn.XLOOKUP('Кўчмас мулк объектлари'!G212,Tumanlar23[DistrictName],Tumanlar23[DistrictId])</f>
        <v>#N/A</v>
      </c>
      <c r="J212" s="2"/>
      <c r="K212" s="24"/>
      <c r="L212" s="10" t="e">
        <f>_xlfn.XLOOKUP(K212,Ташкилотлар39[Ташкилотлар],Ташкилотлар39[TashklilotID])</f>
        <v>#N/A</v>
      </c>
      <c r="M212" s="26"/>
      <c r="N212" s="26"/>
      <c r="O212" s="24"/>
      <c r="P212" s="2"/>
      <c r="Q212" s="26"/>
      <c r="R212" s="26"/>
      <c r="S212" s="26"/>
      <c r="T212" s="26"/>
      <c r="U212" s="24"/>
      <c r="V212" s="10" t="e">
        <f>_xlfn.XLOOKUP(U212,Таклифлар37[Таклифлар],Таклифлар37[TaklifID])</f>
        <v>#N/A</v>
      </c>
      <c r="W212" s="24"/>
      <c r="X212" s="23"/>
      <c r="Y212" s="7"/>
      <c r="Z212" s="26"/>
      <c r="AB212" s="23"/>
      <c r="AD212" s="2"/>
      <c r="AF212" s="2"/>
      <c r="AG212" s="23"/>
      <c r="AI212" s="26"/>
      <c r="AJ212" s="23"/>
      <c r="AK212" s="2"/>
      <c r="AM212" s="23"/>
      <c r="AO212" s="32"/>
      <c r="AP212" s="26"/>
      <c r="AR212" s="26"/>
      <c r="AS212" s="24"/>
      <c r="AT212" s="24"/>
      <c r="AU212" s="31"/>
      <c r="AV212" s="24"/>
      <c r="AW212"/>
      <c r="AX212"/>
      <c r="AY212"/>
      <c r="AZ212"/>
      <c r="BA212"/>
      <c r="BB212"/>
      <c r="BC212"/>
      <c r="BD212"/>
      <c r="BE212"/>
      <c r="BF212"/>
      <c r="BG212"/>
    </row>
    <row r="213" spans="1:59" x14ac:dyDescent="0.25">
      <c r="A213" s="2"/>
      <c r="B213" s="22"/>
      <c r="C213" s="23"/>
      <c r="D213" s="2"/>
      <c r="E213" s="23"/>
      <c r="F213" s="24"/>
      <c r="G213" s="2"/>
      <c r="H213" s="10" t="e">
        <f>_xlfn.XLOOKUP(F213,Viloyatlar24[RegionName],Viloyatlar24[RegionId])</f>
        <v>#N/A</v>
      </c>
      <c r="I213" s="10" t="e">
        <f>_xlfn.XLOOKUP('Кўчмас мулк объектлари'!G213,Tumanlar23[DistrictName],Tumanlar23[DistrictId])</f>
        <v>#N/A</v>
      </c>
      <c r="J213" s="2"/>
      <c r="K213" s="24"/>
      <c r="L213" s="10" t="e">
        <f>_xlfn.XLOOKUP(K213,Ташкилотлар39[Ташкилотлар],Ташкилотлар39[TashklilotID])</f>
        <v>#N/A</v>
      </c>
      <c r="M213" s="26"/>
      <c r="N213" s="26"/>
      <c r="O213" s="24"/>
      <c r="P213" s="2"/>
      <c r="Q213" s="26"/>
      <c r="R213" s="26"/>
      <c r="S213" s="26"/>
      <c r="T213" s="26"/>
      <c r="U213" s="24"/>
      <c r="V213" s="10" t="e">
        <f>_xlfn.XLOOKUP(U213,Таклифлар37[Таклифлар],Таклифлар37[TaklifID])</f>
        <v>#N/A</v>
      </c>
      <c r="W213" s="24"/>
      <c r="X213" s="23"/>
      <c r="Y213" s="7"/>
      <c r="Z213" s="26"/>
      <c r="AB213" s="23"/>
      <c r="AD213" s="2"/>
      <c r="AF213" s="2"/>
      <c r="AG213" s="23"/>
      <c r="AI213" s="26"/>
      <c r="AJ213" s="23"/>
      <c r="AK213" s="2"/>
      <c r="AM213" s="23"/>
      <c r="AO213" s="32"/>
      <c r="AP213" s="26"/>
      <c r="AR213" s="26"/>
      <c r="AS213" s="24"/>
      <c r="AT213" s="24"/>
      <c r="AU213" s="31"/>
      <c r="AV213" s="24"/>
      <c r="AW213"/>
      <c r="AX213"/>
      <c r="AY213"/>
      <c r="AZ213"/>
      <c r="BA213"/>
      <c r="BB213"/>
      <c r="BC213"/>
      <c r="BD213"/>
      <c r="BE213"/>
      <c r="BF213"/>
      <c r="BG213"/>
    </row>
    <row r="214" spans="1:59" x14ac:dyDescent="0.25">
      <c r="B214" s="22"/>
      <c r="C214" s="23"/>
      <c r="E214" s="23"/>
      <c r="F214" s="24"/>
      <c r="G214" s="2"/>
      <c r="H214" s="10" t="e">
        <f>_xlfn.XLOOKUP(F214,Viloyatlar24[RegionName],Viloyatlar24[RegionId])</f>
        <v>#N/A</v>
      </c>
      <c r="I214" s="10" t="e">
        <f>_xlfn.XLOOKUP('Кўчмас мулк объектлари'!G214,Tumanlar23[DistrictName],Tumanlar23[DistrictId])</f>
        <v>#N/A</v>
      </c>
      <c r="K214" s="24"/>
      <c r="L214" s="10" t="e">
        <f>_xlfn.XLOOKUP(K214,Ташкилотлар39[Ташкилотлар],Ташкилотлар39[TashklilotID])</f>
        <v>#N/A</v>
      </c>
      <c r="M214" s="26"/>
      <c r="N214" s="26"/>
      <c r="O214" s="24"/>
      <c r="P214" s="2"/>
      <c r="Q214" s="26"/>
      <c r="R214" s="26"/>
      <c r="S214" s="26"/>
      <c r="T214" s="26"/>
      <c r="U214" s="24"/>
      <c r="V214" s="10" t="e">
        <f>_xlfn.XLOOKUP(U214,Таклифлар37[Таклифлар],Таклифлар37[TaklifID])</f>
        <v>#N/A</v>
      </c>
      <c r="W214" s="24"/>
      <c r="X214" s="23"/>
      <c r="Y214" s="7"/>
      <c r="Z214" s="26"/>
      <c r="AB214" s="23"/>
      <c r="AD214" s="2"/>
      <c r="AG214" s="23"/>
      <c r="AI214" s="26"/>
      <c r="AJ214" s="23"/>
      <c r="AM214" s="23"/>
      <c r="AO214" s="32"/>
      <c r="AP214" s="26"/>
      <c r="AR214" s="26"/>
      <c r="AS214" s="27"/>
      <c r="AT214" s="27"/>
      <c r="AU214" s="31"/>
      <c r="AV214" s="24"/>
      <c r="AW214"/>
      <c r="AX214"/>
      <c r="AY214"/>
      <c r="AZ214"/>
      <c r="BA214"/>
      <c r="BB214"/>
      <c r="BC214"/>
      <c r="BD214"/>
      <c r="BE214"/>
      <c r="BF214"/>
      <c r="BG214"/>
    </row>
    <row r="215" spans="1:59" x14ac:dyDescent="0.25">
      <c r="B215" s="22"/>
      <c r="C215" s="23"/>
      <c r="E215" s="23"/>
      <c r="F215" s="24"/>
      <c r="G215" s="2"/>
      <c r="H215" s="10" t="e">
        <f>_xlfn.XLOOKUP(F215,Viloyatlar24[RegionName],Viloyatlar24[RegionId])</f>
        <v>#N/A</v>
      </c>
      <c r="I215" s="10" t="e">
        <f>_xlfn.XLOOKUP('Кўчмас мулк объектлари'!G215,Tumanlar23[DistrictName],Tumanlar23[DistrictId])</f>
        <v>#N/A</v>
      </c>
      <c r="K215" s="24"/>
      <c r="L215" s="10" t="e">
        <f>_xlfn.XLOOKUP(K215,Ташкилотлар39[Ташкилотлар],Ташкилотлар39[TashklilotID])</f>
        <v>#N/A</v>
      </c>
      <c r="M215" s="26"/>
      <c r="N215" s="26"/>
      <c r="O215" s="24"/>
      <c r="P215" s="2"/>
      <c r="Q215" s="26"/>
      <c r="R215" s="26"/>
      <c r="S215" s="26"/>
      <c r="T215" s="26"/>
      <c r="U215" s="24"/>
      <c r="V215" s="10" t="e">
        <f>_xlfn.XLOOKUP(U215,Таклифлар37[Таклифлар],Таклифлар37[TaklifID])</f>
        <v>#N/A</v>
      </c>
      <c r="W215" s="24"/>
      <c r="X215" s="23"/>
      <c r="Y215" s="7"/>
      <c r="Z215" s="26"/>
      <c r="AB215" s="23"/>
      <c r="AD215" s="2"/>
      <c r="AG215" s="23"/>
      <c r="AI215" s="26"/>
      <c r="AJ215" s="23"/>
      <c r="AM215" s="23"/>
      <c r="AO215" s="32"/>
      <c r="AP215" s="26"/>
      <c r="AR215" s="26"/>
      <c r="AS215" s="27"/>
      <c r="AT215" s="27"/>
      <c r="AU215" s="31"/>
      <c r="AV215" s="24"/>
      <c r="AW215"/>
      <c r="AX215"/>
      <c r="AY215"/>
      <c r="AZ215"/>
      <c r="BA215"/>
      <c r="BB215"/>
      <c r="BC215"/>
      <c r="BD215"/>
      <c r="BE215"/>
      <c r="BF215"/>
      <c r="BG215"/>
    </row>
    <row r="216" spans="1:59" x14ac:dyDescent="0.25">
      <c r="B216" s="22"/>
      <c r="C216" s="23"/>
      <c r="E216" s="23"/>
      <c r="F216" s="24"/>
      <c r="G216" s="2"/>
      <c r="H216" s="10" t="e">
        <f>_xlfn.XLOOKUP(F216,Viloyatlar24[RegionName],Viloyatlar24[RegionId])</f>
        <v>#N/A</v>
      </c>
      <c r="I216" s="10" t="e">
        <f>_xlfn.XLOOKUP('Кўчмас мулк объектлари'!G216,Tumanlar23[DistrictName],Tumanlar23[DistrictId])</f>
        <v>#N/A</v>
      </c>
      <c r="K216" s="24"/>
      <c r="L216" s="10" t="e">
        <f>_xlfn.XLOOKUP(K216,Ташкилотлар39[Ташкилотлар],Ташкилотлар39[TashklilotID])</f>
        <v>#N/A</v>
      </c>
      <c r="M216" s="26"/>
      <c r="N216" s="26"/>
      <c r="O216" s="24"/>
      <c r="P216" s="2"/>
      <c r="Q216" s="26"/>
      <c r="R216" s="26"/>
      <c r="S216" s="26"/>
      <c r="T216" s="26"/>
      <c r="U216" s="24"/>
      <c r="V216" s="10" t="e">
        <f>_xlfn.XLOOKUP(U216,Таклифлар37[Таклифлар],Таклифлар37[TaklifID])</f>
        <v>#N/A</v>
      </c>
      <c r="W216" s="24"/>
      <c r="X216" s="23"/>
      <c r="Y216" s="7"/>
      <c r="Z216" s="26"/>
      <c r="AB216" s="23"/>
      <c r="AD216" s="2"/>
      <c r="AG216" s="23"/>
      <c r="AI216" s="26"/>
      <c r="AJ216" s="23"/>
      <c r="AM216" s="23"/>
      <c r="AO216" s="32"/>
      <c r="AP216" s="26"/>
      <c r="AR216" s="26"/>
      <c r="AS216" s="27"/>
      <c r="AT216" s="27"/>
      <c r="AU216" s="31"/>
      <c r="AV216" s="24"/>
      <c r="AW216"/>
      <c r="AX216"/>
      <c r="AY216"/>
      <c r="AZ216"/>
      <c r="BA216"/>
      <c r="BB216"/>
      <c r="BC216"/>
      <c r="BD216"/>
      <c r="BE216"/>
      <c r="BF216"/>
      <c r="BG216"/>
    </row>
    <row r="217" spans="1:59" x14ac:dyDescent="0.25">
      <c r="B217" s="22"/>
      <c r="C217" s="23"/>
      <c r="E217" s="23"/>
      <c r="F217" s="24"/>
      <c r="G217" s="2"/>
      <c r="H217" s="10" t="e">
        <f>_xlfn.XLOOKUP(F217,Viloyatlar24[RegionName],Viloyatlar24[RegionId])</f>
        <v>#N/A</v>
      </c>
      <c r="I217" s="10" t="e">
        <f>_xlfn.XLOOKUP('Кўчмас мулк объектлари'!G217,Tumanlar23[DistrictName],Tumanlar23[DistrictId])</f>
        <v>#N/A</v>
      </c>
      <c r="K217" s="24"/>
      <c r="L217" s="10" t="e">
        <f>_xlfn.XLOOKUP(K217,Ташкилотлар39[Ташкилотлар],Ташкилотлар39[TashklilotID])</f>
        <v>#N/A</v>
      </c>
      <c r="M217" s="26"/>
      <c r="N217" s="26"/>
      <c r="O217" s="24"/>
      <c r="P217" s="2"/>
      <c r="Q217" s="26"/>
      <c r="R217" s="26"/>
      <c r="S217" s="26"/>
      <c r="T217" s="26"/>
      <c r="U217" s="24"/>
      <c r="V217" s="10" t="e">
        <f>_xlfn.XLOOKUP(U217,Таклифлар37[Таклифлар],Таклифлар37[TaklifID])</f>
        <v>#N/A</v>
      </c>
      <c r="W217" s="24"/>
      <c r="X217" s="23"/>
      <c r="Y217" s="7"/>
      <c r="Z217" s="26"/>
      <c r="AB217" s="23"/>
      <c r="AD217" s="2"/>
      <c r="AG217" s="23"/>
      <c r="AI217" s="26"/>
      <c r="AJ217" s="23"/>
      <c r="AM217" s="23"/>
      <c r="AO217" s="32"/>
      <c r="AP217" s="26"/>
      <c r="AR217" s="26"/>
      <c r="AS217" s="27"/>
      <c r="AT217" s="27"/>
      <c r="AU217" s="31"/>
      <c r="AV217" s="24"/>
      <c r="AW217"/>
      <c r="AX217"/>
      <c r="AY217"/>
      <c r="AZ217"/>
      <c r="BA217"/>
      <c r="BB217"/>
      <c r="BC217"/>
      <c r="BD217"/>
      <c r="BE217"/>
      <c r="BF217"/>
      <c r="BG217"/>
    </row>
    <row r="218" spans="1:59" x14ac:dyDescent="0.25">
      <c r="B218" s="22"/>
      <c r="C218" s="23"/>
      <c r="E218" s="23"/>
      <c r="F218" s="24"/>
      <c r="G218" s="2"/>
      <c r="H218" s="10" t="e">
        <f>_xlfn.XLOOKUP(F218,Viloyatlar24[RegionName],Viloyatlar24[RegionId])</f>
        <v>#N/A</v>
      </c>
      <c r="I218" s="10" t="e">
        <f>_xlfn.XLOOKUP('Кўчмас мулк объектлари'!G218,Tumanlar23[DistrictName],Tumanlar23[DistrictId])</f>
        <v>#N/A</v>
      </c>
      <c r="K218" s="24"/>
      <c r="L218" s="10" t="e">
        <f>_xlfn.XLOOKUP(K218,Ташкилотлар39[Ташкилотлар],Ташкилотлар39[TashklilotID])</f>
        <v>#N/A</v>
      </c>
      <c r="M218" s="26"/>
      <c r="N218" s="26"/>
      <c r="O218" s="24"/>
      <c r="P218" s="2"/>
      <c r="Q218" s="26"/>
      <c r="R218" s="26"/>
      <c r="S218" s="26"/>
      <c r="T218" s="26"/>
      <c r="U218" s="24"/>
      <c r="V218" s="10" t="e">
        <f>_xlfn.XLOOKUP(U218,Таклифлар37[Таклифлар],Таклифлар37[TaklifID])</f>
        <v>#N/A</v>
      </c>
      <c r="W218" s="24"/>
      <c r="X218" s="23"/>
      <c r="Y218" s="7"/>
      <c r="Z218" s="26"/>
      <c r="AB218" s="23"/>
      <c r="AD218" s="2"/>
      <c r="AG218" s="23"/>
      <c r="AI218" s="26"/>
      <c r="AJ218" s="23"/>
      <c r="AM218" s="23"/>
      <c r="AO218" s="32"/>
      <c r="AP218" s="26"/>
      <c r="AR218" s="26"/>
      <c r="AS218" s="27"/>
      <c r="AT218" s="27"/>
      <c r="AU218" s="31"/>
      <c r="AV218" s="24"/>
      <c r="AW218"/>
      <c r="AX218"/>
      <c r="AY218"/>
      <c r="AZ218"/>
      <c r="BA218"/>
      <c r="BB218"/>
      <c r="BC218"/>
      <c r="BD218"/>
      <c r="BE218"/>
      <c r="BF218"/>
      <c r="BG218"/>
    </row>
    <row r="219" spans="1:59" x14ac:dyDescent="0.25">
      <c r="B219" s="22"/>
      <c r="C219" s="23"/>
      <c r="E219" s="23"/>
      <c r="F219" s="24"/>
      <c r="G219" s="2"/>
      <c r="H219" s="10" t="e">
        <f>_xlfn.XLOOKUP(F219,Viloyatlar24[RegionName],Viloyatlar24[RegionId])</f>
        <v>#N/A</v>
      </c>
      <c r="I219" s="10" t="e">
        <f>_xlfn.XLOOKUP('Кўчмас мулк объектлари'!G219,Tumanlar23[DistrictName],Tumanlar23[DistrictId])</f>
        <v>#N/A</v>
      </c>
      <c r="K219" s="24"/>
      <c r="L219" s="10" t="e">
        <f>_xlfn.XLOOKUP(K219,Ташкилотлар39[Ташкилотлар],Ташкилотлар39[TashklilotID])</f>
        <v>#N/A</v>
      </c>
      <c r="M219" s="26"/>
      <c r="N219" s="26"/>
      <c r="O219" s="24"/>
      <c r="P219" s="2"/>
      <c r="Q219" s="26"/>
      <c r="R219" s="26"/>
      <c r="S219" s="26"/>
      <c r="T219" s="26"/>
      <c r="U219" s="24"/>
      <c r="V219" s="10" t="e">
        <f>_xlfn.XLOOKUP(U219,Таклифлар37[Таклифлар],Таклифлар37[TaklifID])</f>
        <v>#N/A</v>
      </c>
      <c r="W219" s="24"/>
      <c r="X219" s="23"/>
      <c r="Y219" s="7"/>
      <c r="Z219" s="26"/>
      <c r="AB219" s="23"/>
      <c r="AD219" s="2"/>
      <c r="AG219" s="23"/>
      <c r="AI219" s="26"/>
      <c r="AJ219" s="23"/>
      <c r="AM219" s="23"/>
      <c r="AO219" s="32"/>
      <c r="AP219" s="26"/>
      <c r="AR219" s="26"/>
      <c r="AS219" s="27"/>
      <c r="AT219" s="27"/>
      <c r="AU219" s="31"/>
      <c r="AV219" s="24"/>
      <c r="AW219"/>
      <c r="AX219"/>
      <c r="AY219"/>
      <c r="AZ219"/>
      <c r="BA219"/>
      <c r="BB219"/>
      <c r="BC219"/>
      <c r="BD219"/>
      <c r="BE219"/>
      <c r="BF219"/>
      <c r="BG219"/>
    </row>
    <row r="220" spans="1:59" x14ac:dyDescent="0.25">
      <c r="B220" s="22"/>
      <c r="C220" s="23"/>
      <c r="E220" s="23"/>
      <c r="F220" s="24"/>
      <c r="G220" s="2"/>
      <c r="H220" s="10" t="e">
        <f>_xlfn.XLOOKUP(F220,Viloyatlar24[RegionName],Viloyatlar24[RegionId])</f>
        <v>#N/A</v>
      </c>
      <c r="I220" s="10" t="e">
        <f>_xlfn.XLOOKUP('Кўчмас мулк объектлари'!G220,Tumanlar23[DistrictName],Tumanlar23[DistrictId])</f>
        <v>#N/A</v>
      </c>
      <c r="K220" s="24"/>
      <c r="L220" s="10" t="e">
        <f>_xlfn.XLOOKUP(K220,Ташкилотлар39[Ташкилотлар],Ташкилотлар39[TashklilotID])</f>
        <v>#N/A</v>
      </c>
      <c r="M220" s="26"/>
      <c r="N220" s="26"/>
      <c r="O220" s="24"/>
      <c r="P220" s="2"/>
      <c r="Q220" s="26"/>
      <c r="R220" s="26"/>
      <c r="S220" s="26"/>
      <c r="T220" s="26"/>
      <c r="U220" s="24"/>
      <c r="V220" s="10" t="e">
        <f>_xlfn.XLOOKUP(U220,Таклифлар37[Таклифлар],Таклифлар37[TaklifID])</f>
        <v>#N/A</v>
      </c>
      <c r="W220" s="24"/>
      <c r="X220" s="23"/>
      <c r="Y220" s="7"/>
      <c r="Z220" s="26"/>
      <c r="AB220" s="23"/>
      <c r="AD220" s="2"/>
      <c r="AG220" s="23"/>
      <c r="AI220" s="26"/>
      <c r="AJ220" s="23"/>
      <c r="AM220" s="23"/>
      <c r="AO220" s="32"/>
      <c r="AP220" s="26"/>
      <c r="AR220" s="26"/>
      <c r="AS220" s="27"/>
      <c r="AT220" s="27"/>
      <c r="AU220" s="31"/>
      <c r="AV220" s="24"/>
      <c r="AW220"/>
      <c r="AX220"/>
      <c r="AY220"/>
      <c r="AZ220"/>
      <c r="BA220"/>
      <c r="BB220"/>
      <c r="BC220"/>
      <c r="BD220"/>
      <c r="BE220"/>
      <c r="BF220"/>
      <c r="BG220"/>
    </row>
    <row r="221" spans="1:59" x14ac:dyDescent="0.25">
      <c r="B221" s="22"/>
      <c r="C221" s="23"/>
      <c r="E221" s="23"/>
      <c r="F221" s="24"/>
      <c r="G221" s="2"/>
      <c r="H221" s="10" t="e">
        <f>_xlfn.XLOOKUP(F221,Viloyatlar24[RegionName],Viloyatlar24[RegionId])</f>
        <v>#N/A</v>
      </c>
      <c r="I221" s="10" t="e">
        <f>_xlfn.XLOOKUP('Кўчмас мулк объектлари'!G221,Tumanlar23[DistrictName],Tumanlar23[DistrictId])</f>
        <v>#N/A</v>
      </c>
      <c r="K221" s="24"/>
      <c r="L221" s="10" t="e">
        <f>_xlfn.XLOOKUP(K221,Ташкилотлар39[Ташкилотлар],Ташкилотлар39[TashklilotID])</f>
        <v>#N/A</v>
      </c>
      <c r="M221" s="26"/>
      <c r="N221" s="26"/>
      <c r="O221" s="24"/>
      <c r="P221" s="2"/>
      <c r="Q221" s="26"/>
      <c r="R221" s="26"/>
      <c r="S221" s="26"/>
      <c r="T221" s="26"/>
      <c r="U221" s="24"/>
      <c r="V221" s="10" t="e">
        <f>_xlfn.XLOOKUP(U221,Таклифлар37[Таклифлар],Таклифлар37[TaklifID])</f>
        <v>#N/A</v>
      </c>
      <c r="W221" s="24"/>
      <c r="X221" s="23"/>
      <c r="Y221" s="7"/>
      <c r="Z221" s="26"/>
      <c r="AB221" s="23"/>
      <c r="AD221" s="2"/>
      <c r="AG221" s="23"/>
      <c r="AI221" s="26"/>
      <c r="AJ221" s="23"/>
      <c r="AM221" s="23"/>
      <c r="AO221" s="32"/>
      <c r="AP221" s="26"/>
      <c r="AR221" s="26"/>
      <c r="AS221" s="27"/>
      <c r="AT221" s="27"/>
      <c r="AU221" s="31"/>
      <c r="AV221" s="24"/>
      <c r="AW221"/>
      <c r="AX221"/>
      <c r="AY221"/>
      <c r="AZ221"/>
      <c r="BA221"/>
      <c r="BB221"/>
      <c r="BC221"/>
      <c r="BD221"/>
      <c r="BE221"/>
      <c r="BF221"/>
      <c r="BG221"/>
    </row>
    <row r="222" spans="1:59" x14ac:dyDescent="0.25">
      <c r="B222" s="22"/>
      <c r="C222" s="23"/>
      <c r="E222" s="23"/>
      <c r="F222" s="24"/>
      <c r="G222" s="2"/>
      <c r="H222" s="10" t="e">
        <f>_xlfn.XLOOKUP(F222,Viloyatlar24[RegionName],Viloyatlar24[RegionId])</f>
        <v>#N/A</v>
      </c>
      <c r="I222" s="10" t="e">
        <f>_xlfn.XLOOKUP('Кўчмас мулк объектлари'!G222,Tumanlar23[DistrictName],Tumanlar23[DistrictId])</f>
        <v>#N/A</v>
      </c>
      <c r="K222" s="24"/>
      <c r="L222" s="10" t="e">
        <f>_xlfn.XLOOKUP(K222,Ташкилотлар39[Ташкилотлар],Ташкилотлар39[TashklilotID])</f>
        <v>#N/A</v>
      </c>
      <c r="M222" s="26"/>
      <c r="N222" s="26"/>
      <c r="O222" s="24"/>
      <c r="P222" s="2"/>
      <c r="Q222" s="26"/>
      <c r="R222" s="26"/>
      <c r="S222" s="26"/>
      <c r="T222" s="26"/>
      <c r="U222" s="24"/>
      <c r="V222" s="10" t="e">
        <f>_xlfn.XLOOKUP(U222,Таклифлар37[Таклифлар],Таклифлар37[TaklifID])</f>
        <v>#N/A</v>
      </c>
      <c r="W222" s="24"/>
      <c r="X222" s="23"/>
      <c r="Y222" s="7"/>
      <c r="Z222" s="26"/>
      <c r="AB222" s="23"/>
      <c r="AD222" s="2"/>
      <c r="AG222" s="23"/>
      <c r="AI222" s="26"/>
      <c r="AJ222" s="23"/>
      <c r="AM222" s="23"/>
      <c r="AO222" s="32"/>
      <c r="AP222" s="26"/>
      <c r="AR222" s="26"/>
      <c r="AS222" s="27"/>
      <c r="AT222" s="27"/>
      <c r="AU222" s="31"/>
      <c r="AV222" s="24"/>
      <c r="AW222"/>
      <c r="AX222"/>
      <c r="AY222"/>
      <c r="AZ222"/>
      <c r="BA222"/>
      <c r="BB222"/>
      <c r="BC222"/>
      <c r="BD222"/>
      <c r="BE222"/>
      <c r="BF222"/>
      <c r="BG222"/>
    </row>
    <row r="223" spans="1:59" x14ac:dyDescent="0.25">
      <c r="B223" s="22"/>
      <c r="C223" s="23"/>
      <c r="E223" s="23"/>
      <c r="F223" s="24"/>
      <c r="G223" s="2"/>
      <c r="H223" s="10" t="e">
        <f>_xlfn.XLOOKUP(F223,Viloyatlar24[RegionName],Viloyatlar24[RegionId])</f>
        <v>#N/A</v>
      </c>
      <c r="I223" s="10" t="e">
        <f>_xlfn.XLOOKUP('Кўчмас мулк объектлари'!G223,Tumanlar23[DistrictName],Tumanlar23[DistrictId])</f>
        <v>#N/A</v>
      </c>
      <c r="K223" s="24"/>
      <c r="L223" s="10" t="e">
        <f>_xlfn.XLOOKUP(K223,Ташкилотлар39[Ташкилотлар],Ташкилотлар39[TashklilotID])</f>
        <v>#N/A</v>
      </c>
      <c r="M223" s="26"/>
      <c r="N223" s="26"/>
      <c r="O223" s="24"/>
      <c r="P223" s="2"/>
      <c r="Q223" s="26"/>
      <c r="R223" s="26"/>
      <c r="S223" s="26"/>
      <c r="T223" s="26"/>
      <c r="U223" s="24"/>
      <c r="V223" s="10" t="e">
        <f>_xlfn.XLOOKUP(U223,Таклифлар37[Таклифлар],Таклифлар37[TaklifID])</f>
        <v>#N/A</v>
      </c>
      <c r="W223" s="24"/>
      <c r="X223" s="23"/>
      <c r="Y223" s="7"/>
      <c r="Z223" s="26"/>
      <c r="AB223" s="23"/>
      <c r="AD223" s="2"/>
      <c r="AG223" s="23"/>
      <c r="AI223" s="26"/>
      <c r="AJ223" s="23"/>
      <c r="AM223" s="23"/>
      <c r="AO223" s="32"/>
      <c r="AP223" s="26"/>
      <c r="AR223" s="26"/>
      <c r="AS223" s="27"/>
      <c r="AT223" s="27"/>
      <c r="AU223" s="31"/>
      <c r="AV223" s="24"/>
      <c r="AW223"/>
      <c r="AX223"/>
      <c r="AY223"/>
      <c r="AZ223"/>
      <c r="BA223"/>
      <c r="BB223"/>
      <c r="BC223"/>
      <c r="BD223"/>
      <c r="BE223"/>
      <c r="BF223"/>
      <c r="BG223"/>
    </row>
    <row r="224" spans="1:59" x14ac:dyDescent="0.25">
      <c r="B224" s="22"/>
      <c r="C224" s="23"/>
      <c r="E224" s="23"/>
      <c r="F224" s="24"/>
      <c r="G224" s="2"/>
      <c r="H224" s="10" t="e">
        <f>_xlfn.XLOOKUP(F224,Viloyatlar24[RegionName],Viloyatlar24[RegionId])</f>
        <v>#N/A</v>
      </c>
      <c r="I224" s="10" t="e">
        <f>_xlfn.XLOOKUP('Кўчмас мулк объектлари'!G224,Tumanlar23[DistrictName],Tumanlar23[DistrictId])</f>
        <v>#N/A</v>
      </c>
      <c r="K224" s="24"/>
      <c r="L224" s="10" t="e">
        <f>_xlfn.XLOOKUP(K224,Ташкилотлар39[Ташкилотлар],Ташкилотлар39[TashklilotID])</f>
        <v>#N/A</v>
      </c>
      <c r="M224" s="26"/>
      <c r="N224" s="26"/>
      <c r="O224" s="24"/>
      <c r="P224" s="2"/>
      <c r="Q224" s="26"/>
      <c r="R224" s="26"/>
      <c r="S224" s="26"/>
      <c r="T224" s="26"/>
      <c r="U224" s="24"/>
      <c r="V224" s="10" t="e">
        <f>_xlfn.XLOOKUP(U224,Таклифлар37[Таклифлар],Таклифлар37[TaklifID])</f>
        <v>#N/A</v>
      </c>
      <c r="W224" s="24"/>
      <c r="X224" s="23"/>
      <c r="Y224" s="7"/>
      <c r="Z224" s="26"/>
      <c r="AB224" s="23"/>
      <c r="AD224" s="2"/>
      <c r="AG224" s="23"/>
      <c r="AI224" s="26"/>
      <c r="AJ224" s="23"/>
      <c r="AM224" s="23"/>
      <c r="AO224" s="32"/>
      <c r="AP224" s="26"/>
      <c r="AR224" s="26"/>
      <c r="AS224" s="27"/>
      <c r="AT224" s="27"/>
      <c r="AU224" s="31"/>
      <c r="AV224" s="24"/>
      <c r="AW224"/>
      <c r="AX224"/>
      <c r="AY224"/>
      <c r="AZ224"/>
      <c r="BA224"/>
      <c r="BB224"/>
      <c r="BC224"/>
      <c r="BD224"/>
      <c r="BE224"/>
      <c r="BF224"/>
      <c r="BG224"/>
    </row>
    <row r="225" spans="2:59" x14ac:dyDescent="0.25">
      <c r="B225" s="22"/>
      <c r="C225" s="23"/>
      <c r="E225" s="23"/>
      <c r="F225" s="24"/>
      <c r="G225" s="2"/>
      <c r="H225" s="10" t="e">
        <f>_xlfn.XLOOKUP(F225,Viloyatlar24[RegionName],Viloyatlar24[RegionId])</f>
        <v>#N/A</v>
      </c>
      <c r="I225" s="10" t="e">
        <f>_xlfn.XLOOKUP('Кўчмас мулк объектлари'!G225,Tumanlar23[DistrictName],Tumanlar23[DistrictId])</f>
        <v>#N/A</v>
      </c>
      <c r="K225" s="24"/>
      <c r="L225" s="10" t="e">
        <f>_xlfn.XLOOKUP(K225,Ташкилотлар39[Ташкилотлар],Ташкилотлар39[TashklilotID])</f>
        <v>#N/A</v>
      </c>
      <c r="M225" s="26"/>
      <c r="N225" s="26"/>
      <c r="O225" s="24"/>
      <c r="P225" s="2"/>
      <c r="Q225" s="26"/>
      <c r="R225" s="26"/>
      <c r="S225" s="26"/>
      <c r="T225" s="26"/>
      <c r="U225" s="24"/>
      <c r="V225" s="10" t="e">
        <f>_xlfn.XLOOKUP(U225,Таклифлар37[Таклифлар],Таклифлар37[TaklifID])</f>
        <v>#N/A</v>
      </c>
      <c r="W225" s="24"/>
      <c r="X225" s="23"/>
      <c r="Y225" s="7"/>
      <c r="Z225" s="26"/>
      <c r="AB225" s="23"/>
      <c r="AD225" s="2"/>
      <c r="AG225" s="23"/>
      <c r="AI225" s="26"/>
      <c r="AJ225" s="23"/>
      <c r="AM225" s="23"/>
      <c r="AO225" s="32"/>
      <c r="AP225" s="26"/>
      <c r="AR225" s="26"/>
      <c r="AS225" s="27"/>
      <c r="AT225" s="27"/>
      <c r="AU225" s="31"/>
      <c r="AV225" s="24"/>
      <c r="AW225"/>
      <c r="AX225"/>
      <c r="AY225"/>
      <c r="AZ225"/>
      <c r="BA225"/>
      <c r="BB225"/>
      <c r="BC225"/>
      <c r="BD225"/>
      <c r="BE225"/>
      <c r="BF225"/>
      <c r="BG225"/>
    </row>
    <row r="226" spans="2:59" x14ac:dyDescent="0.25">
      <c r="B226" s="22"/>
      <c r="C226" s="23"/>
      <c r="E226" s="23"/>
      <c r="F226" s="24"/>
      <c r="G226" s="2"/>
      <c r="H226" s="10" t="e">
        <f>_xlfn.XLOOKUP(F226,Viloyatlar24[RegionName],Viloyatlar24[RegionId])</f>
        <v>#N/A</v>
      </c>
      <c r="I226" s="10" t="e">
        <f>_xlfn.XLOOKUP('Кўчмас мулк объектлари'!G226,Tumanlar23[DistrictName],Tumanlar23[DistrictId])</f>
        <v>#N/A</v>
      </c>
      <c r="K226" s="24"/>
      <c r="L226" s="10" t="e">
        <f>_xlfn.XLOOKUP(K226,Ташкилотлар39[Ташкилотлар],Ташкилотлар39[TashklilotID])</f>
        <v>#N/A</v>
      </c>
      <c r="M226" s="26"/>
      <c r="N226" s="26"/>
      <c r="O226" s="24"/>
      <c r="P226" s="2"/>
      <c r="Q226" s="26"/>
      <c r="R226" s="26"/>
      <c r="S226" s="26"/>
      <c r="T226" s="26"/>
      <c r="U226" s="24"/>
      <c r="V226" s="10" t="e">
        <f>_xlfn.XLOOKUP(U226,Таклифлар37[Таклифлар],Таклифлар37[TaklifID])</f>
        <v>#N/A</v>
      </c>
      <c r="W226" s="24"/>
      <c r="X226" s="23"/>
      <c r="Y226" s="7"/>
      <c r="Z226" s="26"/>
      <c r="AB226" s="23"/>
      <c r="AD226" s="2"/>
      <c r="AG226" s="23"/>
      <c r="AI226" s="26"/>
      <c r="AJ226" s="23"/>
      <c r="AM226" s="23"/>
      <c r="AO226" s="32"/>
      <c r="AP226" s="26"/>
      <c r="AR226" s="26"/>
      <c r="AS226" s="27"/>
      <c r="AT226" s="27"/>
      <c r="AU226" s="31"/>
      <c r="AV226" s="24"/>
      <c r="AW226"/>
      <c r="AX226"/>
      <c r="AY226"/>
      <c r="AZ226"/>
      <c r="BA226"/>
      <c r="BB226"/>
      <c r="BC226"/>
      <c r="BD226"/>
      <c r="BE226"/>
      <c r="BF226"/>
      <c r="BG226"/>
    </row>
    <row r="227" spans="2:59" x14ac:dyDescent="0.25">
      <c r="B227" s="22"/>
      <c r="C227" s="23"/>
      <c r="E227" s="23"/>
      <c r="F227" s="24"/>
      <c r="G227" s="2"/>
      <c r="H227" s="10" t="e">
        <f>_xlfn.XLOOKUP(F227,Viloyatlar24[RegionName],Viloyatlar24[RegionId])</f>
        <v>#N/A</v>
      </c>
      <c r="I227" s="10" t="e">
        <f>_xlfn.XLOOKUP('Кўчмас мулк объектлари'!G227,Tumanlar23[DistrictName],Tumanlar23[DistrictId])</f>
        <v>#N/A</v>
      </c>
      <c r="K227" s="24"/>
      <c r="L227" s="10" t="e">
        <f>_xlfn.XLOOKUP(K227,Ташкилотлар39[Ташкилотлар],Ташкилотлар39[TashklilotID])</f>
        <v>#N/A</v>
      </c>
      <c r="M227" s="26"/>
      <c r="N227" s="26"/>
      <c r="O227" s="24"/>
      <c r="P227" s="2"/>
      <c r="Q227" s="26"/>
      <c r="R227" s="26"/>
      <c r="S227" s="26"/>
      <c r="T227" s="26"/>
      <c r="U227" s="24"/>
      <c r="V227" s="10" t="e">
        <f>_xlfn.XLOOKUP(U227,Таклифлар37[Таклифлар],Таклифлар37[TaklifID])</f>
        <v>#N/A</v>
      </c>
      <c r="W227" s="24"/>
      <c r="X227" s="23"/>
      <c r="Y227" s="7"/>
      <c r="Z227" s="26"/>
      <c r="AB227" s="23"/>
      <c r="AD227" s="2"/>
      <c r="AG227" s="23"/>
      <c r="AI227" s="26"/>
      <c r="AJ227" s="23"/>
      <c r="AM227" s="23"/>
      <c r="AO227" s="32"/>
      <c r="AP227" s="26"/>
      <c r="AR227" s="26"/>
      <c r="AS227" s="27"/>
      <c r="AT227" s="27"/>
      <c r="AU227" s="31"/>
      <c r="AV227" s="24"/>
      <c r="AW227"/>
      <c r="AX227"/>
      <c r="AY227"/>
      <c r="AZ227"/>
      <c r="BA227"/>
      <c r="BB227"/>
      <c r="BC227"/>
      <c r="BD227"/>
      <c r="BE227"/>
      <c r="BF227"/>
      <c r="BG227"/>
    </row>
    <row r="228" spans="2:59" x14ac:dyDescent="0.25">
      <c r="B228" s="22"/>
      <c r="C228" s="23"/>
      <c r="E228" s="23"/>
      <c r="F228" s="24"/>
      <c r="G228" s="2"/>
      <c r="H228" s="10" t="e">
        <f>_xlfn.XLOOKUP(F228,Viloyatlar24[RegionName],Viloyatlar24[RegionId])</f>
        <v>#N/A</v>
      </c>
      <c r="I228" s="10" t="e">
        <f>_xlfn.XLOOKUP('Кўчмас мулк объектлари'!G228,Tumanlar23[DistrictName],Tumanlar23[DistrictId])</f>
        <v>#N/A</v>
      </c>
      <c r="K228" s="24"/>
      <c r="L228" s="10" t="e">
        <f>_xlfn.XLOOKUP(K228,Ташкилотлар39[Ташкилотлар],Ташкилотлар39[TashklilotID])</f>
        <v>#N/A</v>
      </c>
      <c r="M228" s="26"/>
      <c r="N228" s="26"/>
      <c r="O228" s="24"/>
      <c r="P228" s="2"/>
      <c r="Q228" s="26"/>
      <c r="R228" s="26"/>
      <c r="S228" s="26"/>
      <c r="T228" s="26"/>
      <c r="U228" s="24"/>
      <c r="V228" s="10" t="e">
        <f>_xlfn.XLOOKUP(U228,Таклифлар37[Таклифлар],Таклифлар37[TaklifID])</f>
        <v>#N/A</v>
      </c>
      <c r="W228" s="24"/>
      <c r="X228" s="23"/>
      <c r="Y228" s="7"/>
      <c r="Z228" s="26"/>
      <c r="AB228" s="23"/>
      <c r="AD228" s="2"/>
      <c r="AG228" s="23"/>
      <c r="AI228" s="26"/>
      <c r="AJ228" s="23"/>
      <c r="AM228" s="23"/>
      <c r="AO228" s="32"/>
      <c r="AP228" s="26"/>
      <c r="AR228" s="26"/>
      <c r="AS228" s="27"/>
      <c r="AT228" s="27"/>
      <c r="AU228" s="31"/>
      <c r="AV228" s="24"/>
      <c r="AW228"/>
      <c r="AX228"/>
      <c r="AY228"/>
      <c r="AZ228"/>
      <c r="BA228"/>
      <c r="BB228"/>
      <c r="BC228"/>
      <c r="BD228"/>
      <c r="BE228"/>
      <c r="BF228"/>
      <c r="BG228"/>
    </row>
    <row r="229" spans="2:59" x14ac:dyDescent="0.25">
      <c r="B229" s="22"/>
      <c r="C229" s="23"/>
      <c r="E229" s="23"/>
      <c r="F229" s="24"/>
      <c r="G229" s="2"/>
      <c r="H229" s="10" t="e">
        <f>_xlfn.XLOOKUP(F229,Viloyatlar24[RegionName],Viloyatlar24[RegionId])</f>
        <v>#N/A</v>
      </c>
      <c r="I229" s="10" t="e">
        <f>_xlfn.XLOOKUP('Кўчмас мулк объектлари'!G229,Tumanlar23[DistrictName],Tumanlar23[DistrictId])</f>
        <v>#N/A</v>
      </c>
      <c r="K229" s="24"/>
      <c r="L229" s="10" t="e">
        <f>_xlfn.XLOOKUP(K229,Ташкилотлар39[Ташкилотлар],Ташкилотлар39[TashklilotID])</f>
        <v>#N/A</v>
      </c>
      <c r="M229" s="26"/>
      <c r="N229" s="26"/>
      <c r="O229" s="24"/>
      <c r="P229" s="2"/>
      <c r="Q229" s="26"/>
      <c r="R229" s="26"/>
      <c r="S229" s="26"/>
      <c r="T229" s="26"/>
      <c r="U229" s="24"/>
      <c r="V229" s="10" t="e">
        <f>_xlfn.XLOOKUP(U229,Таклифлар37[Таклифлар],Таклифлар37[TaklifID])</f>
        <v>#N/A</v>
      </c>
      <c r="W229" s="24"/>
      <c r="X229" s="23"/>
      <c r="Y229" s="7"/>
      <c r="Z229" s="26"/>
      <c r="AB229" s="23"/>
      <c r="AD229" s="2"/>
      <c r="AG229" s="23"/>
      <c r="AI229" s="26"/>
      <c r="AJ229" s="23"/>
      <c r="AM229" s="23"/>
      <c r="AO229" s="32"/>
      <c r="AP229" s="26"/>
      <c r="AR229" s="26"/>
      <c r="AS229" s="27"/>
      <c r="AT229" s="27"/>
      <c r="AU229" s="31"/>
      <c r="AV229" s="24"/>
      <c r="AW229"/>
      <c r="AX229"/>
      <c r="AY229"/>
      <c r="AZ229"/>
      <c r="BA229"/>
      <c r="BB229"/>
      <c r="BC229"/>
      <c r="BD229"/>
      <c r="BE229"/>
      <c r="BF229"/>
      <c r="BG229"/>
    </row>
    <row r="230" spans="2:59" x14ac:dyDescent="0.25">
      <c r="B230" s="22"/>
      <c r="C230" s="23"/>
      <c r="E230" s="23"/>
      <c r="F230" s="24"/>
      <c r="G230" s="2"/>
      <c r="H230" s="10" t="e">
        <f>_xlfn.XLOOKUP(F230,Viloyatlar24[RegionName],Viloyatlar24[RegionId])</f>
        <v>#N/A</v>
      </c>
      <c r="I230" s="10" t="e">
        <f>_xlfn.XLOOKUP('Кўчмас мулк объектлари'!G230,Tumanlar23[DistrictName],Tumanlar23[DistrictId])</f>
        <v>#N/A</v>
      </c>
      <c r="K230" s="24"/>
      <c r="L230" s="10" t="e">
        <f>_xlfn.XLOOKUP(K230,Ташкилотлар39[Ташкилотлар],Ташкилотлар39[TashklilotID])</f>
        <v>#N/A</v>
      </c>
      <c r="M230" s="26"/>
      <c r="N230" s="26"/>
      <c r="O230" s="24"/>
      <c r="P230" s="2"/>
      <c r="Q230" s="26"/>
      <c r="R230" s="26"/>
      <c r="S230" s="26"/>
      <c r="T230" s="26"/>
      <c r="U230" s="24"/>
      <c r="V230" s="10" t="e">
        <f>_xlfn.XLOOKUP(U230,Таклифлар37[Таклифлар],Таклифлар37[TaklifID])</f>
        <v>#N/A</v>
      </c>
      <c r="W230" s="24"/>
      <c r="X230" s="23"/>
      <c r="Y230" s="7"/>
      <c r="Z230" s="26"/>
      <c r="AB230" s="23"/>
      <c r="AD230" s="2"/>
      <c r="AG230" s="23"/>
      <c r="AI230" s="26"/>
      <c r="AJ230" s="23"/>
      <c r="AM230" s="23"/>
      <c r="AO230" s="32"/>
      <c r="AP230" s="26"/>
      <c r="AR230" s="26"/>
      <c r="AS230" s="27"/>
      <c r="AT230" s="27"/>
      <c r="AU230" s="31"/>
      <c r="AV230" s="24"/>
      <c r="AW230"/>
      <c r="AX230"/>
      <c r="AY230"/>
      <c r="AZ230"/>
      <c r="BA230"/>
      <c r="BB230"/>
      <c r="BC230"/>
      <c r="BD230"/>
      <c r="BE230"/>
      <c r="BF230"/>
      <c r="BG230"/>
    </row>
    <row r="231" spans="2:59" x14ac:dyDescent="0.25">
      <c r="B231" s="22"/>
      <c r="C231" s="23"/>
      <c r="E231" s="23"/>
      <c r="F231" s="24"/>
      <c r="G231" s="2"/>
      <c r="H231" s="10" t="e">
        <f>_xlfn.XLOOKUP(F231,Viloyatlar24[RegionName],Viloyatlar24[RegionId])</f>
        <v>#N/A</v>
      </c>
      <c r="I231" s="10" t="e">
        <f>_xlfn.XLOOKUP('Кўчмас мулк объектлари'!G231,Tumanlar23[DistrictName],Tumanlar23[DistrictId])</f>
        <v>#N/A</v>
      </c>
      <c r="K231" s="24"/>
      <c r="L231" s="10" t="e">
        <f>_xlfn.XLOOKUP(K231,Ташкилотлар39[Ташкилотлар],Ташкилотлар39[TashklilotID])</f>
        <v>#N/A</v>
      </c>
      <c r="M231" s="26"/>
      <c r="N231" s="26"/>
      <c r="O231" s="24"/>
      <c r="P231" s="2"/>
      <c r="Q231" s="26"/>
      <c r="R231" s="26"/>
      <c r="S231" s="26"/>
      <c r="T231" s="26"/>
      <c r="U231" s="24"/>
      <c r="V231" s="10" t="e">
        <f>_xlfn.XLOOKUP(U231,Таклифлар37[Таклифлар],Таклифлар37[TaklifID])</f>
        <v>#N/A</v>
      </c>
      <c r="W231" s="24"/>
      <c r="X231" s="23"/>
      <c r="Y231" s="7"/>
      <c r="Z231" s="26"/>
      <c r="AB231" s="23"/>
      <c r="AD231" s="2"/>
      <c r="AG231" s="23"/>
      <c r="AI231" s="26"/>
      <c r="AJ231" s="23"/>
      <c r="AM231" s="23"/>
      <c r="AO231" s="32"/>
      <c r="AP231" s="26"/>
      <c r="AR231" s="26"/>
      <c r="AS231" s="27"/>
      <c r="AT231" s="27"/>
      <c r="AU231" s="31"/>
      <c r="AV231" s="24"/>
      <c r="AW231"/>
      <c r="AX231"/>
      <c r="AY231"/>
      <c r="AZ231"/>
      <c r="BA231"/>
      <c r="BB231"/>
      <c r="BC231"/>
      <c r="BD231"/>
      <c r="BE231"/>
      <c r="BF231"/>
      <c r="BG231"/>
    </row>
    <row r="232" spans="2:59" x14ac:dyDescent="0.25">
      <c r="B232" s="22"/>
      <c r="C232" s="23"/>
      <c r="E232" s="23"/>
      <c r="F232" s="24"/>
      <c r="G232" s="2"/>
      <c r="H232" s="10" t="e">
        <f>_xlfn.XLOOKUP(F232,Viloyatlar24[RegionName],Viloyatlar24[RegionId])</f>
        <v>#N/A</v>
      </c>
      <c r="I232" s="10" t="e">
        <f>_xlfn.XLOOKUP('Кўчмас мулк объектлари'!G232,Tumanlar23[DistrictName],Tumanlar23[DistrictId])</f>
        <v>#N/A</v>
      </c>
      <c r="K232" s="24"/>
      <c r="L232" s="10" t="e">
        <f>_xlfn.XLOOKUP(K232,Ташкилотлар39[Ташкилотлар],Ташкилотлар39[TashklilotID])</f>
        <v>#N/A</v>
      </c>
      <c r="M232" s="26"/>
      <c r="N232" s="26"/>
      <c r="O232" s="24"/>
      <c r="P232" s="2"/>
      <c r="Q232" s="26"/>
      <c r="R232" s="26"/>
      <c r="S232" s="26"/>
      <c r="T232" s="26"/>
      <c r="U232" s="24"/>
      <c r="V232" s="10" t="e">
        <f>_xlfn.XLOOKUP(U232,Таклифлар37[Таклифлар],Таклифлар37[TaklifID])</f>
        <v>#N/A</v>
      </c>
      <c r="W232" s="24"/>
      <c r="X232" s="23"/>
      <c r="Y232" s="7"/>
      <c r="Z232" s="26"/>
      <c r="AB232" s="23"/>
      <c r="AD232" s="2"/>
      <c r="AG232" s="23"/>
      <c r="AI232" s="26"/>
      <c r="AJ232" s="23"/>
      <c r="AM232" s="23"/>
      <c r="AO232" s="32"/>
      <c r="AP232" s="26"/>
      <c r="AR232" s="26"/>
      <c r="AS232" s="27"/>
      <c r="AT232" s="27"/>
      <c r="AU232" s="31"/>
      <c r="AV232" s="24"/>
      <c r="AW232"/>
      <c r="AX232"/>
      <c r="AY232"/>
      <c r="AZ232"/>
      <c r="BA232"/>
      <c r="BB232"/>
      <c r="BC232"/>
      <c r="BD232"/>
      <c r="BE232"/>
      <c r="BF232"/>
      <c r="BG232"/>
    </row>
    <row r="233" spans="2:59" x14ac:dyDescent="0.25">
      <c r="B233" s="22"/>
      <c r="C233" s="23"/>
      <c r="E233" s="23"/>
      <c r="F233" s="24"/>
      <c r="G233" s="2"/>
      <c r="H233" s="10" t="e">
        <f>_xlfn.XLOOKUP(F233,Viloyatlar24[RegionName],Viloyatlar24[RegionId])</f>
        <v>#N/A</v>
      </c>
      <c r="I233" s="10" t="e">
        <f>_xlfn.XLOOKUP('Кўчмас мулк объектлари'!G233,Tumanlar23[DistrictName],Tumanlar23[DistrictId])</f>
        <v>#N/A</v>
      </c>
      <c r="K233" s="24"/>
      <c r="L233" s="10" t="e">
        <f>_xlfn.XLOOKUP(K233,Ташкилотлар39[Ташкилотлар],Ташкилотлар39[TashklilotID])</f>
        <v>#N/A</v>
      </c>
      <c r="M233" s="26"/>
      <c r="N233" s="26"/>
      <c r="O233" s="24"/>
      <c r="P233" s="2"/>
      <c r="Q233" s="26"/>
      <c r="R233" s="26"/>
      <c r="S233" s="26"/>
      <c r="T233" s="26"/>
      <c r="U233" s="24"/>
      <c r="V233" s="10" t="e">
        <f>_xlfn.XLOOKUP(U233,Таклифлар37[Таклифлар],Таклифлар37[TaklifID])</f>
        <v>#N/A</v>
      </c>
      <c r="W233" s="24"/>
      <c r="X233" s="23"/>
      <c r="Y233" s="7"/>
      <c r="Z233" s="26"/>
      <c r="AB233" s="23"/>
      <c r="AD233" s="2"/>
      <c r="AG233" s="23"/>
      <c r="AI233" s="26"/>
      <c r="AJ233" s="23"/>
      <c r="AM233" s="23"/>
      <c r="AO233" s="32"/>
      <c r="AP233" s="26"/>
      <c r="AR233" s="26"/>
      <c r="AS233" s="27"/>
      <c r="AT233" s="27"/>
      <c r="AU233" s="31"/>
      <c r="AV233" s="24"/>
      <c r="AW233"/>
      <c r="AX233"/>
      <c r="AY233"/>
      <c r="AZ233"/>
      <c r="BA233"/>
      <c r="BB233"/>
      <c r="BC233"/>
      <c r="BD233"/>
      <c r="BE233"/>
      <c r="BF233"/>
      <c r="BG233"/>
    </row>
    <row r="234" spans="2:59" x14ac:dyDescent="0.25">
      <c r="B234" s="22"/>
      <c r="C234" s="23"/>
      <c r="E234" s="23"/>
      <c r="F234" s="24"/>
      <c r="G234" s="2"/>
      <c r="H234" s="10" t="e">
        <f>_xlfn.XLOOKUP(F234,Viloyatlar24[RegionName],Viloyatlar24[RegionId])</f>
        <v>#N/A</v>
      </c>
      <c r="I234" s="10" t="e">
        <f>_xlfn.XLOOKUP('Кўчмас мулк объектлари'!G234,Tumanlar23[DistrictName],Tumanlar23[DistrictId])</f>
        <v>#N/A</v>
      </c>
      <c r="K234" s="24"/>
      <c r="L234" s="10" t="e">
        <f>_xlfn.XLOOKUP(K234,Ташкилотлар39[Ташкилотлар],Ташкилотлар39[TashklilotID])</f>
        <v>#N/A</v>
      </c>
      <c r="M234" s="26"/>
      <c r="N234" s="26"/>
      <c r="O234" s="24"/>
      <c r="P234" s="2"/>
      <c r="Q234" s="26"/>
      <c r="R234" s="26"/>
      <c r="S234" s="26"/>
      <c r="T234" s="26"/>
      <c r="U234" s="24"/>
      <c r="V234" s="10" t="e">
        <f>_xlfn.XLOOKUP(U234,Таклифлар37[Таклифлар],Таклифлар37[TaklifID])</f>
        <v>#N/A</v>
      </c>
      <c r="W234" s="24"/>
      <c r="X234" s="23"/>
      <c r="Y234" s="7"/>
      <c r="Z234" s="26"/>
      <c r="AB234" s="23"/>
      <c r="AD234" s="2"/>
      <c r="AG234" s="23"/>
      <c r="AI234" s="26"/>
      <c r="AJ234" s="23"/>
      <c r="AM234" s="23"/>
      <c r="AO234" s="32"/>
      <c r="AP234" s="26"/>
      <c r="AR234" s="26"/>
      <c r="AS234" s="27"/>
      <c r="AT234" s="27"/>
      <c r="AU234" s="31"/>
      <c r="AV234" s="24"/>
      <c r="AW234"/>
      <c r="AX234"/>
      <c r="AY234"/>
      <c r="AZ234"/>
      <c r="BA234"/>
      <c r="BB234"/>
      <c r="BC234"/>
      <c r="BD234"/>
      <c r="BE234"/>
      <c r="BF234"/>
      <c r="BG234"/>
    </row>
    <row r="235" spans="2:59" x14ac:dyDescent="0.25">
      <c r="B235" s="22"/>
      <c r="C235" s="23"/>
      <c r="E235" s="23"/>
      <c r="F235" s="24"/>
      <c r="G235" s="2"/>
      <c r="H235" s="10" t="e">
        <f>_xlfn.XLOOKUP(F235,Viloyatlar24[RegionName],Viloyatlar24[RegionId])</f>
        <v>#N/A</v>
      </c>
      <c r="I235" s="10" t="e">
        <f>_xlfn.XLOOKUP('Кўчмас мулк объектлари'!G235,Tumanlar23[DistrictName],Tumanlar23[DistrictId])</f>
        <v>#N/A</v>
      </c>
      <c r="K235" s="24"/>
      <c r="L235" s="10" t="e">
        <f>_xlfn.XLOOKUP(K235,Ташкилотлар39[Ташкилотлар],Ташкилотлар39[TashklilotID])</f>
        <v>#N/A</v>
      </c>
      <c r="M235" s="26"/>
      <c r="N235" s="26"/>
      <c r="O235" s="24"/>
      <c r="P235" s="2"/>
      <c r="Q235" s="26"/>
      <c r="R235" s="26"/>
      <c r="S235" s="26"/>
      <c r="T235" s="26"/>
      <c r="U235" s="24"/>
      <c r="V235" s="10" t="e">
        <f>_xlfn.XLOOKUP(U235,Таклифлар37[Таклифлар],Таклифлар37[TaklifID])</f>
        <v>#N/A</v>
      </c>
      <c r="W235" s="24"/>
      <c r="X235" s="23"/>
      <c r="Y235" s="7"/>
      <c r="Z235" s="26"/>
      <c r="AB235" s="23"/>
      <c r="AD235" s="2"/>
      <c r="AG235" s="23"/>
      <c r="AI235" s="26"/>
      <c r="AJ235" s="23"/>
      <c r="AM235" s="23"/>
      <c r="AO235" s="32"/>
      <c r="AP235" s="26"/>
      <c r="AR235" s="26"/>
      <c r="AS235" s="27"/>
      <c r="AT235" s="27"/>
      <c r="AU235" s="31"/>
      <c r="AV235" s="24"/>
      <c r="AW235"/>
      <c r="AX235"/>
      <c r="AY235"/>
      <c r="AZ235"/>
      <c r="BA235"/>
      <c r="BB235"/>
      <c r="BC235"/>
      <c r="BD235"/>
      <c r="BE235"/>
      <c r="BF235"/>
      <c r="BG235"/>
    </row>
    <row r="236" spans="2:59" x14ac:dyDescent="0.25">
      <c r="B236" s="22"/>
      <c r="C236" s="23"/>
      <c r="E236" s="23"/>
      <c r="F236" s="24"/>
      <c r="G236" s="2"/>
      <c r="H236" s="10" t="e">
        <f>_xlfn.XLOOKUP(F236,Viloyatlar24[RegionName],Viloyatlar24[RegionId])</f>
        <v>#N/A</v>
      </c>
      <c r="I236" s="10" t="e">
        <f>_xlfn.XLOOKUP('Кўчмас мулк объектлари'!G236,Tumanlar23[DistrictName],Tumanlar23[DistrictId])</f>
        <v>#N/A</v>
      </c>
      <c r="K236" s="24"/>
      <c r="L236" s="10" t="e">
        <f>_xlfn.XLOOKUP(K236,Ташкилотлар39[Ташкилотлар],Ташкилотлар39[TashklilotID])</f>
        <v>#N/A</v>
      </c>
      <c r="M236" s="26"/>
      <c r="N236" s="26"/>
      <c r="O236" s="24"/>
      <c r="P236" s="2"/>
      <c r="Q236" s="26"/>
      <c r="R236" s="26"/>
      <c r="S236" s="26"/>
      <c r="T236" s="26"/>
      <c r="U236" s="24"/>
      <c r="V236" s="10" t="e">
        <f>_xlfn.XLOOKUP(U236,Таклифлар37[Таклифлар],Таклифлар37[TaklifID])</f>
        <v>#N/A</v>
      </c>
      <c r="W236" s="24"/>
      <c r="X236" s="23"/>
      <c r="Y236" s="7"/>
      <c r="Z236" s="26"/>
      <c r="AB236" s="23"/>
      <c r="AD236" s="2"/>
      <c r="AG236" s="23"/>
      <c r="AI236" s="26"/>
      <c r="AJ236" s="23"/>
      <c r="AM236" s="23"/>
      <c r="AO236" s="32"/>
      <c r="AP236" s="26"/>
      <c r="AR236" s="26"/>
      <c r="AS236" s="27"/>
      <c r="AT236" s="27"/>
      <c r="AU236" s="31"/>
      <c r="AV236" s="24"/>
      <c r="AW236"/>
      <c r="AX236"/>
      <c r="AY236"/>
      <c r="AZ236"/>
      <c r="BA236"/>
      <c r="BB236"/>
      <c r="BC236"/>
      <c r="BD236"/>
      <c r="BE236"/>
      <c r="BF236"/>
      <c r="BG236"/>
    </row>
    <row r="237" spans="2:59" x14ac:dyDescent="0.25">
      <c r="B237" s="22"/>
      <c r="C237" s="23"/>
      <c r="E237" s="23"/>
      <c r="F237" s="24"/>
      <c r="G237" s="2"/>
      <c r="H237" s="10" t="e">
        <f>_xlfn.XLOOKUP(F237,Viloyatlar24[RegionName],Viloyatlar24[RegionId])</f>
        <v>#N/A</v>
      </c>
      <c r="I237" s="10" t="e">
        <f>_xlfn.XLOOKUP('Кўчмас мулк объектлари'!G237,Tumanlar23[DistrictName],Tumanlar23[DistrictId])</f>
        <v>#N/A</v>
      </c>
      <c r="K237" s="24"/>
      <c r="L237" s="10" t="e">
        <f>_xlfn.XLOOKUP(K237,Ташкилотлар39[Ташкилотлар],Ташкилотлар39[TashklilotID])</f>
        <v>#N/A</v>
      </c>
      <c r="M237" s="26"/>
      <c r="N237" s="26"/>
      <c r="O237" s="24"/>
      <c r="P237" s="2"/>
      <c r="Q237" s="26"/>
      <c r="R237" s="26"/>
      <c r="S237" s="26"/>
      <c r="T237" s="26"/>
      <c r="U237" s="24"/>
      <c r="V237" s="10" t="e">
        <f>_xlfn.XLOOKUP(U237,Таклифлар37[Таклифлар],Таклифлар37[TaklifID])</f>
        <v>#N/A</v>
      </c>
      <c r="W237" s="24"/>
      <c r="X237" s="23"/>
      <c r="Y237" s="7"/>
      <c r="Z237" s="26"/>
      <c r="AB237" s="23"/>
      <c r="AD237" s="2"/>
      <c r="AG237" s="23"/>
      <c r="AI237" s="26"/>
      <c r="AJ237" s="23"/>
      <c r="AM237" s="23"/>
      <c r="AO237" s="32"/>
      <c r="AP237" s="26"/>
      <c r="AR237" s="26"/>
      <c r="AS237" s="27"/>
      <c r="AT237" s="27"/>
      <c r="AU237" s="31"/>
      <c r="AV237" s="24"/>
      <c r="AW237"/>
      <c r="AX237"/>
      <c r="AY237"/>
      <c r="AZ237"/>
      <c r="BA237"/>
      <c r="BB237"/>
      <c r="BC237"/>
      <c r="BD237"/>
      <c r="BE237"/>
      <c r="BF237"/>
      <c r="BG237"/>
    </row>
    <row r="238" spans="2:59" x14ac:dyDescent="0.25">
      <c r="B238" s="22"/>
      <c r="C238" s="23"/>
      <c r="E238" s="23"/>
      <c r="F238" s="24"/>
      <c r="G238" s="2"/>
      <c r="H238" s="10" t="e">
        <f>_xlfn.XLOOKUP(F238,Viloyatlar24[RegionName],Viloyatlar24[RegionId])</f>
        <v>#N/A</v>
      </c>
      <c r="I238" s="10" t="e">
        <f>_xlfn.XLOOKUP('Кўчмас мулк объектлари'!G238,Tumanlar23[DistrictName],Tumanlar23[DistrictId])</f>
        <v>#N/A</v>
      </c>
      <c r="K238" s="24"/>
      <c r="L238" s="10" t="e">
        <f>_xlfn.XLOOKUP(K238,Ташкилотлар39[Ташкилотлар],Ташкилотлар39[TashklilotID])</f>
        <v>#N/A</v>
      </c>
      <c r="M238" s="26"/>
      <c r="N238" s="26"/>
      <c r="O238" s="24"/>
      <c r="P238" s="2"/>
      <c r="Q238" s="26"/>
      <c r="R238" s="26"/>
      <c r="S238" s="26"/>
      <c r="T238" s="26"/>
      <c r="U238" s="24"/>
      <c r="V238" s="10" t="e">
        <f>_xlfn.XLOOKUP(U238,Таклифлар37[Таклифлар],Таклифлар37[TaklifID])</f>
        <v>#N/A</v>
      </c>
      <c r="W238" s="24"/>
      <c r="X238" s="23"/>
      <c r="Y238" s="7"/>
      <c r="Z238" s="26"/>
      <c r="AB238" s="23"/>
      <c r="AD238" s="2"/>
      <c r="AG238" s="23"/>
      <c r="AI238" s="26"/>
      <c r="AJ238" s="23"/>
      <c r="AM238" s="23"/>
      <c r="AO238" s="32"/>
      <c r="AP238" s="26"/>
      <c r="AR238" s="26"/>
      <c r="AS238" s="27"/>
      <c r="AT238" s="27"/>
      <c r="AU238" s="31"/>
      <c r="AV238" s="24"/>
      <c r="AW238"/>
      <c r="AX238"/>
      <c r="AY238"/>
      <c r="AZ238"/>
      <c r="BA238"/>
      <c r="BB238"/>
      <c r="BC238"/>
      <c r="BD238"/>
      <c r="BE238"/>
      <c r="BF238"/>
      <c r="BG238"/>
    </row>
    <row r="239" spans="2:59" x14ac:dyDescent="0.25">
      <c r="B239" s="22"/>
      <c r="C239" s="23"/>
      <c r="E239" s="23"/>
      <c r="F239" s="24"/>
      <c r="G239" s="2"/>
      <c r="H239" s="10" t="e">
        <f>_xlfn.XLOOKUP(F239,Viloyatlar24[RegionName],Viloyatlar24[RegionId])</f>
        <v>#N/A</v>
      </c>
      <c r="I239" s="10" t="e">
        <f>_xlfn.XLOOKUP('Кўчмас мулк объектлари'!G239,Tumanlar23[DistrictName],Tumanlar23[DistrictId])</f>
        <v>#N/A</v>
      </c>
      <c r="K239" s="24"/>
      <c r="L239" s="10" t="e">
        <f>_xlfn.XLOOKUP(K239,Ташкилотлар39[Ташкилотлар],Ташкилотлар39[TashklilotID])</f>
        <v>#N/A</v>
      </c>
      <c r="M239" s="26"/>
      <c r="N239" s="26"/>
      <c r="O239" s="24"/>
      <c r="P239" s="2"/>
      <c r="Q239" s="26"/>
      <c r="R239" s="26"/>
      <c r="S239" s="26"/>
      <c r="T239" s="26"/>
      <c r="U239" s="24"/>
      <c r="V239" s="10" t="e">
        <f>_xlfn.XLOOKUP(U239,Таклифлар37[Таклифлар],Таклифлар37[TaklifID])</f>
        <v>#N/A</v>
      </c>
      <c r="W239" s="24"/>
      <c r="X239" s="23"/>
      <c r="Y239" s="7"/>
      <c r="Z239" s="26"/>
      <c r="AB239" s="23"/>
      <c r="AD239" s="2"/>
      <c r="AG239" s="23"/>
      <c r="AI239" s="26"/>
      <c r="AJ239" s="23"/>
      <c r="AM239" s="23"/>
      <c r="AO239" s="32"/>
      <c r="AP239" s="26"/>
      <c r="AR239" s="26"/>
      <c r="AS239" s="27"/>
      <c r="AT239" s="27"/>
      <c r="AU239" s="31"/>
      <c r="AV239" s="24"/>
      <c r="AW239"/>
      <c r="AX239"/>
      <c r="AY239"/>
      <c r="AZ239"/>
      <c r="BA239"/>
      <c r="BB239"/>
      <c r="BC239"/>
      <c r="BD239"/>
      <c r="BE239"/>
      <c r="BF239"/>
      <c r="BG239"/>
    </row>
    <row r="240" spans="2:59" x14ac:dyDescent="0.25">
      <c r="B240" s="22"/>
      <c r="C240" s="23"/>
      <c r="E240" s="23"/>
      <c r="F240" s="24"/>
      <c r="G240" s="2"/>
      <c r="H240" s="10" t="e">
        <f>_xlfn.XLOOKUP(F240,Viloyatlar24[RegionName],Viloyatlar24[RegionId])</f>
        <v>#N/A</v>
      </c>
      <c r="I240" s="10" t="e">
        <f>_xlfn.XLOOKUP('Кўчмас мулк объектлари'!G240,Tumanlar23[DistrictName],Tumanlar23[DistrictId])</f>
        <v>#N/A</v>
      </c>
      <c r="K240" s="24"/>
      <c r="L240" s="10" t="e">
        <f>_xlfn.XLOOKUP(K240,Ташкилотлар39[Ташкилотлар],Ташкилотлар39[TashklilotID])</f>
        <v>#N/A</v>
      </c>
      <c r="M240" s="26"/>
      <c r="N240" s="26"/>
      <c r="O240" s="24"/>
      <c r="P240" s="2"/>
      <c r="Q240" s="26"/>
      <c r="R240" s="26"/>
      <c r="S240" s="26"/>
      <c r="T240" s="26"/>
      <c r="U240" s="24"/>
      <c r="V240" s="10" t="e">
        <f>_xlfn.XLOOKUP(U240,Таклифлар37[Таклифлар],Таклифлар37[TaklifID])</f>
        <v>#N/A</v>
      </c>
      <c r="W240" s="24"/>
      <c r="X240" s="23"/>
      <c r="Y240" s="7"/>
      <c r="Z240" s="26"/>
      <c r="AB240" s="23"/>
      <c r="AD240" s="2"/>
      <c r="AG240" s="23"/>
      <c r="AI240" s="26"/>
      <c r="AJ240" s="23"/>
      <c r="AM240" s="23"/>
      <c r="AO240" s="32"/>
      <c r="AP240" s="26"/>
      <c r="AR240" s="26"/>
      <c r="AS240" s="27"/>
      <c r="AT240" s="27"/>
      <c r="AU240" s="31"/>
      <c r="AV240" s="24"/>
      <c r="AW240"/>
      <c r="AX240"/>
      <c r="AY240"/>
      <c r="AZ240"/>
      <c r="BA240"/>
      <c r="BB240"/>
      <c r="BC240"/>
      <c r="BD240"/>
      <c r="BE240"/>
      <c r="BF240"/>
      <c r="BG240"/>
    </row>
    <row r="241" spans="2:59" x14ac:dyDescent="0.25">
      <c r="B241" s="22"/>
      <c r="C241" s="23"/>
      <c r="E241" s="23"/>
      <c r="F241" s="24"/>
      <c r="G241" s="2"/>
      <c r="H241" s="10" t="e">
        <f>_xlfn.XLOOKUP(F241,Viloyatlar24[RegionName],Viloyatlar24[RegionId])</f>
        <v>#N/A</v>
      </c>
      <c r="I241" s="10" t="e">
        <f>_xlfn.XLOOKUP('Кўчмас мулк объектлари'!G241,Tumanlar23[DistrictName],Tumanlar23[DistrictId])</f>
        <v>#N/A</v>
      </c>
      <c r="K241" s="24"/>
      <c r="L241" s="10" t="e">
        <f>_xlfn.XLOOKUP(K241,Ташкилотлар39[Ташкилотлар],Ташкилотлар39[TashklilotID])</f>
        <v>#N/A</v>
      </c>
      <c r="M241" s="26"/>
      <c r="N241" s="26"/>
      <c r="O241" s="24"/>
      <c r="P241" s="2"/>
      <c r="Q241" s="26"/>
      <c r="R241" s="26"/>
      <c r="S241" s="26"/>
      <c r="T241" s="26"/>
      <c r="U241" s="24"/>
      <c r="V241" s="10" t="e">
        <f>_xlfn.XLOOKUP(U241,Таклифлар37[Таклифлар],Таклифлар37[TaklifID])</f>
        <v>#N/A</v>
      </c>
      <c r="W241" s="24"/>
      <c r="X241" s="23"/>
      <c r="Y241" s="7"/>
      <c r="Z241" s="26"/>
      <c r="AB241" s="23"/>
      <c r="AD241" s="2"/>
      <c r="AG241" s="23"/>
      <c r="AI241" s="26"/>
      <c r="AJ241" s="23"/>
      <c r="AM241" s="23"/>
      <c r="AO241" s="32"/>
      <c r="AP241" s="26"/>
      <c r="AR241" s="26"/>
      <c r="AS241" s="27"/>
      <c r="AT241" s="27"/>
      <c r="AU241" s="31"/>
      <c r="AV241" s="24"/>
      <c r="AW241"/>
      <c r="AX241"/>
      <c r="AY241"/>
      <c r="AZ241"/>
      <c r="BA241"/>
      <c r="BB241"/>
      <c r="BC241"/>
      <c r="BD241"/>
      <c r="BE241"/>
      <c r="BF241"/>
      <c r="BG241"/>
    </row>
    <row r="242" spans="2:59" x14ac:dyDescent="0.25">
      <c r="B242" s="22"/>
      <c r="C242" s="23"/>
      <c r="E242" s="23"/>
      <c r="F242" s="24"/>
      <c r="G242" s="2"/>
      <c r="H242" s="10" t="e">
        <f>_xlfn.XLOOKUP(F242,Viloyatlar24[RegionName],Viloyatlar24[RegionId])</f>
        <v>#N/A</v>
      </c>
      <c r="I242" s="10" t="e">
        <f>_xlfn.XLOOKUP('Кўчмас мулк объектлари'!G242,Tumanlar23[DistrictName],Tumanlar23[DistrictId])</f>
        <v>#N/A</v>
      </c>
      <c r="K242" s="24"/>
      <c r="L242" s="10" t="e">
        <f>_xlfn.XLOOKUP(K242,Ташкилотлар39[Ташкилотлар],Ташкилотлар39[TashklilotID])</f>
        <v>#N/A</v>
      </c>
      <c r="M242" s="26"/>
      <c r="N242" s="26"/>
      <c r="O242" s="24"/>
      <c r="P242" s="2"/>
      <c r="Q242" s="26"/>
      <c r="R242" s="26"/>
      <c r="S242" s="26"/>
      <c r="T242" s="26"/>
      <c r="U242" s="24"/>
      <c r="V242" s="10" t="e">
        <f>_xlfn.XLOOKUP(U242,Таклифлар37[Таклифлар],Таклифлар37[TaklifID])</f>
        <v>#N/A</v>
      </c>
      <c r="W242" s="24"/>
      <c r="X242" s="23"/>
      <c r="Y242" s="7"/>
      <c r="Z242" s="26"/>
      <c r="AB242" s="23"/>
      <c r="AD242" s="2"/>
      <c r="AG242" s="23"/>
      <c r="AI242" s="26"/>
      <c r="AJ242" s="23"/>
      <c r="AM242" s="23"/>
      <c r="AO242" s="32"/>
      <c r="AP242" s="26"/>
      <c r="AR242" s="26"/>
      <c r="AS242" s="27"/>
      <c r="AT242" s="27"/>
      <c r="AU242" s="31"/>
      <c r="AV242" s="24"/>
      <c r="AW242"/>
      <c r="AX242"/>
      <c r="AY242"/>
      <c r="AZ242"/>
      <c r="BA242"/>
      <c r="BB242"/>
      <c r="BC242"/>
      <c r="BD242"/>
      <c r="BE242"/>
      <c r="BF242"/>
      <c r="BG242"/>
    </row>
    <row r="243" spans="2:59" x14ac:dyDescent="0.25">
      <c r="B243" s="22"/>
      <c r="C243" s="23"/>
      <c r="E243" s="23"/>
      <c r="F243" s="24"/>
      <c r="G243" s="2"/>
      <c r="H243" s="10" t="e">
        <f>_xlfn.XLOOKUP(F243,Viloyatlar24[RegionName],Viloyatlar24[RegionId])</f>
        <v>#N/A</v>
      </c>
      <c r="I243" s="10" t="e">
        <f>_xlfn.XLOOKUP('Кўчмас мулк объектлари'!G243,Tumanlar23[DistrictName],Tumanlar23[DistrictId])</f>
        <v>#N/A</v>
      </c>
      <c r="K243" s="24"/>
      <c r="L243" s="10" t="e">
        <f>_xlfn.XLOOKUP(K243,Ташкилотлар39[Ташкилотлар],Ташкилотлар39[TashklilotID])</f>
        <v>#N/A</v>
      </c>
      <c r="M243" s="26"/>
      <c r="N243" s="26"/>
      <c r="O243" s="24"/>
      <c r="P243" s="2"/>
      <c r="Q243" s="26"/>
      <c r="R243" s="26"/>
      <c r="S243" s="26"/>
      <c r="T243" s="26"/>
      <c r="U243" s="24"/>
      <c r="V243" s="10" t="e">
        <f>_xlfn.XLOOKUP(U243,Таклифлар37[Таклифлар],Таклифлар37[TaklifID])</f>
        <v>#N/A</v>
      </c>
      <c r="W243" s="24"/>
      <c r="X243" s="23"/>
      <c r="Y243" s="7"/>
      <c r="Z243" s="26"/>
      <c r="AB243" s="23"/>
      <c r="AD243" s="2"/>
      <c r="AG243" s="23"/>
      <c r="AI243" s="26"/>
      <c r="AJ243" s="23"/>
      <c r="AM243" s="23"/>
      <c r="AO243" s="32"/>
      <c r="AP243" s="26"/>
      <c r="AR243" s="26"/>
      <c r="AS243" s="27"/>
      <c r="AT243" s="27"/>
      <c r="AU243" s="31"/>
      <c r="AV243" s="24"/>
      <c r="AW243"/>
      <c r="AX243"/>
      <c r="AY243"/>
      <c r="AZ243"/>
      <c r="BA243"/>
      <c r="BB243"/>
      <c r="BC243"/>
      <c r="BD243"/>
      <c r="BE243"/>
      <c r="BF243"/>
      <c r="BG243"/>
    </row>
    <row r="244" spans="2:59" x14ac:dyDescent="0.25">
      <c r="B244" s="22"/>
      <c r="C244" s="23"/>
      <c r="E244" s="23"/>
      <c r="F244" s="24"/>
      <c r="G244" s="2"/>
      <c r="H244" s="10" t="e">
        <f>_xlfn.XLOOKUP(F244,Viloyatlar24[RegionName],Viloyatlar24[RegionId])</f>
        <v>#N/A</v>
      </c>
      <c r="I244" s="10" t="e">
        <f>_xlfn.XLOOKUP('Кўчмас мулк объектлари'!G244,Tumanlar23[DistrictName],Tumanlar23[DistrictId])</f>
        <v>#N/A</v>
      </c>
      <c r="K244" s="24"/>
      <c r="L244" s="10" t="e">
        <f>_xlfn.XLOOKUP(K244,Ташкилотлар39[Ташкилотлар],Ташкилотлар39[TashklilotID])</f>
        <v>#N/A</v>
      </c>
      <c r="M244" s="26"/>
      <c r="N244" s="26"/>
      <c r="O244" s="24"/>
      <c r="P244" s="2"/>
      <c r="Q244" s="26"/>
      <c r="R244" s="26"/>
      <c r="S244" s="26"/>
      <c r="T244" s="26"/>
      <c r="U244" s="24"/>
      <c r="V244" s="10" t="e">
        <f>_xlfn.XLOOKUP(U244,Таклифлар37[Таклифлар],Таклифлар37[TaklifID])</f>
        <v>#N/A</v>
      </c>
      <c r="W244" s="24"/>
      <c r="X244" s="23"/>
      <c r="Y244" s="7"/>
      <c r="Z244" s="26"/>
      <c r="AB244" s="23"/>
      <c r="AD244" s="2"/>
      <c r="AG244" s="23"/>
      <c r="AI244" s="26"/>
      <c r="AJ244" s="23"/>
      <c r="AM244" s="23"/>
      <c r="AO244" s="32"/>
      <c r="AP244" s="26"/>
      <c r="AR244" s="26"/>
      <c r="AS244" s="27"/>
      <c r="AT244" s="27"/>
      <c r="AU244" s="31"/>
      <c r="AV244" s="24"/>
      <c r="AW244"/>
      <c r="AX244"/>
      <c r="AY244"/>
      <c r="AZ244"/>
      <c r="BA244"/>
      <c r="BB244"/>
      <c r="BC244"/>
      <c r="BD244"/>
      <c r="BE244"/>
      <c r="BF244"/>
      <c r="BG244"/>
    </row>
    <row r="245" spans="2:59" x14ac:dyDescent="0.25">
      <c r="B245" s="22"/>
      <c r="C245" s="23"/>
      <c r="E245" s="23"/>
      <c r="F245" s="24"/>
      <c r="G245" s="2"/>
      <c r="H245" s="10" t="e">
        <f>_xlfn.XLOOKUP(F245,Viloyatlar24[RegionName],Viloyatlar24[RegionId])</f>
        <v>#N/A</v>
      </c>
      <c r="I245" s="10" t="e">
        <f>_xlfn.XLOOKUP('Кўчмас мулк объектлари'!G245,Tumanlar23[DistrictName],Tumanlar23[DistrictId])</f>
        <v>#N/A</v>
      </c>
      <c r="K245" s="24"/>
      <c r="L245" s="10" t="e">
        <f>_xlfn.XLOOKUP(K245,Ташкилотлар39[Ташкилотлар],Ташкилотлар39[TashklilotID])</f>
        <v>#N/A</v>
      </c>
      <c r="M245" s="26"/>
      <c r="N245" s="26"/>
      <c r="O245" s="24"/>
      <c r="P245" s="2"/>
      <c r="Q245" s="26"/>
      <c r="R245" s="26"/>
      <c r="S245" s="26"/>
      <c r="T245" s="26"/>
      <c r="U245" s="24"/>
      <c r="V245" s="10" t="e">
        <f>_xlfn.XLOOKUP(U245,Таклифлар37[Таклифлар],Таклифлар37[TaklifID])</f>
        <v>#N/A</v>
      </c>
      <c r="W245" s="24"/>
      <c r="X245" s="23"/>
      <c r="Y245" s="7"/>
      <c r="Z245" s="26"/>
      <c r="AB245" s="23"/>
      <c r="AD245" s="2"/>
      <c r="AG245" s="23"/>
      <c r="AI245" s="26"/>
      <c r="AJ245" s="23"/>
      <c r="AM245" s="23"/>
      <c r="AO245" s="32"/>
      <c r="AP245" s="26"/>
      <c r="AR245" s="26"/>
      <c r="AS245" s="27"/>
      <c r="AT245" s="27"/>
      <c r="AU245" s="31"/>
      <c r="AV245" s="24"/>
      <c r="AW245"/>
      <c r="AX245"/>
      <c r="AY245"/>
      <c r="AZ245"/>
      <c r="BA245"/>
      <c r="BB245"/>
      <c r="BC245"/>
      <c r="BD245"/>
      <c r="BE245"/>
      <c r="BF245"/>
      <c r="BG245"/>
    </row>
    <row r="246" spans="2:59" x14ac:dyDescent="0.25">
      <c r="B246" s="22"/>
      <c r="C246" s="23"/>
      <c r="E246" s="23"/>
      <c r="F246" s="24"/>
      <c r="G246" s="2"/>
      <c r="H246" s="10" t="e">
        <f>_xlfn.XLOOKUP(F246,Viloyatlar24[RegionName],Viloyatlar24[RegionId])</f>
        <v>#N/A</v>
      </c>
      <c r="I246" s="10" t="e">
        <f>_xlfn.XLOOKUP('Кўчмас мулк объектлари'!G246,Tumanlar23[DistrictName],Tumanlar23[DistrictId])</f>
        <v>#N/A</v>
      </c>
      <c r="K246" s="24"/>
      <c r="L246" s="10" t="e">
        <f>_xlfn.XLOOKUP(K246,Ташкилотлар39[Ташкилотлар],Ташкилотлар39[TashklilotID])</f>
        <v>#N/A</v>
      </c>
      <c r="M246" s="26"/>
      <c r="N246" s="26"/>
      <c r="O246" s="24"/>
      <c r="P246" s="2"/>
      <c r="Q246" s="26"/>
      <c r="R246" s="26"/>
      <c r="S246" s="26"/>
      <c r="T246" s="26"/>
      <c r="U246" s="24"/>
      <c r="V246" s="10" t="e">
        <f>_xlfn.XLOOKUP(U246,Таклифлар37[Таклифлар],Таклифлар37[TaklifID])</f>
        <v>#N/A</v>
      </c>
      <c r="W246" s="24"/>
      <c r="X246" s="23"/>
      <c r="Y246" s="7"/>
      <c r="Z246" s="26"/>
      <c r="AB246" s="23"/>
      <c r="AD246" s="2"/>
      <c r="AG246" s="23"/>
      <c r="AI246" s="26"/>
      <c r="AJ246" s="23"/>
      <c r="AM246" s="23"/>
      <c r="AO246" s="32"/>
      <c r="AP246" s="26"/>
      <c r="AR246" s="26"/>
      <c r="AS246" s="27"/>
      <c r="AT246" s="27"/>
      <c r="AU246" s="31"/>
      <c r="AV246" s="24"/>
      <c r="AW246"/>
      <c r="AX246"/>
      <c r="AY246"/>
      <c r="AZ246"/>
      <c r="BA246"/>
      <c r="BB246"/>
      <c r="BC246"/>
      <c r="BD246"/>
      <c r="BE246"/>
      <c r="BF246"/>
      <c r="BG246"/>
    </row>
    <row r="247" spans="2:59" x14ac:dyDescent="0.25">
      <c r="B247" s="22"/>
      <c r="C247" s="23"/>
      <c r="E247" s="23"/>
      <c r="F247" s="24"/>
      <c r="G247" s="2"/>
      <c r="H247" s="10" t="e">
        <f>_xlfn.XLOOKUP(F247,Viloyatlar24[RegionName],Viloyatlar24[RegionId])</f>
        <v>#N/A</v>
      </c>
      <c r="I247" s="10" t="e">
        <f>_xlfn.XLOOKUP('Кўчмас мулк объектлари'!G247,Tumanlar23[DistrictName],Tumanlar23[DistrictId])</f>
        <v>#N/A</v>
      </c>
      <c r="K247" s="24"/>
      <c r="L247" s="10" t="e">
        <f>_xlfn.XLOOKUP(K247,Ташкилотлар39[Ташкилотлар],Ташкилотлар39[TashklilotID])</f>
        <v>#N/A</v>
      </c>
      <c r="M247" s="26"/>
      <c r="N247" s="26"/>
      <c r="O247" s="24"/>
      <c r="P247" s="2"/>
      <c r="Q247" s="26"/>
      <c r="R247" s="26"/>
      <c r="S247" s="26"/>
      <c r="T247" s="26"/>
      <c r="U247" s="24"/>
      <c r="V247" s="10" t="e">
        <f>_xlfn.XLOOKUP(U247,Таклифлар37[Таклифлар],Таклифлар37[TaklifID])</f>
        <v>#N/A</v>
      </c>
      <c r="W247" s="24"/>
      <c r="X247" s="23"/>
      <c r="Y247" s="7"/>
      <c r="Z247" s="26"/>
      <c r="AB247" s="23"/>
      <c r="AD247" s="2"/>
      <c r="AG247" s="23"/>
      <c r="AI247" s="26"/>
      <c r="AJ247" s="23"/>
      <c r="AM247" s="23"/>
      <c r="AO247" s="32"/>
      <c r="AP247" s="26"/>
      <c r="AR247" s="26"/>
      <c r="AS247" s="27"/>
      <c r="AT247" s="27"/>
      <c r="AU247" s="31"/>
      <c r="AV247" s="24"/>
      <c r="AW247"/>
      <c r="AX247"/>
      <c r="AY247"/>
      <c r="AZ247"/>
      <c r="BA247"/>
      <c r="BB247"/>
      <c r="BC247"/>
      <c r="BD247"/>
      <c r="BE247"/>
      <c r="BF247"/>
      <c r="BG247"/>
    </row>
    <row r="248" spans="2:59" x14ac:dyDescent="0.25">
      <c r="B248" s="22"/>
      <c r="C248" s="23"/>
      <c r="E248" s="23"/>
      <c r="F248" s="24"/>
      <c r="G248" s="2"/>
      <c r="H248" s="10" t="e">
        <f>_xlfn.XLOOKUP(F248,Viloyatlar24[RegionName],Viloyatlar24[RegionId])</f>
        <v>#N/A</v>
      </c>
      <c r="I248" s="10" t="e">
        <f>_xlfn.XLOOKUP('Кўчмас мулк объектлари'!G248,Tumanlar23[DistrictName],Tumanlar23[DistrictId])</f>
        <v>#N/A</v>
      </c>
      <c r="K248" s="24"/>
      <c r="L248" s="10" t="e">
        <f>_xlfn.XLOOKUP(K248,Ташкилотлар39[Ташкилотлар],Ташкилотлар39[TashklilotID])</f>
        <v>#N/A</v>
      </c>
      <c r="M248" s="26"/>
      <c r="N248" s="26"/>
      <c r="O248" s="24"/>
      <c r="P248" s="2"/>
      <c r="Q248" s="26"/>
      <c r="R248" s="26"/>
      <c r="S248" s="26"/>
      <c r="T248" s="26"/>
      <c r="U248" s="24"/>
      <c r="V248" s="10" t="e">
        <f>_xlfn.XLOOKUP(U248,Таклифлар37[Таклифлар],Таклифлар37[TaklifID])</f>
        <v>#N/A</v>
      </c>
      <c r="W248" s="24"/>
      <c r="X248" s="23"/>
      <c r="Y248" s="7"/>
      <c r="Z248" s="26"/>
      <c r="AB248" s="23"/>
      <c r="AD248" s="2"/>
      <c r="AG248" s="23"/>
      <c r="AI248" s="26"/>
      <c r="AJ248" s="23"/>
      <c r="AM248" s="23"/>
      <c r="AO248" s="32"/>
      <c r="AP248" s="26"/>
      <c r="AR248" s="26"/>
      <c r="AS248" s="27"/>
      <c r="AT248" s="27"/>
      <c r="AU248" s="31"/>
      <c r="AV248" s="24"/>
      <c r="AW248"/>
      <c r="AX248"/>
      <c r="AY248"/>
      <c r="AZ248"/>
      <c r="BA248"/>
      <c r="BB248"/>
      <c r="BC248"/>
      <c r="BD248"/>
      <c r="BE248"/>
      <c r="BF248"/>
      <c r="BG248"/>
    </row>
    <row r="249" spans="2:59" x14ac:dyDescent="0.25">
      <c r="B249" s="22"/>
      <c r="C249" s="23"/>
      <c r="E249" s="23"/>
      <c r="F249" s="24"/>
      <c r="G249" s="2"/>
      <c r="H249" s="10" t="e">
        <f>_xlfn.XLOOKUP(F249,Viloyatlar24[RegionName],Viloyatlar24[RegionId])</f>
        <v>#N/A</v>
      </c>
      <c r="I249" s="10" t="e">
        <f>_xlfn.XLOOKUP('Кўчмас мулк объектлари'!G249,Tumanlar23[DistrictName],Tumanlar23[DistrictId])</f>
        <v>#N/A</v>
      </c>
      <c r="K249" s="24"/>
      <c r="L249" s="10" t="e">
        <f>_xlfn.XLOOKUP(K249,Ташкилотлар39[Ташкилотлар],Ташкилотлар39[TashklilotID])</f>
        <v>#N/A</v>
      </c>
      <c r="M249" s="26"/>
      <c r="N249" s="26"/>
      <c r="O249" s="24"/>
      <c r="P249" s="2"/>
      <c r="Q249" s="26"/>
      <c r="R249" s="26"/>
      <c r="S249" s="26"/>
      <c r="T249" s="26"/>
      <c r="U249" s="24"/>
      <c r="V249" s="10" t="e">
        <f>_xlfn.XLOOKUP(U249,Таклифлар37[Таклифлар],Таклифлар37[TaklifID])</f>
        <v>#N/A</v>
      </c>
      <c r="W249" s="24"/>
      <c r="X249" s="23"/>
      <c r="Y249" s="7"/>
      <c r="Z249" s="26"/>
      <c r="AB249" s="23"/>
      <c r="AD249" s="2"/>
      <c r="AG249" s="23"/>
      <c r="AI249" s="26"/>
      <c r="AJ249" s="23"/>
      <c r="AM249" s="23"/>
      <c r="AO249" s="32"/>
      <c r="AP249" s="26"/>
      <c r="AR249" s="26"/>
      <c r="AS249" s="27"/>
      <c r="AT249" s="27"/>
      <c r="AU249" s="31"/>
      <c r="AV249" s="24"/>
      <c r="AW249"/>
      <c r="AX249"/>
      <c r="AY249"/>
      <c r="AZ249"/>
      <c r="BA249"/>
      <c r="BB249"/>
      <c r="BC249"/>
      <c r="BD249"/>
      <c r="BE249"/>
      <c r="BF249"/>
      <c r="BG249"/>
    </row>
    <row r="250" spans="2:59" x14ac:dyDescent="0.25">
      <c r="B250" s="22"/>
      <c r="C250" s="23"/>
      <c r="E250" s="23"/>
      <c r="F250" s="24"/>
      <c r="G250" s="2"/>
      <c r="H250" s="10" t="e">
        <f>_xlfn.XLOOKUP(F250,Viloyatlar24[RegionName],Viloyatlar24[RegionId])</f>
        <v>#N/A</v>
      </c>
      <c r="I250" s="10" t="e">
        <f>_xlfn.XLOOKUP('Кўчмас мулк объектлари'!G250,Tumanlar23[DistrictName],Tumanlar23[DistrictId])</f>
        <v>#N/A</v>
      </c>
      <c r="K250" s="24"/>
      <c r="L250" s="10" t="e">
        <f>_xlfn.XLOOKUP(K250,Ташкилотлар39[Ташкилотлар],Ташкилотлар39[TashklilotID])</f>
        <v>#N/A</v>
      </c>
      <c r="M250" s="26"/>
      <c r="N250" s="26"/>
      <c r="O250" s="24"/>
      <c r="P250" s="2"/>
      <c r="Q250" s="26"/>
      <c r="R250" s="26"/>
      <c r="S250" s="26"/>
      <c r="T250" s="26"/>
      <c r="U250" s="24"/>
      <c r="V250" s="10" t="e">
        <f>_xlfn.XLOOKUP(U250,Таклифлар37[Таклифлар],Таклифлар37[TaklifID])</f>
        <v>#N/A</v>
      </c>
      <c r="W250" s="24"/>
      <c r="X250" s="23"/>
      <c r="Y250" s="7"/>
      <c r="Z250" s="26"/>
      <c r="AB250" s="23"/>
      <c r="AD250" s="2"/>
      <c r="AG250" s="23"/>
      <c r="AI250" s="26"/>
      <c r="AJ250" s="23"/>
      <c r="AM250" s="23"/>
      <c r="AO250" s="32"/>
      <c r="AP250" s="26"/>
      <c r="AR250" s="26"/>
      <c r="AS250" s="27"/>
      <c r="AT250" s="27"/>
      <c r="AU250" s="31"/>
      <c r="AV250" s="24"/>
      <c r="AW250"/>
      <c r="AX250"/>
      <c r="AY250"/>
      <c r="AZ250"/>
      <c r="BA250"/>
      <c r="BB250"/>
      <c r="BC250"/>
      <c r="BD250"/>
      <c r="BE250"/>
      <c r="BF250"/>
      <c r="BG250"/>
    </row>
    <row r="251" spans="2:59" x14ac:dyDescent="0.25">
      <c r="B251" s="22"/>
      <c r="C251" s="23"/>
      <c r="E251" s="23"/>
      <c r="F251" s="24"/>
      <c r="G251" s="2"/>
      <c r="H251" s="10" t="e">
        <f>_xlfn.XLOOKUP(F251,Viloyatlar24[RegionName],Viloyatlar24[RegionId])</f>
        <v>#N/A</v>
      </c>
      <c r="I251" s="10" t="e">
        <f>_xlfn.XLOOKUP('Кўчмас мулк объектлари'!G251,Tumanlar23[DistrictName],Tumanlar23[DistrictId])</f>
        <v>#N/A</v>
      </c>
      <c r="K251" s="24"/>
      <c r="L251" s="10" t="e">
        <f>_xlfn.XLOOKUP(K251,Ташкилотлар39[Ташкилотлар],Ташкилотлар39[TashklilotID])</f>
        <v>#N/A</v>
      </c>
      <c r="M251" s="26"/>
      <c r="N251" s="26"/>
      <c r="O251" s="24"/>
      <c r="P251" s="2"/>
      <c r="Q251" s="26"/>
      <c r="R251" s="26"/>
      <c r="S251" s="26"/>
      <c r="T251" s="26"/>
      <c r="U251" s="24"/>
      <c r="V251" s="10" t="e">
        <f>_xlfn.XLOOKUP(U251,Таклифлар37[Таклифлар],Таклифлар37[TaklifID])</f>
        <v>#N/A</v>
      </c>
      <c r="W251" s="24"/>
      <c r="X251" s="23"/>
      <c r="Y251" s="7"/>
      <c r="Z251" s="26"/>
      <c r="AB251" s="23"/>
      <c r="AD251" s="2"/>
      <c r="AG251" s="23"/>
      <c r="AI251" s="26"/>
      <c r="AJ251" s="23"/>
      <c r="AM251" s="23"/>
      <c r="AO251" s="32"/>
      <c r="AP251" s="26"/>
      <c r="AR251" s="26"/>
      <c r="AS251" s="27"/>
      <c r="AT251" s="27"/>
      <c r="AU251" s="31"/>
      <c r="AV251" s="24"/>
      <c r="AW251"/>
      <c r="AX251"/>
      <c r="AY251"/>
      <c r="AZ251"/>
      <c r="BA251"/>
      <c r="BB251"/>
      <c r="BC251"/>
      <c r="BD251"/>
      <c r="BE251"/>
      <c r="BF251"/>
      <c r="BG251"/>
    </row>
    <row r="252" spans="2:59" x14ac:dyDescent="0.25">
      <c r="B252" s="22"/>
      <c r="C252" s="23"/>
      <c r="E252" s="23"/>
      <c r="F252" s="24"/>
      <c r="G252" s="2"/>
      <c r="H252" s="10" t="e">
        <f>_xlfn.XLOOKUP(F252,Viloyatlar24[RegionName],Viloyatlar24[RegionId])</f>
        <v>#N/A</v>
      </c>
      <c r="I252" s="10" t="e">
        <f>_xlfn.XLOOKUP('Кўчмас мулк объектлари'!G252,Tumanlar23[DistrictName],Tumanlar23[DistrictId])</f>
        <v>#N/A</v>
      </c>
      <c r="K252" s="24"/>
      <c r="L252" s="10" t="e">
        <f>_xlfn.XLOOKUP(K252,Ташкилотлар39[Ташкилотлар],Ташкилотлар39[TashklilotID])</f>
        <v>#N/A</v>
      </c>
      <c r="M252" s="26"/>
      <c r="N252" s="26"/>
      <c r="O252" s="24"/>
      <c r="P252" s="2"/>
      <c r="Q252" s="26"/>
      <c r="R252" s="26"/>
      <c r="S252" s="26"/>
      <c r="T252" s="26"/>
      <c r="U252" s="24"/>
      <c r="V252" s="10" t="e">
        <f>_xlfn.XLOOKUP(U252,Таклифлар37[Таклифлар],Таклифлар37[TaklifID])</f>
        <v>#N/A</v>
      </c>
      <c r="W252" s="24"/>
      <c r="X252" s="23"/>
      <c r="Y252" s="7"/>
      <c r="Z252" s="26"/>
      <c r="AB252" s="23"/>
      <c r="AD252" s="2"/>
      <c r="AG252" s="23"/>
      <c r="AI252" s="26"/>
      <c r="AJ252" s="23"/>
      <c r="AM252" s="23"/>
      <c r="AO252" s="32"/>
      <c r="AP252" s="26"/>
      <c r="AR252" s="26"/>
      <c r="AS252" s="27"/>
      <c r="AT252" s="27"/>
      <c r="AU252" s="31"/>
      <c r="AV252" s="24"/>
      <c r="AW252"/>
      <c r="AX252"/>
      <c r="AY252"/>
      <c r="AZ252"/>
      <c r="BA252"/>
      <c r="BB252"/>
      <c r="BC252"/>
      <c r="BD252"/>
      <c r="BE252"/>
      <c r="BF252"/>
      <c r="BG252"/>
    </row>
    <row r="253" spans="2:59" x14ac:dyDescent="0.25">
      <c r="B253" s="22"/>
      <c r="C253" s="23"/>
      <c r="E253" s="23"/>
      <c r="F253" s="24"/>
      <c r="G253" s="2"/>
      <c r="H253" s="10" t="e">
        <f>_xlfn.XLOOKUP(F253,Viloyatlar24[RegionName],Viloyatlar24[RegionId])</f>
        <v>#N/A</v>
      </c>
      <c r="I253" s="10" t="e">
        <f>_xlfn.XLOOKUP('Кўчмас мулк объектлари'!G253,Tumanlar23[DistrictName],Tumanlar23[DistrictId])</f>
        <v>#N/A</v>
      </c>
      <c r="K253" s="24"/>
      <c r="L253" s="10" t="e">
        <f>_xlfn.XLOOKUP(K253,Ташкилотлар39[Ташкилотлар],Ташкилотлар39[TashklilotID])</f>
        <v>#N/A</v>
      </c>
      <c r="M253" s="26"/>
      <c r="N253" s="26"/>
      <c r="O253" s="24"/>
      <c r="P253" s="2"/>
      <c r="Q253" s="26"/>
      <c r="R253" s="26"/>
      <c r="S253" s="26"/>
      <c r="T253" s="26"/>
      <c r="U253" s="24"/>
      <c r="V253" s="10" t="e">
        <f>_xlfn.XLOOKUP(U253,Таклифлар37[Таклифлар],Таклифлар37[TaklifID])</f>
        <v>#N/A</v>
      </c>
      <c r="W253" s="24"/>
      <c r="X253" s="23"/>
      <c r="Y253" s="7"/>
      <c r="Z253" s="26"/>
      <c r="AB253" s="23"/>
      <c r="AD253" s="2"/>
      <c r="AG253" s="23"/>
      <c r="AI253" s="26"/>
      <c r="AJ253" s="23"/>
      <c r="AM253" s="23"/>
      <c r="AO253" s="32"/>
      <c r="AP253" s="26"/>
      <c r="AR253" s="26"/>
      <c r="AS253" s="27"/>
      <c r="AT253" s="27"/>
      <c r="AU253" s="31"/>
      <c r="AV253" s="24"/>
      <c r="AW253"/>
      <c r="AX253"/>
      <c r="AY253"/>
      <c r="AZ253"/>
      <c r="BA253"/>
      <c r="BB253"/>
      <c r="BC253"/>
      <c r="BD253"/>
      <c r="BE253"/>
      <c r="BF253"/>
      <c r="BG253"/>
    </row>
    <row r="254" spans="2:59" x14ac:dyDescent="0.25">
      <c r="B254" s="22"/>
      <c r="C254" s="23"/>
      <c r="E254" s="23"/>
      <c r="F254" s="24"/>
      <c r="G254" s="2"/>
      <c r="H254" s="10" t="e">
        <f>_xlfn.XLOOKUP(F254,Viloyatlar24[RegionName],Viloyatlar24[RegionId])</f>
        <v>#N/A</v>
      </c>
      <c r="I254" s="10" t="e">
        <f>_xlfn.XLOOKUP('Кўчмас мулк объектлари'!G254,Tumanlar23[DistrictName],Tumanlar23[DistrictId])</f>
        <v>#N/A</v>
      </c>
      <c r="K254" s="24"/>
      <c r="L254" s="10" t="e">
        <f>_xlfn.XLOOKUP(K254,Ташкилотлар39[Ташкилотлар],Ташкилотлар39[TashklilotID])</f>
        <v>#N/A</v>
      </c>
      <c r="M254" s="26"/>
      <c r="N254" s="26"/>
      <c r="O254" s="24"/>
      <c r="P254" s="2"/>
      <c r="Q254" s="26"/>
      <c r="R254" s="26"/>
      <c r="S254" s="26"/>
      <c r="T254" s="26"/>
      <c r="U254" s="24"/>
      <c r="V254" s="10" t="e">
        <f>_xlfn.XLOOKUP(U254,Таклифлар37[Таклифлар],Таклифлар37[TaklifID])</f>
        <v>#N/A</v>
      </c>
      <c r="W254" s="24"/>
      <c r="X254" s="23"/>
      <c r="Y254" s="7"/>
      <c r="Z254" s="26"/>
      <c r="AB254" s="23"/>
      <c r="AD254" s="2"/>
      <c r="AG254" s="23"/>
      <c r="AI254" s="26"/>
      <c r="AJ254" s="23"/>
      <c r="AM254" s="23"/>
      <c r="AO254" s="32"/>
      <c r="AP254" s="26"/>
      <c r="AR254" s="26"/>
      <c r="AS254" s="27"/>
      <c r="AT254" s="27"/>
      <c r="AU254" s="31"/>
      <c r="AV254" s="24"/>
      <c r="AW254"/>
      <c r="AX254"/>
      <c r="AY254"/>
      <c r="AZ254"/>
      <c r="BA254"/>
      <c r="BB254"/>
      <c r="BC254"/>
      <c r="BD254"/>
      <c r="BE254"/>
      <c r="BF254"/>
      <c r="BG254"/>
    </row>
    <row r="255" spans="2:59" x14ac:dyDescent="0.25">
      <c r="B255" s="22"/>
      <c r="C255" s="23"/>
      <c r="E255" s="23"/>
      <c r="F255" s="24"/>
      <c r="G255" s="2"/>
      <c r="H255" s="10" t="e">
        <f>_xlfn.XLOOKUP(F255,Viloyatlar24[RegionName],Viloyatlar24[RegionId])</f>
        <v>#N/A</v>
      </c>
      <c r="I255" s="10" t="e">
        <f>_xlfn.XLOOKUP('Кўчмас мулк объектлари'!G255,Tumanlar23[DistrictName],Tumanlar23[DistrictId])</f>
        <v>#N/A</v>
      </c>
      <c r="K255" s="24"/>
      <c r="L255" s="10" t="e">
        <f>_xlfn.XLOOKUP(K255,Ташкилотлар39[Ташкилотлар],Ташкилотлар39[TashklilotID])</f>
        <v>#N/A</v>
      </c>
      <c r="M255" s="26"/>
      <c r="N255" s="26"/>
      <c r="O255" s="24"/>
      <c r="P255" s="2"/>
      <c r="Q255" s="26"/>
      <c r="R255" s="26"/>
      <c r="S255" s="26"/>
      <c r="T255" s="26"/>
      <c r="U255" s="24"/>
      <c r="V255" s="10" t="e">
        <f>_xlfn.XLOOKUP(U255,Таклифлар37[Таклифлар],Таклифлар37[TaklifID])</f>
        <v>#N/A</v>
      </c>
      <c r="W255" s="24"/>
      <c r="X255" s="23"/>
      <c r="Y255" s="7"/>
      <c r="Z255" s="26"/>
      <c r="AB255" s="23"/>
      <c r="AD255" s="2"/>
      <c r="AG255" s="23"/>
      <c r="AI255" s="26"/>
      <c r="AJ255" s="23"/>
      <c r="AM255" s="23"/>
      <c r="AO255" s="32"/>
      <c r="AP255" s="26"/>
      <c r="AR255" s="26"/>
      <c r="AS255" s="27"/>
      <c r="AT255" s="27"/>
      <c r="AU255" s="31"/>
      <c r="AV255" s="24"/>
      <c r="AW255"/>
      <c r="AX255"/>
      <c r="AY255"/>
      <c r="AZ255"/>
      <c r="BA255"/>
      <c r="BB255"/>
      <c r="BC255"/>
      <c r="BD255"/>
      <c r="BE255"/>
      <c r="BF255"/>
      <c r="BG255"/>
    </row>
    <row r="256" spans="2:59" x14ac:dyDescent="0.25">
      <c r="B256" s="22"/>
      <c r="C256" s="23"/>
      <c r="E256" s="23"/>
      <c r="F256" s="24"/>
      <c r="G256" s="2"/>
      <c r="H256" s="10" t="e">
        <f>_xlfn.XLOOKUP(F256,Viloyatlar24[RegionName],Viloyatlar24[RegionId])</f>
        <v>#N/A</v>
      </c>
      <c r="I256" s="10" t="e">
        <f>_xlfn.XLOOKUP('Кўчмас мулк объектлари'!G256,Tumanlar23[DistrictName],Tumanlar23[DistrictId])</f>
        <v>#N/A</v>
      </c>
      <c r="K256" s="24"/>
      <c r="L256" s="10" t="e">
        <f>_xlfn.XLOOKUP(K256,Ташкилотлар39[Ташкилотлар],Ташкилотлар39[TashklilotID])</f>
        <v>#N/A</v>
      </c>
      <c r="M256" s="26"/>
      <c r="N256" s="26"/>
      <c r="O256" s="24"/>
      <c r="P256" s="2"/>
      <c r="Q256" s="26"/>
      <c r="R256" s="26"/>
      <c r="S256" s="26"/>
      <c r="T256" s="26"/>
      <c r="U256" s="24"/>
      <c r="V256" s="10" t="e">
        <f>_xlfn.XLOOKUP(U256,Таклифлар37[Таклифлар],Таклифлар37[TaklifID])</f>
        <v>#N/A</v>
      </c>
      <c r="W256" s="24"/>
      <c r="X256" s="23"/>
      <c r="Y256" s="7"/>
      <c r="Z256" s="26"/>
      <c r="AB256" s="23"/>
      <c r="AD256" s="2"/>
      <c r="AG256" s="23"/>
      <c r="AI256" s="26"/>
      <c r="AJ256" s="23"/>
      <c r="AM256" s="23"/>
      <c r="AO256" s="32"/>
      <c r="AP256" s="26"/>
      <c r="AR256" s="26"/>
      <c r="AS256" s="27"/>
      <c r="AT256" s="27"/>
      <c r="AU256" s="31"/>
      <c r="AV256" s="24"/>
      <c r="AW256"/>
      <c r="AX256"/>
      <c r="AY256"/>
      <c r="AZ256"/>
      <c r="BA256"/>
      <c r="BB256"/>
      <c r="BC256"/>
      <c r="BD256"/>
      <c r="BE256"/>
      <c r="BF256"/>
      <c r="BG256"/>
    </row>
    <row r="257" spans="2:59" x14ac:dyDescent="0.25">
      <c r="B257" s="22"/>
      <c r="C257" s="23"/>
      <c r="E257" s="23"/>
      <c r="F257" s="24"/>
      <c r="G257" s="2"/>
      <c r="H257" s="10" t="e">
        <f>_xlfn.XLOOKUP(F257,Viloyatlar24[RegionName],Viloyatlar24[RegionId])</f>
        <v>#N/A</v>
      </c>
      <c r="I257" s="10" t="e">
        <f>_xlfn.XLOOKUP('Кўчмас мулк объектлари'!G257,Tumanlar23[DistrictName],Tumanlar23[DistrictId])</f>
        <v>#N/A</v>
      </c>
      <c r="K257" s="24"/>
      <c r="L257" s="10" t="e">
        <f>_xlfn.XLOOKUP(K257,Ташкилотлар39[Ташкилотлар],Ташкилотлар39[TashklilotID])</f>
        <v>#N/A</v>
      </c>
      <c r="M257" s="26"/>
      <c r="N257" s="26"/>
      <c r="O257" s="24"/>
      <c r="P257" s="2"/>
      <c r="Q257" s="26"/>
      <c r="R257" s="26"/>
      <c r="S257" s="26"/>
      <c r="T257" s="26"/>
      <c r="U257" s="24"/>
      <c r="V257" s="10" t="e">
        <f>_xlfn.XLOOKUP(U257,Таклифлар37[Таклифлар],Таклифлар37[TaklifID])</f>
        <v>#N/A</v>
      </c>
      <c r="W257" s="24"/>
      <c r="X257" s="23"/>
      <c r="Y257" s="7"/>
      <c r="Z257" s="26"/>
      <c r="AB257" s="23"/>
      <c r="AD257" s="2"/>
      <c r="AG257" s="23"/>
      <c r="AI257" s="26"/>
      <c r="AJ257" s="23"/>
      <c r="AM257" s="23"/>
      <c r="AO257" s="32"/>
      <c r="AP257" s="26"/>
      <c r="AR257" s="26"/>
      <c r="AS257" s="27"/>
      <c r="AT257" s="27"/>
      <c r="AU257" s="31"/>
      <c r="AV257" s="24"/>
      <c r="AW257"/>
      <c r="AX257"/>
      <c r="AY257"/>
      <c r="AZ257"/>
      <c r="BA257"/>
      <c r="BB257"/>
      <c r="BC257"/>
      <c r="BD257"/>
      <c r="BE257"/>
      <c r="BF257"/>
      <c r="BG257"/>
    </row>
    <row r="258" spans="2:59" x14ac:dyDescent="0.25">
      <c r="B258" s="22"/>
      <c r="C258" s="23"/>
      <c r="E258" s="23"/>
      <c r="F258" s="24"/>
      <c r="G258" s="2"/>
      <c r="H258" s="10" t="e">
        <f>_xlfn.XLOOKUP(F258,Viloyatlar24[RegionName],Viloyatlar24[RegionId])</f>
        <v>#N/A</v>
      </c>
      <c r="I258" s="10" t="e">
        <f>_xlfn.XLOOKUP('Кўчмас мулк объектлари'!G258,Tumanlar23[DistrictName],Tumanlar23[DistrictId])</f>
        <v>#N/A</v>
      </c>
      <c r="K258" s="24"/>
      <c r="L258" s="10" t="e">
        <f>_xlfn.XLOOKUP(K258,Ташкилотлар39[Ташкилотлар],Ташкилотлар39[TashklilotID])</f>
        <v>#N/A</v>
      </c>
      <c r="M258" s="26"/>
      <c r="N258" s="26"/>
      <c r="O258" s="24"/>
      <c r="P258" s="2"/>
      <c r="Q258" s="26"/>
      <c r="R258" s="26"/>
      <c r="S258" s="26"/>
      <c r="T258" s="26"/>
      <c r="U258" s="24"/>
      <c r="V258" s="10" t="e">
        <f>_xlfn.XLOOKUP(U258,Таклифлар37[Таклифлар],Таклифлар37[TaklifID])</f>
        <v>#N/A</v>
      </c>
      <c r="W258" s="24"/>
      <c r="X258" s="23"/>
      <c r="Y258" s="7"/>
      <c r="Z258" s="26"/>
      <c r="AB258" s="23"/>
      <c r="AD258" s="2"/>
      <c r="AG258" s="23"/>
      <c r="AI258" s="26"/>
      <c r="AJ258" s="23"/>
      <c r="AM258" s="23"/>
      <c r="AO258" s="32"/>
      <c r="AP258" s="26"/>
      <c r="AR258" s="26"/>
      <c r="AS258" s="27"/>
      <c r="AT258" s="27"/>
      <c r="AU258" s="31"/>
      <c r="AV258" s="24"/>
      <c r="AW258"/>
      <c r="AX258"/>
      <c r="AY258"/>
      <c r="AZ258"/>
      <c r="BA258"/>
      <c r="BB258"/>
      <c r="BC258"/>
      <c r="BD258"/>
      <c r="BE258"/>
      <c r="BF258"/>
      <c r="BG258"/>
    </row>
    <row r="259" spans="2:59" x14ac:dyDescent="0.25">
      <c r="B259" s="22"/>
      <c r="C259" s="23"/>
      <c r="E259" s="23"/>
      <c r="F259" s="24"/>
      <c r="G259" s="2"/>
      <c r="H259" s="10" t="e">
        <f>_xlfn.XLOOKUP(F259,Viloyatlar24[RegionName],Viloyatlar24[RegionId])</f>
        <v>#N/A</v>
      </c>
      <c r="I259" s="10" t="e">
        <f>_xlfn.XLOOKUP('Кўчмас мулк объектлари'!G259,Tumanlar23[DistrictName],Tumanlar23[DistrictId])</f>
        <v>#N/A</v>
      </c>
      <c r="K259" s="24"/>
      <c r="L259" s="10" t="e">
        <f>_xlfn.XLOOKUP(K259,Ташкилотлар39[Ташкилотлар],Ташкилотлар39[TashklilotID])</f>
        <v>#N/A</v>
      </c>
      <c r="M259" s="26"/>
      <c r="N259" s="26"/>
      <c r="O259" s="24"/>
      <c r="P259" s="2"/>
      <c r="Q259" s="26"/>
      <c r="R259" s="26"/>
      <c r="S259" s="26"/>
      <c r="T259" s="26"/>
      <c r="U259" s="24"/>
      <c r="V259" s="10" t="e">
        <f>_xlfn.XLOOKUP(U259,Таклифлар37[Таклифлар],Таклифлар37[TaklifID])</f>
        <v>#N/A</v>
      </c>
      <c r="W259" s="24"/>
      <c r="X259" s="23"/>
      <c r="Y259" s="7"/>
      <c r="Z259" s="26"/>
      <c r="AB259" s="23"/>
      <c r="AD259" s="2"/>
      <c r="AG259" s="23"/>
      <c r="AI259" s="26"/>
      <c r="AJ259" s="23"/>
      <c r="AM259" s="23"/>
      <c r="AO259" s="32"/>
      <c r="AP259" s="26"/>
      <c r="AR259" s="26"/>
      <c r="AS259" s="27"/>
      <c r="AT259" s="27"/>
      <c r="AU259" s="31"/>
      <c r="AV259" s="24"/>
      <c r="AW259"/>
      <c r="AX259"/>
      <c r="AY259"/>
      <c r="AZ259"/>
      <c r="BA259"/>
      <c r="BB259"/>
      <c r="BC259"/>
      <c r="BD259"/>
      <c r="BE259"/>
      <c r="BF259"/>
      <c r="BG259"/>
    </row>
    <row r="260" spans="2:59" x14ac:dyDescent="0.25">
      <c r="B260" s="22"/>
      <c r="C260" s="23"/>
      <c r="E260" s="23"/>
      <c r="F260" s="24"/>
      <c r="G260" s="2"/>
      <c r="H260" s="10" t="e">
        <f>_xlfn.XLOOKUP(F260,Viloyatlar24[RegionName],Viloyatlar24[RegionId])</f>
        <v>#N/A</v>
      </c>
      <c r="I260" s="10" t="e">
        <f>_xlfn.XLOOKUP('Кўчмас мулк объектлари'!G260,Tumanlar23[DistrictName],Tumanlar23[DistrictId])</f>
        <v>#N/A</v>
      </c>
      <c r="K260" s="24"/>
      <c r="L260" s="10" t="e">
        <f>_xlfn.XLOOKUP(K260,Ташкилотлар39[Ташкилотлар],Ташкилотлар39[TashklilotID])</f>
        <v>#N/A</v>
      </c>
      <c r="M260" s="26"/>
      <c r="N260" s="26"/>
      <c r="O260" s="24"/>
      <c r="P260" s="2"/>
      <c r="Q260" s="26"/>
      <c r="R260" s="26"/>
      <c r="S260" s="26"/>
      <c r="T260" s="26"/>
      <c r="U260" s="24"/>
      <c r="V260" s="10" t="e">
        <f>_xlfn.XLOOKUP(U260,Таклифлар37[Таклифлар],Таклифлар37[TaklifID])</f>
        <v>#N/A</v>
      </c>
      <c r="W260" s="24"/>
      <c r="X260" s="23"/>
      <c r="Y260" s="7"/>
      <c r="Z260" s="26"/>
      <c r="AB260" s="23"/>
      <c r="AD260" s="2"/>
      <c r="AG260" s="23"/>
      <c r="AI260" s="26"/>
      <c r="AJ260" s="23"/>
      <c r="AM260" s="23"/>
      <c r="AO260" s="32"/>
      <c r="AP260" s="26"/>
      <c r="AR260" s="26"/>
      <c r="AS260" s="27"/>
      <c r="AT260" s="27"/>
      <c r="AU260" s="31"/>
      <c r="AV260" s="24"/>
      <c r="AW260"/>
      <c r="AX260"/>
      <c r="AY260"/>
      <c r="AZ260"/>
      <c r="BA260"/>
      <c r="BB260"/>
      <c r="BC260"/>
      <c r="BD260"/>
      <c r="BE260"/>
      <c r="BF260"/>
      <c r="BG260"/>
    </row>
    <row r="261" spans="2:59" x14ac:dyDescent="0.25">
      <c r="B261" s="22"/>
      <c r="C261" s="23"/>
      <c r="E261" s="23"/>
      <c r="F261" s="24"/>
      <c r="G261" s="2"/>
      <c r="H261" s="10" t="e">
        <f>_xlfn.XLOOKUP(F261,Viloyatlar24[RegionName],Viloyatlar24[RegionId])</f>
        <v>#N/A</v>
      </c>
      <c r="I261" s="10" t="e">
        <f>_xlfn.XLOOKUP('Кўчмас мулк объектлари'!G261,Tumanlar23[DistrictName],Tumanlar23[DistrictId])</f>
        <v>#N/A</v>
      </c>
      <c r="K261" s="24"/>
      <c r="L261" s="10" t="e">
        <f>_xlfn.XLOOKUP(K261,Ташкилотлар39[Ташкилотлар],Ташкилотлар39[TashklilotID])</f>
        <v>#N/A</v>
      </c>
      <c r="M261" s="26"/>
      <c r="N261" s="26"/>
      <c r="O261" s="24"/>
      <c r="P261" s="2"/>
      <c r="Q261" s="26"/>
      <c r="R261" s="26"/>
      <c r="S261" s="26"/>
      <c r="T261" s="26"/>
      <c r="U261" s="24"/>
      <c r="V261" s="10" t="e">
        <f>_xlfn.XLOOKUP(U261,Таклифлар37[Таклифлар],Таклифлар37[TaklifID])</f>
        <v>#N/A</v>
      </c>
      <c r="W261" s="24"/>
      <c r="X261" s="23"/>
      <c r="Y261" s="7"/>
      <c r="Z261" s="26"/>
      <c r="AB261" s="23"/>
      <c r="AD261" s="2"/>
      <c r="AG261" s="23"/>
      <c r="AI261" s="26"/>
      <c r="AJ261" s="23"/>
      <c r="AM261" s="23"/>
      <c r="AO261" s="32"/>
      <c r="AP261" s="26"/>
      <c r="AR261" s="26"/>
      <c r="AS261" s="27"/>
      <c r="AT261" s="27"/>
      <c r="AU261" s="31"/>
      <c r="AV261" s="24"/>
      <c r="AW261"/>
      <c r="AX261"/>
      <c r="AY261"/>
      <c r="AZ261"/>
      <c r="BA261"/>
      <c r="BB261"/>
      <c r="BC261"/>
      <c r="BD261"/>
      <c r="BE261"/>
      <c r="BF261"/>
      <c r="BG261"/>
    </row>
    <row r="262" spans="2:59" x14ac:dyDescent="0.25">
      <c r="B262" s="22"/>
      <c r="C262" s="23"/>
      <c r="E262" s="23"/>
      <c r="F262" s="24"/>
      <c r="G262" s="2"/>
      <c r="H262" s="10" t="e">
        <f>_xlfn.XLOOKUP(F262,Viloyatlar24[RegionName],Viloyatlar24[RegionId])</f>
        <v>#N/A</v>
      </c>
      <c r="I262" s="10" t="e">
        <f>_xlfn.XLOOKUP('Кўчмас мулк объектлари'!G262,Tumanlar23[DistrictName],Tumanlar23[DistrictId])</f>
        <v>#N/A</v>
      </c>
      <c r="K262" s="24"/>
      <c r="L262" s="10" t="e">
        <f>_xlfn.XLOOKUP(K262,Ташкилотлар39[Ташкилотлар],Ташкилотлар39[TashklilotID])</f>
        <v>#N/A</v>
      </c>
      <c r="M262" s="26"/>
      <c r="N262" s="26"/>
      <c r="O262" s="24"/>
      <c r="P262" s="2"/>
      <c r="Q262" s="26"/>
      <c r="R262" s="26"/>
      <c r="S262" s="26"/>
      <c r="T262" s="26"/>
      <c r="U262" s="24"/>
      <c r="V262" s="10" t="e">
        <f>_xlfn.XLOOKUP(U262,Таклифлар37[Таклифлар],Таклифлар37[TaklifID])</f>
        <v>#N/A</v>
      </c>
      <c r="W262" s="24"/>
      <c r="X262" s="23"/>
      <c r="Y262" s="7"/>
      <c r="Z262" s="26"/>
      <c r="AB262" s="23"/>
      <c r="AD262" s="2"/>
      <c r="AG262" s="23"/>
      <c r="AI262" s="26"/>
      <c r="AJ262" s="23"/>
      <c r="AM262" s="23"/>
      <c r="AO262" s="32"/>
      <c r="AP262" s="26"/>
      <c r="AR262" s="26"/>
      <c r="AS262" s="27"/>
      <c r="AT262" s="27"/>
      <c r="AU262" s="31"/>
      <c r="AV262" s="24"/>
      <c r="AW262"/>
      <c r="AX262"/>
      <c r="AY262"/>
      <c r="AZ262"/>
      <c r="BA262"/>
      <c r="BB262"/>
      <c r="BC262"/>
      <c r="BD262"/>
      <c r="BE262"/>
      <c r="BF262"/>
      <c r="BG262"/>
    </row>
    <row r="263" spans="2:59" x14ac:dyDescent="0.25">
      <c r="B263" s="22"/>
      <c r="C263" s="23"/>
      <c r="E263" s="23"/>
      <c r="F263" s="24"/>
      <c r="G263" s="2"/>
      <c r="H263" s="10" t="e">
        <f>_xlfn.XLOOKUP(F263,Viloyatlar24[RegionName],Viloyatlar24[RegionId])</f>
        <v>#N/A</v>
      </c>
      <c r="I263" s="10" t="e">
        <f>_xlfn.XLOOKUP('Кўчмас мулк объектлари'!G263,Tumanlar23[DistrictName],Tumanlar23[DistrictId])</f>
        <v>#N/A</v>
      </c>
      <c r="K263" s="24"/>
      <c r="L263" s="10" t="e">
        <f>_xlfn.XLOOKUP(K263,Ташкилотлар39[Ташкилотлар],Ташкилотлар39[TashklilotID])</f>
        <v>#N/A</v>
      </c>
      <c r="M263" s="26"/>
      <c r="N263" s="26"/>
      <c r="O263" s="24"/>
      <c r="P263" s="2"/>
      <c r="Q263" s="26"/>
      <c r="R263" s="26"/>
      <c r="S263" s="26"/>
      <c r="T263" s="26"/>
      <c r="U263" s="24"/>
      <c r="V263" s="10" t="e">
        <f>_xlfn.XLOOKUP(U263,Таклифлар37[Таклифлар],Таклифлар37[TaklifID])</f>
        <v>#N/A</v>
      </c>
      <c r="W263" s="24"/>
      <c r="X263" s="23"/>
      <c r="Y263" s="7"/>
      <c r="Z263" s="26"/>
      <c r="AB263" s="23"/>
      <c r="AD263" s="2"/>
      <c r="AG263" s="23"/>
      <c r="AI263" s="26"/>
      <c r="AJ263" s="23"/>
      <c r="AM263" s="23"/>
      <c r="AO263" s="32"/>
      <c r="AP263" s="26"/>
      <c r="AR263" s="26"/>
      <c r="AS263" s="27"/>
      <c r="AT263" s="27"/>
      <c r="AU263" s="31"/>
      <c r="AV263" s="24"/>
      <c r="AW263"/>
      <c r="AX263"/>
      <c r="AY263"/>
      <c r="AZ263"/>
      <c r="BA263"/>
      <c r="BB263"/>
      <c r="BC263"/>
      <c r="BD263"/>
      <c r="BE263"/>
      <c r="BF263"/>
      <c r="BG263"/>
    </row>
    <row r="264" spans="2:59" x14ac:dyDescent="0.25">
      <c r="B264" s="22"/>
      <c r="C264" s="23"/>
      <c r="E264" s="23"/>
      <c r="F264" s="24"/>
      <c r="G264" s="2"/>
      <c r="H264" s="10" t="e">
        <f>_xlfn.XLOOKUP(F264,Viloyatlar24[RegionName],Viloyatlar24[RegionId])</f>
        <v>#N/A</v>
      </c>
      <c r="I264" s="10" t="e">
        <f>_xlfn.XLOOKUP('Кўчмас мулк объектлари'!G264,Tumanlar23[DistrictName],Tumanlar23[DistrictId])</f>
        <v>#N/A</v>
      </c>
      <c r="K264" s="24"/>
      <c r="L264" s="10" t="e">
        <f>_xlfn.XLOOKUP(K264,Ташкилотлар39[Ташкилотлар],Ташкилотлар39[TashklilotID])</f>
        <v>#N/A</v>
      </c>
      <c r="M264" s="26"/>
      <c r="N264" s="26"/>
      <c r="O264" s="24"/>
      <c r="P264" s="2"/>
      <c r="Q264" s="26"/>
      <c r="R264" s="26"/>
      <c r="S264" s="26"/>
      <c r="T264" s="26"/>
      <c r="U264" s="24"/>
      <c r="V264" s="10" t="e">
        <f>_xlfn.XLOOKUP(U264,Таклифлар37[Таклифлар],Таклифлар37[TaklifID])</f>
        <v>#N/A</v>
      </c>
      <c r="W264" s="24"/>
      <c r="X264" s="23"/>
      <c r="Y264" s="7"/>
      <c r="Z264" s="26"/>
      <c r="AB264" s="23"/>
      <c r="AD264" s="2"/>
      <c r="AG264" s="23"/>
      <c r="AI264" s="26"/>
      <c r="AJ264" s="23"/>
      <c r="AM264" s="23"/>
      <c r="AO264" s="32"/>
      <c r="AP264" s="26"/>
      <c r="AR264" s="26"/>
      <c r="AS264" s="27"/>
      <c r="AT264" s="27"/>
      <c r="AU264" s="31"/>
      <c r="AV264" s="24"/>
      <c r="AW264"/>
      <c r="AX264"/>
      <c r="AY264"/>
      <c r="AZ264"/>
      <c r="BA264"/>
      <c r="BB264"/>
      <c r="BC264"/>
      <c r="BD264"/>
      <c r="BE264"/>
      <c r="BF264"/>
      <c r="BG264"/>
    </row>
    <row r="265" spans="2:59" x14ac:dyDescent="0.25">
      <c r="B265" s="22"/>
      <c r="C265" s="23"/>
      <c r="E265" s="23"/>
      <c r="F265" s="24"/>
      <c r="G265" s="2"/>
      <c r="H265" s="10" t="e">
        <f>_xlfn.XLOOKUP(F265,Viloyatlar24[RegionName],Viloyatlar24[RegionId])</f>
        <v>#N/A</v>
      </c>
      <c r="I265" s="10" t="e">
        <f>_xlfn.XLOOKUP('Кўчмас мулк объектлари'!G265,Tumanlar23[DistrictName],Tumanlar23[DistrictId])</f>
        <v>#N/A</v>
      </c>
      <c r="K265" s="24"/>
      <c r="L265" s="10" t="e">
        <f>_xlfn.XLOOKUP(K265,Ташкилотлар39[Ташкилотлар],Ташкилотлар39[TashklilotID])</f>
        <v>#N/A</v>
      </c>
      <c r="M265" s="26"/>
      <c r="N265" s="26"/>
      <c r="O265" s="24"/>
      <c r="P265" s="2"/>
      <c r="Q265" s="26"/>
      <c r="R265" s="26"/>
      <c r="S265" s="26"/>
      <c r="T265" s="26"/>
      <c r="U265" s="24"/>
      <c r="V265" s="10" t="e">
        <f>_xlfn.XLOOKUP(U265,Таклифлар37[Таклифлар],Таклифлар37[TaklifID])</f>
        <v>#N/A</v>
      </c>
      <c r="W265" s="24"/>
      <c r="X265" s="23"/>
      <c r="Y265" s="7"/>
      <c r="Z265" s="26"/>
      <c r="AB265" s="23"/>
      <c r="AD265" s="2"/>
      <c r="AG265" s="23"/>
      <c r="AI265" s="26"/>
      <c r="AJ265" s="23"/>
      <c r="AM265" s="23"/>
      <c r="AO265" s="32"/>
      <c r="AP265" s="26"/>
      <c r="AR265" s="26"/>
      <c r="AS265" s="27"/>
      <c r="AT265" s="27"/>
      <c r="AU265" s="31"/>
      <c r="AV265" s="24"/>
      <c r="AW265"/>
      <c r="AX265"/>
      <c r="AY265"/>
      <c r="AZ265"/>
      <c r="BA265"/>
      <c r="BB265"/>
      <c r="BC265"/>
      <c r="BD265"/>
      <c r="BE265"/>
      <c r="BF265"/>
      <c r="BG265"/>
    </row>
    <row r="266" spans="2:59" x14ac:dyDescent="0.25">
      <c r="B266" s="22"/>
      <c r="C266" s="23"/>
      <c r="E266" s="23"/>
      <c r="F266" s="24"/>
      <c r="G266" s="2"/>
      <c r="H266" s="10" t="e">
        <f>_xlfn.XLOOKUP(F266,Viloyatlar24[RegionName],Viloyatlar24[RegionId])</f>
        <v>#N/A</v>
      </c>
      <c r="I266" s="10" t="e">
        <f>_xlfn.XLOOKUP('Кўчмас мулк объектлари'!G266,Tumanlar23[DistrictName],Tumanlar23[DistrictId])</f>
        <v>#N/A</v>
      </c>
      <c r="K266" s="24"/>
      <c r="L266" s="10" t="e">
        <f>_xlfn.XLOOKUP(K266,Ташкилотлар39[Ташкилотлар],Ташкилотлар39[TashklilotID])</f>
        <v>#N/A</v>
      </c>
      <c r="M266" s="26"/>
      <c r="N266" s="26"/>
      <c r="O266" s="24"/>
      <c r="P266" s="2"/>
      <c r="Q266" s="26"/>
      <c r="R266" s="26"/>
      <c r="S266" s="26"/>
      <c r="T266" s="26"/>
      <c r="U266" s="24"/>
      <c r="V266" s="10" t="e">
        <f>_xlfn.XLOOKUP(U266,Таклифлар37[Таклифлар],Таклифлар37[TaklifID])</f>
        <v>#N/A</v>
      </c>
      <c r="W266" s="24"/>
      <c r="X266" s="23"/>
      <c r="Y266" s="7"/>
      <c r="Z266" s="26"/>
      <c r="AB266" s="23"/>
      <c r="AD266" s="2"/>
      <c r="AG266" s="23"/>
      <c r="AI266" s="26"/>
      <c r="AJ266" s="23"/>
      <c r="AM266" s="23"/>
      <c r="AO266" s="32"/>
      <c r="AP266" s="26"/>
      <c r="AR266" s="26"/>
      <c r="AS266" s="27"/>
      <c r="AT266" s="27"/>
      <c r="AU266" s="31"/>
      <c r="AV266" s="24"/>
      <c r="AW266"/>
      <c r="AX266"/>
      <c r="AY266"/>
      <c r="AZ266"/>
      <c r="BA266"/>
      <c r="BB266"/>
      <c r="BC266"/>
      <c r="BD266"/>
      <c r="BE266"/>
      <c r="BF266"/>
      <c r="BG266"/>
    </row>
    <row r="267" spans="2:59" x14ac:dyDescent="0.25">
      <c r="B267" s="22"/>
      <c r="C267" s="23"/>
      <c r="E267" s="23"/>
      <c r="F267" s="24"/>
      <c r="G267" s="2"/>
      <c r="H267" s="10" t="e">
        <f>_xlfn.XLOOKUP(F267,Viloyatlar24[RegionName],Viloyatlar24[RegionId])</f>
        <v>#N/A</v>
      </c>
      <c r="I267" s="10" t="e">
        <f>_xlfn.XLOOKUP('Кўчмас мулк объектлари'!G267,Tumanlar23[DistrictName],Tumanlar23[DistrictId])</f>
        <v>#N/A</v>
      </c>
      <c r="K267" s="24"/>
      <c r="L267" s="10" t="e">
        <f>_xlfn.XLOOKUP(K267,Ташкилотлар39[Ташкилотлар],Ташкилотлар39[TashklilotID])</f>
        <v>#N/A</v>
      </c>
      <c r="M267" s="26"/>
      <c r="N267" s="26"/>
      <c r="O267" s="24"/>
      <c r="P267" s="2"/>
      <c r="Q267" s="26"/>
      <c r="R267" s="26"/>
      <c r="S267" s="26"/>
      <c r="T267" s="26"/>
      <c r="U267" s="24"/>
      <c r="V267" s="10" t="e">
        <f>_xlfn.XLOOKUP(U267,Таклифлар37[Таклифлар],Таклифлар37[TaklifID])</f>
        <v>#N/A</v>
      </c>
      <c r="W267" s="24"/>
      <c r="X267" s="23"/>
      <c r="Y267" s="7"/>
      <c r="Z267" s="26"/>
      <c r="AB267" s="23"/>
      <c r="AD267" s="2"/>
      <c r="AG267" s="23"/>
      <c r="AI267" s="26"/>
      <c r="AJ267" s="23"/>
      <c r="AM267" s="23"/>
      <c r="AO267" s="32"/>
      <c r="AP267" s="26"/>
      <c r="AR267" s="26"/>
      <c r="AS267" s="27"/>
      <c r="AT267" s="27"/>
      <c r="AU267" s="31"/>
      <c r="AV267" s="24"/>
      <c r="AW267"/>
      <c r="AX267"/>
      <c r="AY267"/>
      <c r="AZ267"/>
      <c r="BA267"/>
      <c r="BB267"/>
      <c r="BC267"/>
      <c r="BD267"/>
      <c r="BE267"/>
      <c r="BF267"/>
      <c r="BG267"/>
    </row>
    <row r="268" spans="2:59" x14ac:dyDescent="0.25">
      <c r="B268" s="22"/>
      <c r="C268" s="23"/>
      <c r="E268" s="23"/>
      <c r="F268" s="24"/>
      <c r="G268" s="2"/>
      <c r="H268" s="10" t="e">
        <f>_xlfn.XLOOKUP(F268,Viloyatlar24[RegionName],Viloyatlar24[RegionId])</f>
        <v>#N/A</v>
      </c>
      <c r="I268" s="10" t="e">
        <f>_xlfn.XLOOKUP('Кўчмас мулк объектлари'!G268,Tumanlar23[DistrictName],Tumanlar23[DistrictId])</f>
        <v>#N/A</v>
      </c>
      <c r="K268" s="24"/>
      <c r="L268" s="10" t="e">
        <f>_xlfn.XLOOKUP(K268,Ташкилотлар39[Ташкилотлар],Ташкилотлар39[TashklilotID])</f>
        <v>#N/A</v>
      </c>
      <c r="M268" s="26"/>
      <c r="N268" s="26"/>
      <c r="O268" s="24"/>
      <c r="P268" s="2"/>
      <c r="Q268" s="26"/>
      <c r="R268" s="26"/>
      <c r="S268" s="26"/>
      <c r="T268" s="26"/>
      <c r="U268" s="24"/>
      <c r="V268" s="10" t="e">
        <f>_xlfn.XLOOKUP(U268,Таклифлар37[Таклифлар],Таклифлар37[TaklifID])</f>
        <v>#N/A</v>
      </c>
      <c r="W268" s="24"/>
      <c r="X268" s="23"/>
      <c r="Y268" s="7"/>
      <c r="Z268" s="26"/>
      <c r="AB268" s="23"/>
      <c r="AD268" s="2"/>
      <c r="AG268" s="23"/>
      <c r="AI268" s="26"/>
      <c r="AJ268" s="23"/>
      <c r="AM268" s="23"/>
      <c r="AO268" s="32"/>
      <c r="AP268" s="26"/>
      <c r="AR268" s="26"/>
      <c r="AS268" s="27"/>
      <c r="AT268" s="27"/>
      <c r="AU268" s="31"/>
      <c r="AV268" s="24"/>
      <c r="AW268"/>
      <c r="AX268"/>
      <c r="AY268"/>
      <c r="AZ268"/>
      <c r="BA268"/>
      <c r="BB268"/>
      <c r="BC268"/>
      <c r="BD268"/>
      <c r="BE268"/>
      <c r="BF268"/>
      <c r="BG268"/>
    </row>
    <row r="269" spans="2:59" x14ac:dyDescent="0.25">
      <c r="B269" s="22"/>
      <c r="C269" s="23"/>
      <c r="E269" s="23"/>
      <c r="F269" s="24"/>
      <c r="G269" s="2"/>
      <c r="H269" s="10" t="e">
        <f>_xlfn.XLOOKUP(F269,Viloyatlar24[RegionName],Viloyatlar24[RegionId])</f>
        <v>#N/A</v>
      </c>
      <c r="I269" s="10" t="e">
        <f>_xlfn.XLOOKUP('Кўчмас мулк объектлари'!G269,Tumanlar23[DistrictName],Tumanlar23[DistrictId])</f>
        <v>#N/A</v>
      </c>
      <c r="K269" s="24"/>
      <c r="L269" s="10" t="e">
        <f>_xlfn.XLOOKUP(K269,Ташкилотлар39[Ташкилотлар],Ташкилотлар39[TashklilotID])</f>
        <v>#N/A</v>
      </c>
      <c r="M269" s="26"/>
      <c r="N269" s="26"/>
      <c r="O269" s="24"/>
      <c r="P269" s="2"/>
      <c r="Q269" s="26"/>
      <c r="R269" s="26"/>
      <c r="S269" s="26"/>
      <c r="T269" s="26"/>
      <c r="U269" s="24"/>
      <c r="V269" s="10" t="e">
        <f>_xlfn.XLOOKUP(U269,Таклифлар37[Таклифлар],Таклифлар37[TaklifID])</f>
        <v>#N/A</v>
      </c>
      <c r="W269" s="24"/>
      <c r="X269" s="23"/>
      <c r="Y269" s="7"/>
      <c r="Z269" s="26"/>
      <c r="AB269" s="23"/>
      <c r="AD269" s="2"/>
      <c r="AG269" s="23"/>
      <c r="AI269" s="26"/>
      <c r="AJ269" s="23"/>
      <c r="AM269" s="23"/>
      <c r="AO269" s="32"/>
      <c r="AP269" s="26"/>
      <c r="AR269" s="26"/>
      <c r="AS269" s="27"/>
      <c r="AT269" s="27"/>
      <c r="AU269" s="31"/>
      <c r="AV269" s="24"/>
      <c r="AW269"/>
      <c r="AX269"/>
      <c r="AY269"/>
      <c r="AZ269"/>
      <c r="BA269"/>
      <c r="BB269"/>
      <c r="BC269"/>
      <c r="BD269"/>
      <c r="BE269"/>
      <c r="BF269"/>
      <c r="BG269"/>
    </row>
    <row r="270" spans="2:59" x14ac:dyDescent="0.25">
      <c r="B270" s="22"/>
      <c r="C270" s="23"/>
      <c r="E270" s="23"/>
      <c r="F270" s="24"/>
      <c r="G270" s="2"/>
      <c r="H270" s="10" t="e">
        <f>_xlfn.XLOOKUP(F270,Viloyatlar24[RegionName],Viloyatlar24[RegionId])</f>
        <v>#N/A</v>
      </c>
      <c r="I270" s="10" t="e">
        <f>_xlfn.XLOOKUP('Кўчмас мулк объектлари'!G270,Tumanlar23[DistrictName],Tumanlar23[DistrictId])</f>
        <v>#N/A</v>
      </c>
      <c r="K270" s="24"/>
      <c r="L270" s="10" t="e">
        <f>_xlfn.XLOOKUP(K270,Ташкилотлар39[Ташкилотлар],Ташкилотлар39[TashklilotID])</f>
        <v>#N/A</v>
      </c>
      <c r="M270" s="26"/>
      <c r="N270" s="26"/>
      <c r="O270" s="24"/>
      <c r="P270" s="2"/>
      <c r="Q270" s="26"/>
      <c r="R270" s="26"/>
      <c r="S270" s="26"/>
      <c r="T270" s="26"/>
      <c r="U270" s="24"/>
      <c r="V270" s="10" t="e">
        <f>_xlfn.XLOOKUP(U270,Таклифлар37[Таклифлар],Таклифлар37[TaklifID])</f>
        <v>#N/A</v>
      </c>
      <c r="W270" s="24"/>
      <c r="X270" s="23"/>
      <c r="Y270" s="7"/>
      <c r="Z270" s="26"/>
      <c r="AB270" s="23"/>
      <c r="AD270" s="2"/>
      <c r="AG270" s="23"/>
      <c r="AI270" s="26"/>
      <c r="AJ270" s="23"/>
      <c r="AM270" s="23"/>
      <c r="AO270" s="32"/>
      <c r="AP270" s="26"/>
      <c r="AR270" s="26"/>
      <c r="AS270" s="27"/>
      <c r="AT270" s="27"/>
      <c r="AU270" s="31"/>
      <c r="AV270" s="24"/>
      <c r="AW270"/>
      <c r="AX270"/>
      <c r="AY270"/>
      <c r="AZ270"/>
      <c r="BA270"/>
      <c r="BB270"/>
      <c r="BC270"/>
      <c r="BD270"/>
      <c r="BE270"/>
      <c r="BF270"/>
      <c r="BG270"/>
    </row>
    <row r="271" spans="2:59" x14ac:dyDescent="0.25">
      <c r="B271" s="22"/>
      <c r="C271" s="23"/>
      <c r="E271" s="23"/>
      <c r="F271" s="24"/>
      <c r="G271" s="2"/>
      <c r="H271" s="10" t="e">
        <f>_xlfn.XLOOKUP(F271,Viloyatlar24[RegionName],Viloyatlar24[RegionId])</f>
        <v>#N/A</v>
      </c>
      <c r="I271" s="10" t="e">
        <f>_xlfn.XLOOKUP('Кўчмас мулк объектлари'!G271,Tumanlar23[DistrictName],Tumanlar23[DistrictId])</f>
        <v>#N/A</v>
      </c>
      <c r="K271" s="24"/>
      <c r="L271" s="10" t="e">
        <f>_xlfn.XLOOKUP(K271,Ташкилотлар39[Ташкилотлар],Ташкилотлар39[TashklilotID])</f>
        <v>#N/A</v>
      </c>
      <c r="M271" s="26"/>
      <c r="N271" s="26"/>
      <c r="O271" s="24"/>
      <c r="P271" s="2"/>
      <c r="Q271" s="26"/>
      <c r="R271" s="26"/>
      <c r="S271" s="26"/>
      <c r="T271" s="26"/>
      <c r="U271" s="24"/>
      <c r="V271" s="10" t="e">
        <f>_xlfn.XLOOKUP(U271,Таклифлар37[Таклифлар],Таклифлар37[TaklifID])</f>
        <v>#N/A</v>
      </c>
      <c r="W271" s="24"/>
      <c r="X271" s="23"/>
      <c r="Y271" s="7"/>
      <c r="Z271" s="26"/>
      <c r="AB271" s="23"/>
      <c r="AD271" s="2"/>
      <c r="AG271" s="23"/>
      <c r="AI271" s="26"/>
      <c r="AJ271" s="23"/>
      <c r="AM271" s="23"/>
      <c r="AO271" s="32"/>
      <c r="AP271" s="26"/>
      <c r="AR271" s="26"/>
      <c r="AS271" s="27"/>
      <c r="AT271" s="27"/>
      <c r="AU271" s="31"/>
      <c r="AV271" s="24"/>
      <c r="AW271"/>
      <c r="AX271"/>
      <c r="AY271"/>
      <c r="AZ271"/>
      <c r="BA271"/>
      <c r="BB271"/>
      <c r="BC271"/>
      <c r="BD271"/>
      <c r="BE271"/>
      <c r="BF271"/>
      <c r="BG271"/>
    </row>
    <row r="272" spans="2:59" x14ac:dyDescent="0.25">
      <c r="B272" s="22"/>
      <c r="C272" s="23"/>
      <c r="E272" s="23"/>
      <c r="F272" s="24"/>
      <c r="G272" s="2"/>
      <c r="H272" s="10" t="e">
        <f>_xlfn.XLOOKUP(F272,Viloyatlar24[RegionName],Viloyatlar24[RegionId])</f>
        <v>#N/A</v>
      </c>
      <c r="I272" s="10" t="e">
        <f>_xlfn.XLOOKUP('Кўчмас мулк объектлари'!G272,Tumanlar23[DistrictName],Tumanlar23[DistrictId])</f>
        <v>#N/A</v>
      </c>
      <c r="K272" s="24"/>
      <c r="L272" s="10" t="e">
        <f>_xlfn.XLOOKUP(K272,Ташкилотлар39[Ташкилотлар],Ташкилотлар39[TashklilotID])</f>
        <v>#N/A</v>
      </c>
      <c r="M272" s="26"/>
      <c r="N272" s="26"/>
      <c r="O272" s="24"/>
      <c r="P272" s="2"/>
      <c r="Q272" s="26"/>
      <c r="R272" s="26"/>
      <c r="S272" s="26"/>
      <c r="T272" s="26"/>
      <c r="U272" s="24"/>
      <c r="V272" s="10" t="e">
        <f>_xlfn.XLOOKUP(U272,Таклифлар37[Таклифлар],Таклифлар37[TaklifID])</f>
        <v>#N/A</v>
      </c>
      <c r="W272" s="24"/>
      <c r="X272" s="23"/>
      <c r="Y272" s="7"/>
      <c r="Z272" s="26"/>
      <c r="AB272" s="23"/>
      <c r="AD272" s="2"/>
      <c r="AG272" s="23"/>
      <c r="AI272" s="26"/>
      <c r="AJ272" s="23"/>
      <c r="AM272" s="23"/>
      <c r="AO272" s="32"/>
      <c r="AP272" s="26"/>
      <c r="AR272" s="26"/>
      <c r="AS272" s="27"/>
      <c r="AT272" s="27"/>
      <c r="AU272" s="31"/>
      <c r="AV272" s="24"/>
      <c r="AW272"/>
      <c r="AX272"/>
      <c r="AY272"/>
      <c r="AZ272"/>
      <c r="BA272"/>
      <c r="BB272"/>
      <c r="BC272"/>
      <c r="BD272"/>
      <c r="BE272"/>
      <c r="BF272"/>
      <c r="BG272"/>
    </row>
    <row r="273" spans="2:59" x14ac:dyDescent="0.25">
      <c r="B273" s="22"/>
      <c r="C273" s="23"/>
      <c r="E273" s="23"/>
      <c r="F273" s="24"/>
      <c r="G273" s="2"/>
      <c r="H273" s="10" t="e">
        <f>_xlfn.XLOOKUP(F273,Viloyatlar24[RegionName],Viloyatlar24[RegionId])</f>
        <v>#N/A</v>
      </c>
      <c r="I273" s="10" t="e">
        <f>_xlfn.XLOOKUP('Кўчмас мулк объектлари'!G273,Tumanlar23[DistrictName],Tumanlar23[DistrictId])</f>
        <v>#N/A</v>
      </c>
      <c r="K273" s="24"/>
      <c r="L273" s="10" t="e">
        <f>_xlfn.XLOOKUP(K273,Ташкилотлар39[Ташкилотлар],Ташкилотлар39[TashklilotID])</f>
        <v>#N/A</v>
      </c>
      <c r="M273" s="26"/>
      <c r="N273" s="26"/>
      <c r="O273" s="24"/>
      <c r="P273" s="2"/>
      <c r="Q273" s="26"/>
      <c r="R273" s="26"/>
      <c r="S273" s="26"/>
      <c r="T273" s="26"/>
      <c r="U273" s="24"/>
      <c r="V273" s="10" t="e">
        <f>_xlfn.XLOOKUP(U273,Таклифлар37[Таклифлар],Таклифлар37[TaklifID])</f>
        <v>#N/A</v>
      </c>
      <c r="W273" s="24"/>
      <c r="X273" s="23"/>
      <c r="Y273" s="7"/>
      <c r="Z273" s="26"/>
      <c r="AB273" s="23"/>
      <c r="AD273" s="2"/>
      <c r="AG273" s="23"/>
      <c r="AI273" s="26"/>
      <c r="AJ273" s="23"/>
      <c r="AM273" s="23"/>
      <c r="AO273" s="32"/>
      <c r="AP273" s="26"/>
      <c r="AR273" s="26"/>
      <c r="AS273" s="27"/>
      <c r="AT273" s="27"/>
      <c r="AU273" s="31"/>
      <c r="AV273" s="24"/>
      <c r="AW273"/>
      <c r="AX273"/>
      <c r="AY273"/>
      <c r="AZ273"/>
      <c r="BA273"/>
      <c r="BB273"/>
      <c r="BC273"/>
      <c r="BD273"/>
      <c r="BE273"/>
      <c r="BF273"/>
      <c r="BG273"/>
    </row>
    <row r="274" spans="2:59" x14ac:dyDescent="0.25">
      <c r="B274" s="22"/>
      <c r="C274" s="23"/>
      <c r="E274" s="23"/>
      <c r="F274" s="24"/>
      <c r="G274" s="2"/>
      <c r="H274" s="10" t="e">
        <f>_xlfn.XLOOKUP(F274,Viloyatlar24[RegionName],Viloyatlar24[RegionId])</f>
        <v>#N/A</v>
      </c>
      <c r="I274" s="10" t="e">
        <f>_xlfn.XLOOKUP('Кўчмас мулк объектлари'!G274,Tumanlar23[DistrictName],Tumanlar23[DistrictId])</f>
        <v>#N/A</v>
      </c>
      <c r="K274" s="24"/>
      <c r="L274" s="10" t="e">
        <f>_xlfn.XLOOKUP(K274,Ташкилотлар39[Ташкилотлар],Ташкилотлар39[TashklilotID])</f>
        <v>#N/A</v>
      </c>
      <c r="M274" s="26"/>
      <c r="N274" s="26"/>
      <c r="O274" s="24"/>
      <c r="P274" s="2"/>
      <c r="Q274" s="26"/>
      <c r="R274" s="26"/>
      <c r="S274" s="26"/>
      <c r="T274" s="26"/>
      <c r="U274" s="24"/>
      <c r="V274" s="10" t="e">
        <f>_xlfn.XLOOKUP(U274,Таклифлар37[Таклифлар],Таклифлар37[TaklifID])</f>
        <v>#N/A</v>
      </c>
      <c r="W274" s="24"/>
      <c r="X274" s="23"/>
      <c r="Y274" s="7"/>
      <c r="Z274" s="26"/>
      <c r="AB274" s="23"/>
      <c r="AD274" s="2"/>
      <c r="AG274" s="23"/>
      <c r="AI274" s="26"/>
      <c r="AJ274" s="23"/>
      <c r="AM274" s="23"/>
      <c r="AO274" s="32"/>
      <c r="AP274" s="26"/>
      <c r="AR274" s="26"/>
      <c r="AS274" s="27"/>
      <c r="AT274" s="27"/>
      <c r="AU274" s="31"/>
      <c r="AV274" s="24"/>
      <c r="AW274"/>
      <c r="AX274"/>
      <c r="AY274"/>
      <c r="AZ274"/>
      <c r="BA274"/>
      <c r="BB274"/>
      <c r="BC274"/>
      <c r="BD274"/>
      <c r="BE274"/>
      <c r="BF274"/>
      <c r="BG274"/>
    </row>
    <row r="275" spans="2:59" x14ac:dyDescent="0.25">
      <c r="B275" s="22"/>
      <c r="C275" s="23"/>
      <c r="E275" s="23"/>
      <c r="F275" s="24"/>
      <c r="G275" s="2"/>
      <c r="H275" s="10" t="e">
        <f>_xlfn.XLOOKUP(F275,Viloyatlar24[RegionName],Viloyatlar24[RegionId])</f>
        <v>#N/A</v>
      </c>
      <c r="I275" s="10" t="e">
        <f>_xlfn.XLOOKUP('Кўчмас мулк объектлари'!G275,Tumanlar23[DistrictName],Tumanlar23[DistrictId])</f>
        <v>#N/A</v>
      </c>
      <c r="K275" s="24"/>
      <c r="L275" s="10" t="e">
        <f>_xlfn.XLOOKUP(K275,Ташкилотлар39[Ташкилотлар],Ташкилотлар39[TashklilotID])</f>
        <v>#N/A</v>
      </c>
      <c r="M275" s="26"/>
      <c r="N275" s="26"/>
      <c r="O275" s="24"/>
      <c r="P275" s="2"/>
      <c r="Q275" s="26"/>
      <c r="R275" s="26"/>
      <c r="S275" s="26"/>
      <c r="T275" s="26"/>
      <c r="U275" s="24"/>
      <c r="V275" s="10" t="e">
        <f>_xlfn.XLOOKUP(U275,Таклифлар37[Таклифлар],Таклифлар37[TaklifID])</f>
        <v>#N/A</v>
      </c>
      <c r="W275" s="24"/>
      <c r="X275" s="23"/>
      <c r="Y275" s="7"/>
      <c r="Z275" s="26"/>
      <c r="AB275" s="23"/>
      <c r="AD275" s="2"/>
      <c r="AG275" s="23"/>
      <c r="AI275" s="26"/>
      <c r="AJ275" s="23"/>
      <c r="AM275" s="23"/>
      <c r="AO275" s="32"/>
      <c r="AP275" s="26"/>
      <c r="AR275" s="26"/>
      <c r="AS275" s="27"/>
      <c r="AT275" s="27"/>
      <c r="AU275" s="31"/>
      <c r="AV275" s="24"/>
      <c r="AW275"/>
      <c r="AX275"/>
      <c r="AY275"/>
      <c r="AZ275"/>
      <c r="BA275"/>
      <c r="BB275"/>
      <c r="BC275"/>
      <c r="BD275"/>
      <c r="BE275"/>
      <c r="BF275"/>
      <c r="BG275"/>
    </row>
    <row r="276" spans="2:59" x14ac:dyDescent="0.25">
      <c r="B276" s="22"/>
      <c r="C276" s="23"/>
      <c r="E276" s="23"/>
      <c r="F276" s="24"/>
      <c r="G276" s="2"/>
      <c r="H276" s="10" t="e">
        <f>_xlfn.XLOOKUP(F276,Viloyatlar24[RegionName],Viloyatlar24[RegionId])</f>
        <v>#N/A</v>
      </c>
      <c r="I276" s="10" t="e">
        <f>_xlfn.XLOOKUP('Кўчмас мулк объектлари'!G276,Tumanlar23[DistrictName],Tumanlar23[DistrictId])</f>
        <v>#N/A</v>
      </c>
      <c r="K276" s="24"/>
      <c r="L276" s="10" t="e">
        <f>_xlfn.XLOOKUP(K276,Ташкилотлар39[Ташкилотлар],Ташкилотлар39[TashklilotID])</f>
        <v>#N/A</v>
      </c>
      <c r="M276" s="26"/>
      <c r="N276" s="26"/>
      <c r="O276" s="24"/>
      <c r="P276" s="2"/>
      <c r="Q276" s="26"/>
      <c r="R276" s="26"/>
      <c r="S276" s="26"/>
      <c r="T276" s="26"/>
      <c r="U276" s="24"/>
      <c r="V276" s="10" t="e">
        <f>_xlfn.XLOOKUP(U276,Таклифлар37[Таклифлар],Таклифлар37[TaklifID])</f>
        <v>#N/A</v>
      </c>
      <c r="W276" s="24"/>
      <c r="X276" s="23"/>
      <c r="Y276" s="7"/>
      <c r="Z276" s="26"/>
      <c r="AB276" s="23"/>
      <c r="AD276" s="2"/>
      <c r="AG276" s="23"/>
      <c r="AI276" s="26"/>
      <c r="AJ276" s="23"/>
      <c r="AM276" s="23"/>
      <c r="AO276" s="32"/>
      <c r="AP276" s="26"/>
      <c r="AR276" s="26"/>
      <c r="AS276" s="27"/>
      <c r="AT276" s="27"/>
      <c r="AU276" s="31"/>
      <c r="AV276" s="24"/>
      <c r="AW276"/>
      <c r="AX276"/>
      <c r="AY276"/>
      <c r="AZ276"/>
      <c r="BA276"/>
      <c r="BB276"/>
      <c r="BC276"/>
      <c r="BD276"/>
      <c r="BE276"/>
      <c r="BF276"/>
      <c r="BG276"/>
    </row>
    <row r="277" spans="2:59" x14ac:dyDescent="0.25">
      <c r="B277" s="22"/>
      <c r="C277" s="23"/>
      <c r="E277" s="23"/>
      <c r="F277" s="24"/>
      <c r="G277" s="2"/>
      <c r="H277" s="10" t="e">
        <f>_xlfn.XLOOKUP(F277,Viloyatlar24[RegionName],Viloyatlar24[RegionId])</f>
        <v>#N/A</v>
      </c>
      <c r="I277" s="10" t="e">
        <f>_xlfn.XLOOKUP('Кўчмас мулк объектлари'!G277,Tumanlar23[DistrictName],Tumanlar23[DistrictId])</f>
        <v>#N/A</v>
      </c>
      <c r="K277" s="24"/>
      <c r="L277" s="10" t="e">
        <f>_xlfn.XLOOKUP(K277,Ташкилотлар39[Ташкилотлар],Ташкилотлар39[TashklilotID])</f>
        <v>#N/A</v>
      </c>
      <c r="M277" s="26"/>
      <c r="N277" s="26"/>
      <c r="O277" s="24"/>
      <c r="P277" s="2"/>
      <c r="Q277" s="26"/>
      <c r="R277" s="26"/>
      <c r="S277" s="26"/>
      <c r="T277" s="26"/>
      <c r="U277" s="24"/>
      <c r="V277" s="10" t="e">
        <f>_xlfn.XLOOKUP(U277,Таклифлар37[Таклифлар],Таклифлар37[TaklifID])</f>
        <v>#N/A</v>
      </c>
      <c r="W277" s="24"/>
      <c r="X277" s="23"/>
      <c r="Y277" s="7"/>
      <c r="Z277" s="26"/>
      <c r="AB277" s="23"/>
      <c r="AD277" s="2"/>
      <c r="AG277" s="23"/>
      <c r="AI277" s="26"/>
      <c r="AJ277" s="23"/>
      <c r="AM277" s="23"/>
      <c r="AO277" s="32"/>
      <c r="AP277" s="26"/>
      <c r="AR277" s="26"/>
      <c r="AS277" s="27"/>
      <c r="AT277" s="27"/>
      <c r="AU277" s="31"/>
      <c r="AV277" s="24"/>
      <c r="AW277"/>
      <c r="AX277"/>
      <c r="AY277"/>
      <c r="AZ277"/>
      <c r="BA277"/>
      <c r="BB277"/>
      <c r="BC277"/>
      <c r="BD277"/>
      <c r="BE277"/>
      <c r="BF277"/>
      <c r="BG277"/>
    </row>
    <row r="278" spans="2:59" x14ac:dyDescent="0.25">
      <c r="B278" s="22"/>
      <c r="C278" s="23"/>
      <c r="E278" s="23"/>
      <c r="F278" s="24"/>
      <c r="G278" s="2"/>
      <c r="H278" s="10" t="e">
        <f>_xlfn.XLOOKUP(F278,Viloyatlar24[RegionName],Viloyatlar24[RegionId])</f>
        <v>#N/A</v>
      </c>
      <c r="I278" s="10" t="e">
        <f>_xlfn.XLOOKUP('Кўчмас мулк объектлари'!G278,Tumanlar23[DistrictName],Tumanlar23[DistrictId])</f>
        <v>#N/A</v>
      </c>
      <c r="K278" s="24"/>
      <c r="L278" s="10" t="e">
        <f>_xlfn.XLOOKUP(K278,Ташкилотлар39[Ташкилотлар],Ташкилотлар39[TashklilotID])</f>
        <v>#N/A</v>
      </c>
      <c r="M278" s="26"/>
      <c r="N278" s="26"/>
      <c r="O278" s="24"/>
      <c r="P278" s="2"/>
      <c r="Q278" s="26"/>
      <c r="R278" s="26"/>
      <c r="S278" s="26"/>
      <c r="T278" s="26"/>
      <c r="U278" s="24"/>
      <c r="V278" s="10" t="e">
        <f>_xlfn.XLOOKUP(U278,Таклифлар37[Таклифлар],Таклифлар37[TaklifID])</f>
        <v>#N/A</v>
      </c>
      <c r="W278" s="24"/>
      <c r="X278" s="23"/>
      <c r="Y278" s="7"/>
      <c r="Z278" s="26"/>
      <c r="AB278" s="23"/>
      <c r="AD278" s="2"/>
      <c r="AG278" s="23"/>
      <c r="AI278" s="26"/>
      <c r="AJ278" s="23"/>
      <c r="AM278" s="23"/>
      <c r="AO278" s="32"/>
      <c r="AP278" s="26"/>
      <c r="AR278" s="26"/>
      <c r="AS278" s="27"/>
      <c r="AT278" s="27"/>
      <c r="AU278" s="31"/>
      <c r="AV278" s="24"/>
      <c r="AW278"/>
      <c r="AX278"/>
      <c r="AY278"/>
      <c r="AZ278"/>
      <c r="BA278"/>
      <c r="BB278"/>
      <c r="BC278"/>
      <c r="BD278"/>
      <c r="BE278"/>
      <c r="BF278"/>
      <c r="BG278"/>
    </row>
    <row r="279" spans="2:59" x14ac:dyDescent="0.25">
      <c r="B279" s="22"/>
      <c r="C279" s="23"/>
      <c r="E279" s="23"/>
      <c r="F279" s="24"/>
      <c r="G279" s="2"/>
      <c r="H279" s="10" t="e">
        <f>_xlfn.XLOOKUP(F279,Viloyatlar24[RegionName],Viloyatlar24[RegionId])</f>
        <v>#N/A</v>
      </c>
      <c r="I279" s="10" t="e">
        <f>_xlfn.XLOOKUP('Кўчмас мулк объектлари'!G279,Tumanlar23[DistrictName],Tumanlar23[DistrictId])</f>
        <v>#N/A</v>
      </c>
      <c r="K279" s="24"/>
      <c r="L279" s="10" t="e">
        <f>_xlfn.XLOOKUP(K279,Ташкилотлар39[Ташкилотлар],Ташкилотлар39[TashklilotID])</f>
        <v>#N/A</v>
      </c>
      <c r="M279" s="26"/>
      <c r="N279" s="26"/>
      <c r="O279" s="24"/>
      <c r="P279" s="2"/>
      <c r="Q279" s="26"/>
      <c r="R279" s="26"/>
      <c r="S279" s="26"/>
      <c r="T279" s="26"/>
      <c r="U279" s="24"/>
      <c r="V279" s="10" t="e">
        <f>_xlfn.XLOOKUP(U279,Таклифлар37[Таклифлар],Таклифлар37[TaklifID])</f>
        <v>#N/A</v>
      </c>
      <c r="W279" s="24"/>
      <c r="X279" s="23"/>
      <c r="Y279" s="7"/>
      <c r="Z279" s="26"/>
      <c r="AB279" s="23"/>
      <c r="AD279" s="2"/>
      <c r="AG279" s="23"/>
      <c r="AI279" s="26"/>
      <c r="AJ279" s="23"/>
      <c r="AM279" s="23"/>
      <c r="AO279" s="32"/>
      <c r="AP279" s="26"/>
      <c r="AR279" s="26"/>
      <c r="AS279" s="27"/>
      <c r="AT279" s="27"/>
      <c r="AU279" s="31"/>
      <c r="AV279" s="24"/>
      <c r="AW279"/>
      <c r="AX279"/>
      <c r="AY279"/>
      <c r="AZ279"/>
      <c r="BA279"/>
      <c r="BB279"/>
      <c r="BC279"/>
      <c r="BD279"/>
      <c r="BE279"/>
      <c r="BF279"/>
      <c r="BG279"/>
    </row>
    <row r="280" spans="2:59" x14ac:dyDescent="0.25">
      <c r="B280" s="22"/>
      <c r="C280" s="23"/>
      <c r="E280" s="23"/>
      <c r="F280" s="24"/>
      <c r="G280" s="2"/>
      <c r="H280" s="10" t="e">
        <f>_xlfn.XLOOKUP(F280,Viloyatlar24[RegionName],Viloyatlar24[RegionId])</f>
        <v>#N/A</v>
      </c>
      <c r="I280" s="10" t="e">
        <f>_xlfn.XLOOKUP('Кўчмас мулк объектлари'!G280,Tumanlar23[DistrictName],Tumanlar23[DistrictId])</f>
        <v>#N/A</v>
      </c>
      <c r="K280" s="24"/>
      <c r="L280" s="10" t="e">
        <f>_xlfn.XLOOKUP(K280,Ташкилотлар39[Ташкилотлар],Ташкилотлар39[TashklilotID])</f>
        <v>#N/A</v>
      </c>
      <c r="M280" s="26"/>
      <c r="N280" s="26"/>
      <c r="O280" s="24"/>
      <c r="P280" s="2"/>
      <c r="Q280" s="26"/>
      <c r="R280" s="26"/>
      <c r="S280" s="26"/>
      <c r="T280" s="26"/>
      <c r="U280" s="24"/>
      <c r="V280" s="10" t="e">
        <f>_xlfn.XLOOKUP(U280,Таклифлар37[Таклифлар],Таклифлар37[TaklifID])</f>
        <v>#N/A</v>
      </c>
      <c r="W280" s="24"/>
      <c r="X280" s="23"/>
      <c r="Y280" s="7"/>
      <c r="Z280" s="26"/>
      <c r="AB280" s="23"/>
      <c r="AD280" s="2"/>
      <c r="AG280" s="23"/>
      <c r="AI280" s="26"/>
      <c r="AJ280" s="23"/>
      <c r="AM280" s="23"/>
      <c r="AO280" s="32"/>
      <c r="AP280" s="26"/>
      <c r="AR280" s="26"/>
      <c r="AS280" s="27"/>
      <c r="AT280" s="27"/>
      <c r="AU280" s="31"/>
      <c r="AV280" s="24"/>
      <c r="AW280"/>
      <c r="AX280"/>
      <c r="AY280"/>
      <c r="AZ280"/>
      <c r="BA280"/>
      <c r="BB280"/>
      <c r="BC280"/>
      <c r="BD280"/>
      <c r="BE280"/>
      <c r="BF280"/>
      <c r="BG280"/>
    </row>
    <row r="281" spans="2:59" x14ac:dyDescent="0.25">
      <c r="B281" s="22"/>
      <c r="C281" s="23"/>
      <c r="E281" s="23"/>
      <c r="F281" s="24"/>
      <c r="G281" s="2"/>
      <c r="H281" s="10" t="e">
        <f>_xlfn.XLOOKUP(F281,Viloyatlar24[RegionName],Viloyatlar24[RegionId])</f>
        <v>#N/A</v>
      </c>
      <c r="I281" s="10" t="e">
        <f>_xlfn.XLOOKUP('Кўчмас мулк объектлари'!G281,Tumanlar23[DistrictName],Tumanlar23[DistrictId])</f>
        <v>#N/A</v>
      </c>
      <c r="K281" s="24"/>
      <c r="L281" s="10" t="e">
        <f>_xlfn.XLOOKUP(K281,Ташкилотлар39[Ташкилотлар],Ташкилотлар39[TashklilotID])</f>
        <v>#N/A</v>
      </c>
      <c r="M281" s="26"/>
      <c r="N281" s="26"/>
      <c r="O281" s="24"/>
      <c r="P281" s="2"/>
      <c r="Q281" s="26"/>
      <c r="R281" s="26"/>
      <c r="S281" s="26"/>
      <c r="T281" s="26"/>
      <c r="U281" s="24"/>
      <c r="V281" s="10" t="e">
        <f>_xlfn.XLOOKUP(U281,Таклифлар37[Таклифлар],Таклифлар37[TaklifID])</f>
        <v>#N/A</v>
      </c>
      <c r="W281" s="24"/>
      <c r="X281" s="23"/>
      <c r="Y281" s="7"/>
      <c r="Z281" s="26"/>
      <c r="AB281" s="23"/>
      <c r="AD281" s="2"/>
      <c r="AG281" s="23"/>
      <c r="AI281" s="26"/>
      <c r="AJ281" s="23"/>
      <c r="AM281" s="23"/>
      <c r="AO281" s="32"/>
      <c r="AP281" s="26"/>
      <c r="AR281" s="26"/>
      <c r="AS281" s="27"/>
      <c r="AT281" s="27"/>
      <c r="AU281" s="31"/>
      <c r="AV281" s="24"/>
      <c r="AW281"/>
      <c r="AX281"/>
      <c r="AY281"/>
      <c r="AZ281"/>
      <c r="BA281"/>
      <c r="BB281"/>
      <c r="BC281"/>
      <c r="BD281"/>
      <c r="BE281"/>
      <c r="BF281"/>
      <c r="BG281"/>
    </row>
    <row r="282" spans="2:59" x14ac:dyDescent="0.25">
      <c r="B282" s="22"/>
      <c r="C282" s="23"/>
      <c r="E282" s="23"/>
      <c r="F282" s="24"/>
      <c r="G282" s="2"/>
      <c r="H282" s="10" t="e">
        <f>_xlfn.XLOOKUP(F282,Viloyatlar24[RegionName],Viloyatlar24[RegionId])</f>
        <v>#N/A</v>
      </c>
      <c r="I282" s="10" t="e">
        <f>_xlfn.XLOOKUP('Кўчмас мулк объектлари'!G282,Tumanlar23[DistrictName],Tumanlar23[DistrictId])</f>
        <v>#N/A</v>
      </c>
      <c r="K282" s="24"/>
      <c r="L282" s="10" t="e">
        <f>_xlfn.XLOOKUP(K282,Ташкилотлар39[Ташкилотлар],Ташкилотлар39[TashklilotID])</f>
        <v>#N/A</v>
      </c>
      <c r="M282" s="26"/>
      <c r="N282" s="26"/>
      <c r="O282" s="24"/>
      <c r="P282" s="2"/>
      <c r="Q282" s="26"/>
      <c r="R282" s="26"/>
      <c r="S282" s="26"/>
      <c r="T282" s="26"/>
      <c r="U282" s="24"/>
      <c r="V282" s="10" t="e">
        <f>_xlfn.XLOOKUP(U282,Таклифлар37[Таклифлар],Таклифлар37[TaklifID])</f>
        <v>#N/A</v>
      </c>
      <c r="W282" s="24"/>
      <c r="X282" s="23"/>
      <c r="Y282" s="7"/>
      <c r="Z282" s="26"/>
      <c r="AB282" s="23"/>
      <c r="AD282" s="2"/>
      <c r="AG282" s="23"/>
      <c r="AI282" s="26"/>
      <c r="AJ282" s="23"/>
      <c r="AM282" s="23"/>
      <c r="AO282" s="32"/>
      <c r="AP282" s="26"/>
      <c r="AR282" s="26"/>
      <c r="AS282" s="27"/>
      <c r="AT282" s="27"/>
      <c r="AU282" s="31"/>
      <c r="AV282" s="24"/>
      <c r="AW282"/>
      <c r="AX282"/>
      <c r="AY282"/>
      <c r="AZ282"/>
      <c r="BA282"/>
      <c r="BB282"/>
      <c r="BC282"/>
      <c r="BD282"/>
      <c r="BE282"/>
      <c r="BF282"/>
      <c r="BG282"/>
    </row>
    <row r="283" spans="2:59" x14ac:dyDescent="0.25">
      <c r="B283" s="22"/>
      <c r="C283" s="23"/>
      <c r="E283" s="23"/>
      <c r="F283" s="24"/>
      <c r="G283" s="2"/>
      <c r="H283" s="10" t="e">
        <f>_xlfn.XLOOKUP(F283,Viloyatlar24[RegionName],Viloyatlar24[RegionId])</f>
        <v>#N/A</v>
      </c>
      <c r="I283" s="10" t="e">
        <f>_xlfn.XLOOKUP('Кўчмас мулк объектлари'!G283,Tumanlar23[DistrictName],Tumanlar23[DistrictId])</f>
        <v>#N/A</v>
      </c>
      <c r="K283" s="24"/>
      <c r="L283" s="10" t="e">
        <f>_xlfn.XLOOKUP(K283,Ташкилотлар39[Ташкилотлар],Ташкилотлар39[TashklilotID])</f>
        <v>#N/A</v>
      </c>
      <c r="M283" s="26"/>
      <c r="N283" s="26"/>
      <c r="O283" s="24"/>
      <c r="P283" s="2"/>
      <c r="Q283" s="26"/>
      <c r="R283" s="26"/>
      <c r="S283" s="26"/>
      <c r="T283" s="26"/>
      <c r="U283" s="24"/>
      <c r="V283" s="10" t="e">
        <f>_xlfn.XLOOKUP(U283,Таклифлар37[Таклифлар],Таклифлар37[TaklifID])</f>
        <v>#N/A</v>
      </c>
      <c r="W283" s="24"/>
      <c r="X283" s="23"/>
      <c r="Y283" s="7"/>
      <c r="Z283" s="26"/>
      <c r="AB283" s="23"/>
      <c r="AD283" s="2"/>
      <c r="AG283" s="23"/>
      <c r="AI283" s="26"/>
      <c r="AJ283" s="23"/>
      <c r="AM283" s="23"/>
      <c r="AO283" s="32"/>
      <c r="AP283" s="26"/>
      <c r="AR283" s="26"/>
      <c r="AS283" s="27"/>
      <c r="AT283" s="27"/>
      <c r="AU283" s="31"/>
      <c r="AV283" s="24"/>
      <c r="AW283"/>
      <c r="AX283"/>
      <c r="AY283"/>
      <c r="AZ283"/>
      <c r="BA283"/>
      <c r="BB283"/>
      <c r="BC283"/>
      <c r="BD283"/>
      <c r="BE283"/>
      <c r="BF283"/>
      <c r="BG283"/>
    </row>
    <row r="284" spans="2:59" x14ac:dyDescent="0.25">
      <c r="B284" s="22"/>
      <c r="C284" s="23"/>
      <c r="E284" s="23"/>
      <c r="F284" s="24"/>
      <c r="G284" s="2"/>
      <c r="H284" s="10" t="e">
        <f>_xlfn.XLOOKUP(F284,Viloyatlar24[RegionName],Viloyatlar24[RegionId])</f>
        <v>#N/A</v>
      </c>
      <c r="I284" s="10" t="e">
        <f>_xlfn.XLOOKUP('Кўчмас мулк объектлари'!G284,Tumanlar23[DistrictName],Tumanlar23[DistrictId])</f>
        <v>#N/A</v>
      </c>
      <c r="K284" s="24"/>
      <c r="L284" s="10" t="e">
        <f>_xlfn.XLOOKUP(K284,Ташкилотлар39[Ташкилотлар],Ташкилотлар39[TashklilotID])</f>
        <v>#N/A</v>
      </c>
      <c r="M284" s="26"/>
      <c r="N284" s="26"/>
      <c r="O284" s="24"/>
      <c r="P284" s="2"/>
      <c r="Q284" s="26"/>
      <c r="R284" s="26"/>
      <c r="S284" s="26"/>
      <c r="T284" s="26"/>
      <c r="U284" s="24"/>
      <c r="V284" s="10" t="e">
        <f>_xlfn.XLOOKUP(U284,Таклифлар37[Таклифлар],Таклифлар37[TaklifID])</f>
        <v>#N/A</v>
      </c>
      <c r="W284" s="24"/>
      <c r="X284" s="23"/>
      <c r="Y284" s="7"/>
      <c r="Z284" s="26"/>
      <c r="AB284" s="23"/>
      <c r="AD284" s="2"/>
      <c r="AG284" s="23"/>
      <c r="AI284" s="26"/>
      <c r="AJ284" s="23"/>
      <c r="AM284" s="23"/>
      <c r="AO284" s="32"/>
      <c r="AP284" s="26"/>
      <c r="AR284" s="26"/>
      <c r="AS284" s="27"/>
      <c r="AT284" s="27"/>
      <c r="AU284" s="31"/>
      <c r="AV284" s="24"/>
      <c r="AW284"/>
      <c r="AX284"/>
      <c r="AY284"/>
      <c r="AZ284"/>
      <c r="BA284"/>
      <c r="BB284"/>
      <c r="BC284"/>
      <c r="BD284"/>
      <c r="BE284"/>
      <c r="BF284"/>
      <c r="BG284"/>
    </row>
    <row r="285" spans="2:59" x14ac:dyDescent="0.25">
      <c r="B285" s="22"/>
      <c r="C285" s="23"/>
      <c r="E285" s="23"/>
      <c r="F285" s="24"/>
      <c r="G285" s="2"/>
      <c r="H285" s="10" t="e">
        <f>_xlfn.XLOOKUP(F285,Viloyatlar24[RegionName],Viloyatlar24[RegionId])</f>
        <v>#N/A</v>
      </c>
      <c r="I285" s="10" t="e">
        <f>_xlfn.XLOOKUP('Кўчмас мулк объектлари'!G285,Tumanlar23[DistrictName],Tumanlar23[DistrictId])</f>
        <v>#N/A</v>
      </c>
      <c r="K285" s="24"/>
      <c r="L285" s="10" t="e">
        <f>_xlfn.XLOOKUP(K285,Ташкилотлар39[Ташкилотлар],Ташкилотлар39[TashklilotID])</f>
        <v>#N/A</v>
      </c>
      <c r="M285" s="26"/>
      <c r="N285" s="26"/>
      <c r="O285" s="24"/>
      <c r="P285" s="2"/>
      <c r="Q285" s="26"/>
      <c r="R285" s="26"/>
      <c r="S285" s="26"/>
      <c r="T285" s="26"/>
      <c r="U285" s="24"/>
      <c r="V285" s="10" t="e">
        <f>_xlfn.XLOOKUP(U285,Таклифлар37[Таклифлар],Таклифлар37[TaklifID])</f>
        <v>#N/A</v>
      </c>
      <c r="W285" s="24"/>
      <c r="X285" s="23"/>
      <c r="Y285" s="7"/>
      <c r="Z285" s="26"/>
      <c r="AB285" s="23"/>
      <c r="AD285" s="2"/>
      <c r="AG285" s="23"/>
      <c r="AI285" s="26"/>
      <c r="AJ285" s="23"/>
      <c r="AM285" s="23"/>
      <c r="AO285" s="32"/>
      <c r="AP285" s="26"/>
      <c r="AR285" s="26"/>
      <c r="AS285" s="27"/>
      <c r="AT285" s="27"/>
      <c r="AU285" s="31"/>
      <c r="AV285" s="24"/>
      <c r="AW285"/>
      <c r="AX285"/>
      <c r="AY285"/>
      <c r="AZ285"/>
      <c r="BA285"/>
      <c r="BB285"/>
      <c r="BC285"/>
      <c r="BD285"/>
      <c r="BE285"/>
      <c r="BF285"/>
      <c r="BG285"/>
    </row>
    <row r="286" spans="2:59" x14ac:dyDescent="0.25">
      <c r="B286" s="22"/>
      <c r="C286" s="23"/>
      <c r="E286" s="23"/>
      <c r="F286" s="24"/>
      <c r="G286" s="2"/>
      <c r="H286" s="10" t="e">
        <f>_xlfn.XLOOKUP(F286,Viloyatlar24[RegionName],Viloyatlar24[RegionId])</f>
        <v>#N/A</v>
      </c>
      <c r="I286" s="10" t="e">
        <f>_xlfn.XLOOKUP('Кўчмас мулк объектлари'!G286,Tumanlar23[DistrictName],Tumanlar23[DistrictId])</f>
        <v>#N/A</v>
      </c>
      <c r="K286" s="24"/>
      <c r="L286" s="10" t="e">
        <f>_xlfn.XLOOKUP(K286,Ташкилотлар39[Ташкилотлар],Ташкилотлар39[TashklilotID])</f>
        <v>#N/A</v>
      </c>
      <c r="M286" s="26"/>
      <c r="N286" s="26"/>
      <c r="O286" s="24"/>
      <c r="P286" s="2"/>
      <c r="Q286" s="26"/>
      <c r="R286" s="26"/>
      <c r="S286" s="26"/>
      <c r="T286" s="26"/>
      <c r="U286" s="24"/>
      <c r="V286" s="10" t="e">
        <f>_xlfn.XLOOKUP(U286,Таклифлар37[Таклифлар],Таклифлар37[TaklifID])</f>
        <v>#N/A</v>
      </c>
      <c r="W286" s="24"/>
      <c r="X286" s="23"/>
      <c r="Y286" s="7"/>
      <c r="Z286" s="26"/>
      <c r="AB286" s="23"/>
      <c r="AD286" s="2"/>
      <c r="AG286" s="23"/>
      <c r="AI286" s="26"/>
      <c r="AJ286" s="23"/>
      <c r="AM286" s="23"/>
      <c r="AO286" s="32"/>
      <c r="AP286" s="26"/>
      <c r="AR286" s="26"/>
      <c r="AS286" s="27"/>
      <c r="AT286" s="27"/>
      <c r="AU286" s="31"/>
      <c r="AV286" s="24"/>
      <c r="AW286"/>
      <c r="AX286"/>
      <c r="AY286"/>
      <c r="AZ286"/>
      <c r="BA286"/>
      <c r="BB286"/>
      <c r="BC286"/>
      <c r="BD286"/>
      <c r="BE286"/>
      <c r="BF286"/>
      <c r="BG286"/>
    </row>
    <row r="287" spans="2:59" x14ac:dyDescent="0.25">
      <c r="B287" s="22"/>
      <c r="C287" s="23"/>
      <c r="E287" s="23"/>
      <c r="F287" s="24"/>
      <c r="G287" s="2"/>
      <c r="H287" s="10" t="e">
        <f>_xlfn.XLOOKUP(F287,Viloyatlar24[RegionName],Viloyatlar24[RegionId])</f>
        <v>#N/A</v>
      </c>
      <c r="I287" s="10" t="e">
        <f>_xlfn.XLOOKUP('Кўчмас мулк объектлари'!G287,Tumanlar23[DistrictName],Tumanlar23[DistrictId])</f>
        <v>#N/A</v>
      </c>
      <c r="K287" s="24"/>
      <c r="L287" s="10" t="e">
        <f>_xlfn.XLOOKUP(K287,Ташкилотлар39[Ташкилотлар],Ташкилотлар39[TashklilotID])</f>
        <v>#N/A</v>
      </c>
      <c r="M287" s="26"/>
      <c r="N287" s="26"/>
      <c r="O287" s="24"/>
      <c r="P287" s="2"/>
      <c r="Q287" s="26"/>
      <c r="R287" s="26"/>
      <c r="S287" s="26"/>
      <c r="T287" s="26"/>
      <c r="U287" s="24"/>
      <c r="V287" s="10" t="e">
        <f>_xlfn.XLOOKUP(U287,Таклифлар37[Таклифлар],Таклифлар37[TaklifID])</f>
        <v>#N/A</v>
      </c>
      <c r="W287" s="24"/>
      <c r="X287" s="23"/>
      <c r="Y287" s="7"/>
      <c r="Z287" s="26"/>
      <c r="AB287" s="23"/>
      <c r="AD287" s="2"/>
      <c r="AG287" s="23"/>
      <c r="AI287" s="26"/>
      <c r="AJ287" s="23"/>
      <c r="AM287" s="23"/>
      <c r="AO287" s="32"/>
      <c r="AP287" s="26"/>
      <c r="AR287" s="26"/>
      <c r="AS287" s="27"/>
      <c r="AT287" s="27"/>
      <c r="AU287" s="31"/>
      <c r="AV287" s="24"/>
      <c r="AW287"/>
      <c r="AX287"/>
      <c r="AY287"/>
      <c r="AZ287"/>
      <c r="BA287"/>
      <c r="BB287"/>
      <c r="BC287"/>
      <c r="BD287"/>
      <c r="BE287"/>
      <c r="BF287"/>
      <c r="BG287"/>
    </row>
    <row r="288" spans="2:59" x14ac:dyDescent="0.25">
      <c r="B288" s="22"/>
      <c r="C288" s="23"/>
      <c r="E288" s="23"/>
      <c r="F288" s="24"/>
      <c r="G288" s="2"/>
      <c r="H288" s="10" t="e">
        <f>_xlfn.XLOOKUP(F288,Viloyatlar24[RegionName],Viloyatlar24[RegionId])</f>
        <v>#N/A</v>
      </c>
      <c r="I288" s="10" t="e">
        <f>_xlfn.XLOOKUP('Кўчмас мулк объектлари'!G288,Tumanlar23[DistrictName],Tumanlar23[DistrictId])</f>
        <v>#N/A</v>
      </c>
      <c r="K288" s="24"/>
      <c r="L288" s="10" t="e">
        <f>_xlfn.XLOOKUP(K288,Ташкилотлар39[Ташкилотлар],Ташкилотлар39[TashklilotID])</f>
        <v>#N/A</v>
      </c>
      <c r="M288" s="26"/>
      <c r="N288" s="26"/>
      <c r="O288" s="24"/>
      <c r="P288" s="2"/>
      <c r="Q288" s="26"/>
      <c r="R288" s="26"/>
      <c r="S288" s="26"/>
      <c r="T288" s="26"/>
      <c r="U288" s="24"/>
      <c r="V288" s="10" t="e">
        <f>_xlfn.XLOOKUP(U288,Таклифлар37[Таклифлар],Таклифлар37[TaklifID])</f>
        <v>#N/A</v>
      </c>
      <c r="W288" s="24"/>
      <c r="X288" s="23"/>
      <c r="Y288" s="7"/>
      <c r="Z288" s="26"/>
      <c r="AB288" s="23"/>
      <c r="AD288" s="2"/>
      <c r="AG288" s="23"/>
      <c r="AI288" s="26"/>
      <c r="AJ288" s="23"/>
      <c r="AM288" s="23"/>
      <c r="AO288" s="32"/>
      <c r="AP288" s="26"/>
      <c r="AR288" s="26"/>
      <c r="AS288" s="27"/>
      <c r="AT288" s="27"/>
      <c r="AU288" s="31"/>
      <c r="AV288" s="24"/>
      <c r="AW288"/>
      <c r="AX288"/>
      <c r="AY288"/>
      <c r="AZ288"/>
      <c r="BA288"/>
      <c r="BB288"/>
      <c r="BC288"/>
      <c r="BD288"/>
      <c r="BE288"/>
      <c r="BF288"/>
      <c r="BG288"/>
    </row>
    <row r="289" spans="2:59" x14ac:dyDescent="0.25">
      <c r="B289" s="22"/>
      <c r="C289" s="23"/>
      <c r="E289" s="23"/>
      <c r="F289" s="24"/>
      <c r="G289" s="2"/>
      <c r="H289" s="10" t="e">
        <f>_xlfn.XLOOKUP(F289,Viloyatlar24[RegionName],Viloyatlar24[RegionId])</f>
        <v>#N/A</v>
      </c>
      <c r="I289" s="10" t="e">
        <f>_xlfn.XLOOKUP('Кўчмас мулк объектлари'!G289,Tumanlar23[DistrictName],Tumanlar23[DistrictId])</f>
        <v>#N/A</v>
      </c>
      <c r="K289" s="24"/>
      <c r="L289" s="10" t="e">
        <f>_xlfn.XLOOKUP(K289,Ташкилотлар39[Ташкилотлар],Ташкилотлар39[TashklilotID])</f>
        <v>#N/A</v>
      </c>
      <c r="M289" s="26"/>
      <c r="N289" s="26"/>
      <c r="O289" s="24"/>
      <c r="P289" s="2"/>
      <c r="Q289" s="26"/>
      <c r="R289" s="26"/>
      <c r="S289" s="26"/>
      <c r="T289" s="26"/>
      <c r="U289" s="24"/>
      <c r="V289" s="10" t="e">
        <f>_xlfn.XLOOKUP(U289,Таклифлар37[Таклифлар],Таклифлар37[TaklifID])</f>
        <v>#N/A</v>
      </c>
      <c r="W289" s="24"/>
      <c r="X289" s="23"/>
      <c r="Y289" s="7"/>
      <c r="Z289" s="26"/>
      <c r="AB289" s="23"/>
      <c r="AD289" s="2"/>
      <c r="AG289" s="23"/>
      <c r="AI289" s="26"/>
      <c r="AJ289" s="23"/>
      <c r="AM289" s="23"/>
      <c r="AO289" s="32"/>
      <c r="AP289" s="26"/>
      <c r="AR289" s="26"/>
      <c r="AS289" s="27"/>
      <c r="AT289" s="27"/>
      <c r="AU289" s="31"/>
      <c r="AV289" s="24"/>
      <c r="AW289"/>
      <c r="AX289"/>
      <c r="AY289"/>
      <c r="AZ289"/>
      <c r="BA289"/>
      <c r="BB289"/>
      <c r="BC289"/>
      <c r="BD289"/>
      <c r="BE289"/>
      <c r="BF289"/>
      <c r="BG289"/>
    </row>
    <row r="290" spans="2:59" x14ac:dyDescent="0.25">
      <c r="B290" s="22"/>
      <c r="C290" s="23"/>
      <c r="E290" s="23"/>
      <c r="F290" s="24"/>
      <c r="G290" s="2"/>
      <c r="H290" s="10" t="e">
        <f>_xlfn.XLOOKUP(F290,Viloyatlar24[RegionName],Viloyatlar24[RegionId])</f>
        <v>#N/A</v>
      </c>
      <c r="I290" s="10" t="e">
        <f>_xlfn.XLOOKUP('Кўчмас мулк объектлари'!G290,Tumanlar23[DistrictName],Tumanlar23[DistrictId])</f>
        <v>#N/A</v>
      </c>
      <c r="K290" s="24"/>
      <c r="L290" s="10" t="e">
        <f>_xlfn.XLOOKUP(K290,Ташкилотлар39[Ташкилотлар],Ташкилотлар39[TashklilotID])</f>
        <v>#N/A</v>
      </c>
      <c r="M290" s="26"/>
      <c r="N290" s="26"/>
      <c r="O290" s="24"/>
      <c r="P290" s="2"/>
      <c r="Q290" s="26"/>
      <c r="R290" s="26"/>
      <c r="S290" s="26"/>
      <c r="T290" s="26"/>
      <c r="U290" s="24"/>
      <c r="V290" s="10" t="e">
        <f>_xlfn.XLOOKUP(U290,Таклифлар37[Таклифлар],Таклифлар37[TaklifID])</f>
        <v>#N/A</v>
      </c>
      <c r="W290" s="24"/>
      <c r="X290" s="23"/>
      <c r="Y290" s="7"/>
      <c r="Z290" s="26"/>
      <c r="AB290" s="23"/>
      <c r="AD290" s="2"/>
      <c r="AG290" s="23"/>
      <c r="AI290" s="26"/>
      <c r="AJ290" s="23"/>
      <c r="AM290" s="23"/>
      <c r="AO290" s="32"/>
      <c r="AP290" s="26"/>
      <c r="AR290" s="26"/>
      <c r="AS290" s="27"/>
      <c r="AT290" s="27"/>
      <c r="AU290" s="31"/>
      <c r="AV290" s="24"/>
      <c r="AW290"/>
      <c r="AX290"/>
      <c r="AY290"/>
      <c r="AZ290"/>
      <c r="BA290"/>
      <c r="BB290"/>
      <c r="BC290"/>
      <c r="BD290"/>
      <c r="BE290"/>
      <c r="BF290"/>
      <c r="BG290"/>
    </row>
    <row r="291" spans="2:59" x14ac:dyDescent="0.25">
      <c r="B291" s="22"/>
      <c r="C291" s="23"/>
      <c r="E291" s="23"/>
      <c r="F291" s="24"/>
      <c r="G291" s="2"/>
      <c r="H291" s="10" t="e">
        <f>_xlfn.XLOOKUP(F291,Viloyatlar24[RegionName],Viloyatlar24[RegionId])</f>
        <v>#N/A</v>
      </c>
      <c r="I291" s="10" t="e">
        <f>_xlfn.XLOOKUP('Кўчмас мулк объектлари'!G291,Tumanlar23[DistrictName],Tumanlar23[DistrictId])</f>
        <v>#N/A</v>
      </c>
      <c r="K291" s="24"/>
      <c r="L291" s="10" t="e">
        <f>_xlfn.XLOOKUP(K291,Ташкилотлар39[Ташкилотлар],Ташкилотлар39[TashklilotID])</f>
        <v>#N/A</v>
      </c>
      <c r="M291" s="26"/>
      <c r="N291" s="26"/>
      <c r="O291" s="24"/>
      <c r="P291" s="2"/>
      <c r="Q291" s="26"/>
      <c r="R291" s="26"/>
      <c r="S291" s="26"/>
      <c r="T291" s="26"/>
      <c r="U291" s="24"/>
      <c r="V291" s="10" t="e">
        <f>_xlfn.XLOOKUP(U291,Таклифлар37[Таклифлар],Таклифлар37[TaklifID])</f>
        <v>#N/A</v>
      </c>
      <c r="W291" s="24"/>
      <c r="X291" s="23"/>
      <c r="Y291" s="7"/>
      <c r="Z291" s="26"/>
      <c r="AB291" s="23"/>
      <c r="AD291" s="2"/>
      <c r="AG291" s="23"/>
      <c r="AI291" s="26"/>
      <c r="AJ291" s="23"/>
      <c r="AM291" s="23"/>
      <c r="AO291" s="32"/>
      <c r="AP291" s="26"/>
      <c r="AR291" s="26"/>
      <c r="AS291" s="27"/>
      <c r="AT291" s="27"/>
      <c r="AU291" s="31"/>
      <c r="AV291" s="24"/>
      <c r="AW291"/>
      <c r="AX291"/>
      <c r="AY291"/>
      <c r="AZ291"/>
      <c r="BA291"/>
      <c r="BB291"/>
      <c r="BC291"/>
      <c r="BD291"/>
      <c r="BE291"/>
      <c r="BF291"/>
      <c r="BG291"/>
    </row>
    <row r="292" spans="2:59" x14ac:dyDescent="0.25">
      <c r="B292" s="22"/>
      <c r="C292" s="23"/>
      <c r="E292" s="23"/>
      <c r="F292" s="24"/>
      <c r="G292" s="2"/>
      <c r="H292" s="10" t="e">
        <f>_xlfn.XLOOKUP(F292,Viloyatlar24[RegionName],Viloyatlar24[RegionId])</f>
        <v>#N/A</v>
      </c>
      <c r="I292" s="10" t="e">
        <f>_xlfn.XLOOKUP('Кўчмас мулк объектлари'!G292,Tumanlar23[DistrictName],Tumanlar23[DistrictId])</f>
        <v>#N/A</v>
      </c>
      <c r="K292" s="24"/>
      <c r="L292" s="10" t="e">
        <f>_xlfn.XLOOKUP(K292,Ташкилотлар39[Ташкилотлар],Ташкилотлар39[TashklilotID])</f>
        <v>#N/A</v>
      </c>
      <c r="M292" s="26"/>
      <c r="N292" s="26"/>
      <c r="O292" s="24"/>
      <c r="P292" s="2"/>
      <c r="Q292" s="26"/>
      <c r="R292" s="26"/>
      <c r="S292" s="26"/>
      <c r="T292" s="26"/>
      <c r="U292" s="24"/>
      <c r="V292" s="10" t="e">
        <f>_xlfn.XLOOKUP(U292,Таклифлар37[Таклифлар],Таклифлар37[TaklifID])</f>
        <v>#N/A</v>
      </c>
      <c r="W292" s="24"/>
      <c r="X292" s="23"/>
      <c r="Y292" s="7"/>
      <c r="Z292" s="26"/>
      <c r="AB292" s="23"/>
      <c r="AD292" s="2"/>
      <c r="AG292" s="23"/>
      <c r="AI292" s="26"/>
      <c r="AJ292" s="23"/>
      <c r="AM292" s="23"/>
      <c r="AO292" s="32"/>
      <c r="AP292" s="26"/>
      <c r="AR292" s="26"/>
      <c r="AS292" s="27"/>
      <c r="AT292" s="27"/>
      <c r="AU292" s="31"/>
      <c r="AV292" s="24"/>
      <c r="AW292"/>
      <c r="AX292"/>
      <c r="AY292"/>
      <c r="AZ292"/>
      <c r="BA292"/>
      <c r="BB292"/>
      <c r="BC292"/>
      <c r="BD292"/>
      <c r="BE292"/>
      <c r="BF292"/>
      <c r="BG292"/>
    </row>
    <row r="293" spans="2:59" x14ac:dyDescent="0.25">
      <c r="B293" s="22"/>
      <c r="C293" s="23"/>
      <c r="E293" s="23"/>
      <c r="F293" s="24"/>
      <c r="G293" s="2"/>
      <c r="H293" s="10" t="e">
        <f>_xlfn.XLOOKUP(F293,Viloyatlar24[RegionName],Viloyatlar24[RegionId])</f>
        <v>#N/A</v>
      </c>
      <c r="I293" s="10" t="e">
        <f>_xlfn.XLOOKUP('Кўчмас мулк объектлари'!G293,Tumanlar23[DistrictName],Tumanlar23[DistrictId])</f>
        <v>#N/A</v>
      </c>
      <c r="K293" s="24"/>
      <c r="L293" s="10" t="e">
        <f>_xlfn.XLOOKUP(K293,Ташкилотлар39[Ташкилотлар],Ташкилотлар39[TashklilotID])</f>
        <v>#N/A</v>
      </c>
      <c r="M293" s="26"/>
      <c r="N293" s="26"/>
      <c r="O293" s="24"/>
      <c r="P293" s="2"/>
      <c r="Q293" s="26"/>
      <c r="R293" s="26"/>
      <c r="S293" s="26"/>
      <c r="T293" s="26"/>
      <c r="U293" s="24"/>
      <c r="V293" s="10" t="e">
        <f>_xlfn.XLOOKUP(U293,Таклифлар37[Таклифлар],Таклифлар37[TaklifID])</f>
        <v>#N/A</v>
      </c>
      <c r="W293" s="24"/>
      <c r="X293" s="23"/>
      <c r="Y293" s="7"/>
      <c r="Z293" s="26"/>
      <c r="AB293" s="23"/>
      <c r="AD293" s="2"/>
      <c r="AG293" s="23"/>
      <c r="AI293" s="26"/>
      <c r="AJ293" s="23"/>
      <c r="AM293" s="23"/>
      <c r="AO293" s="32"/>
      <c r="AP293" s="26"/>
      <c r="AR293" s="26"/>
      <c r="AS293" s="27"/>
      <c r="AT293" s="27"/>
      <c r="AU293" s="31"/>
      <c r="AV293" s="24"/>
      <c r="AW293"/>
      <c r="AX293"/>
      <c r="AY293"/>
      <c r="AZ293"/>
      <c r="BA293"/>
      <c r="BB293"/>
      <c r="BC293"/>
      <c r="BD293"/>
      <c r="BE293"/>
      <c r="BF293"/>
      <c r="BG293"/>
    </row>
    <row r="294" spans="2:59" x14ac:dyDescent="0.25">
      <c r="B294" s="22"/>
      <c r="C294" s="23"/>
      <c r="E294" s="23"/>
      <c r="F294" s="24"/>
      <c r="G294" s="2"/>
      <c r="H294" s="10" t="e">
        <f>_xlfn.XLOOKUP(F294,Viloyatlar24[RegionName],Viloyatlar24[RegionId])</f>
        <v>#N/A</v>
      </c>
      <c r="I294" s="10" t="e">
        <f>_xlfn.XLOOKUP('Кўчмас мулк объектлари'!G294,Tumanlar23[DistrictName],Tumanlar23[DistrictId])</f>
        <v>#N/A</v>
      </c>
      <c r="K294" s="24"/>
      <c r="L294" s="10" t="e">
        <f>_xlfn.XLOOKUP(K294,Ташкилотлар39[Ташкилотлар],Ташкилотлар39[TashklilotID])</f>
        <v>#N/A</v>
      </c>
      <c r="M294" s="26"/>
      <c r="N294" s="26"/>
      <c r="O294" s="24"/>
      <c r="P294" s="2"/>
      <c r="Q294" s="26"/>
      <c r="R294" s="26"/>
      <c r="S294" s="26"/>
      <c r="T294" s="26"/>
      <c r="U294" s="24"/>
      <c r="V294" s="10" t="e">
        <f>_xlfn.XLOOKUP(U294,Таклифлар37[Таклифлар],Таклифлар37[TaklifID])</f>
        <v>#N/A</v>
      </c>
      <c r="W294" s="24"/>
      <c r="X294" s="23"/>
      <c r="Y294" s="7"/>
      <c r="Z294" s="26"/>
      <c r="AB294" s="23"/>
      <c r="AD294" s="2"/>
      <c r="AG294" s="23"/>
      <c r="AI294" s="26"/>
      <c r="AJ294" s="23"/>
      <c r="AM294" s="23"/>
      <c r="AO294" s="32"/>
      <c r="AP294" s="26"/>
      <c r="AR294" s="26"/>
      <c r="AS294" s="27"/>
      <c r="AT294" s="27"/>
      <c r="AU294" s="31"/>
      <c r="AV294" s="24"/>
      <c r="AW294"/>
      <c r="AX294"/>
      <c r="AY294"/>
      <c r="AZ294"/>
      <c r="BA294"/>
      <c r="BB294"/>
      <c r="BC294"/>
      <c r="BD294"/>
      <c r="BE294"/>
      <c r="BF294"/>
      <c r="BG294"/>
    </row>
    <row r="295" spans="2:59" x14ac:dyDescent="0.25">
      <c r="B295" s="22"/>
      <c r="C295" s="23"/>
      <c r="E295" s="23"/>
      <c r="F295" s="24"/>
      <c r="G295" s="2"/>
      <c r="H295" s="10" t="e">
        <f>_xlfn.XLOOKUP(F295,Viloyatlar24[RegionName],Viloyatlar24[RegionId])</f>
        <v>#N/A</v>
      </c>
      <c r="I295" s="10" t="e">
        <f>_xlfn.XLOOKUP('Кўчмас мулк объектлари'!G295,Tumanlar23[DistrictName],Tumanlar23[DistrictId])</f>
        <v>#N/A</v>
      </c>
      <c r="K295" s="24"/>
      <c r="L295" s="10" t="e">
        <f>_xlfn.XLOOKUP(K295,Ташкилотлар39[Ташкилотлар],Ташкилотлар39[TashklilotID])</f>
        <v>#N/A</v>
      </c>
      <c r="M295" s="26"/>
      <c r="N295" s="26"/>
      <c r="O295" s="24"/>
      <c r="P295" s="2"/>
      <c r="Q295" s="26"/>
      <c r="R295" s="26"/>
      <c r="S295" s="26"/>
      <c r="T295" s="26"/>
      <c r="U295" s="24"/>
      <c r="V295" s="10" t="e">
        <f>_xlfn.XLOOKUP(U295,Таклифлар37[Таклифлар],Таклифлар37[TaklifID])</f>
        <v>#N/A</v>
      </c>
      <c r="W295" s="24"/>
      <c r="X295" s="23"/>
      <c r="Y295" s="7"/>
      <c r="Z295" s="26"/>
      <c r="AB295" s="23"/>
      <c r="AD295" s="2"/>
      <c r="AG295" s="23"/>
      <c r="AI295" s="26"/>
      <c r="AJ295" s="23"/>
      <c r="AM295" s="23"/>
      <c r="AO295" s="32"/>
      <c r="AP295" s="26"/>
      <c r="AR295" s="26"/>
      <c r="AS295" s="27"/>
      <c r="AT295" s="27"/>
      <c r="AU295" s="31"/>
      <c r="AV295" s="24"/>
      <c r="AW295"/>
      <c r="AX295"/>
      <c r="AY295"/>
      <c r="AZ295"/>
      <c r="BA295"/>
      <c r="BB295"/>
      <c r="BC295"/>
      <c r="BD295"/>
      <c r="BE295"/>
      <c r="BF295"/>
      <c r="BG295"/>
    </row>
    <row r="296" spans="2:59" x14ac:dyDescent="0.25">
      <c r="B296" s="22"/>
      <c r="C296" s="23"/>
      <c r="E296" s="23"/>
      <c r="F296" s="24"/>
      <c r="G296" s="2"/>
      <c r="H296" s="10" t="e">
        <f>_xlfn.XLOOKUP(F296,Viloyatlar24[RegionName],Viloyatlar24[RegionId])</f>
        <v>#N/A</v>
      </c>
      <c r="I296" s="10" t="e">
        <f>_xlfn.XLOOKUP('Кўчмас мулк объектлари'!G296,Tumanlar23[DistrictName],Tumanlar23[DistrictId])</f>
        <v>#N/A</v>
      </c>
      <c r="K296" s="24"/>
      <c r="L296" s="10" t="e">
        <f>_xlfn.XLOOKUP(K296,Ташкилотлар39[Ташкилотлар],Ташкилотлар39[TashklilotID])</f>
        <v>#N/A</v>
      </c>
      <c r="M296" s="26"/>
      <c r="N296" s="26"/>
      <c r="O296" s="24"/>
      <c r="P296" s="2"/>
      <c r="Q296" s="26"/>
      <c r="R296" s="26"/>
      <c r="S296" s="26"/>
      <c r="T296" s="26"/>
      <c r="U296" s="24"/>
      <c r="V296" s="10" t="e">
        <f>_xlfn.XLOOKUP(U296,Таклифлар37[Таклифлар],Таклифлар37[TaklifID])</f>
        <v>#N/A</v>
      </c>
      <c r="W296" s="24"/>
      <c r="X296" s="23"/>
      <c r="Y296" s="7"/>
      <c r="Z296" s="26"/>
      <c r="AB296" s="23"/>
      <c r="AD296" s="2"/>
      <c r="AG296" s="23"/>
      <c r="AI296" s="26"/>
      <c r="AJ296" s="23"/>
      <c r="AM296" s="23"/>
      <c r="AO296" s="32"/>
      <c r="AP296" s="26"/>
      <c r="AR296" s="26"/>
      <c r="AS296" s="27"/>
      <c r="AT296" s="27"/>
      <c r="AU296" s="31"/>
      <c r="AV296" s="24"/>
      <c r="AW296"/>
      <c r="AX296"/>
      <c r="AY296"/>
      <c r="AZ296"/>
      <c r="BA296"/>
      <c r="BB296"/>
      <c r="BC296"/>
      <c r="BD296"/>
      <c r="BE296"/>
      <c r="BF296"/>
      <c r="BG296"/>
    </row>
    <row r="297" spans="2:59" x14ac:dyDescent="0.25">
      <c r="B297" s="22"/>
      <c r="C297" s="23"/>
      <c r="E297" s="23"/>
      <c r="F297" s="24"/>
      <c r="G297" s="2"/>
      <c r="H297" s="10" t="e">
        <f>_xlfn.XLOOKUP(F297,Viloyatlar24[RegionName],Viloyatlar24[RegionId])</f>
        <v>#N/A</v>
      </c>
      <c r="I297" s="10" t="e">
        <f>_xlfn.XLOOKUP('Кўчмас мулк объектлари'!G297,Tumanlar23[DistrictName],Tumanlar23[DistrictId])</f>
        <v>#N/A</v>
      </c>
      <c r="K297" s="24"/>
      <c r="L297" s="10" t="e">
        <f>_xlfn.XLOOKUP(K297,Ташкилотлар39[Ташкилотлар],Ташкилотлар39[TashklilotID])</f>
        <v>#N/A</v>
      </c>
      <c r="M297" s="26"/>
      <c r="N297" s="26"/>
      <c r="O297" s="24"/>
      <c r="P297" s="2"/>
      <c r="Q297" s="26"/>
      <c r="R297" s="26"/>
      <c r="S297" s="26"/>
      <c r="T297" s="26"/>
      <c r="U297" s="24"/>
      <c r="V297" s="10" t="e">
        <f>_xlfn.XLOOKUP(U297,Таклифлар37[Таклифлар],Таклифлар37[TaklifID])</f>
        <v>#N/A</v>
      </c>
      <c r="W297" s="24"/>
      <c r="X297" s="23"/>
      <c r="Y297" s="7"/>
      <c r="Z297" s="26"/>
      <c r="AB297" s="23"/>
      <c r="AD297" s="2"/>
      <c r="AG297" s="23"/>
      <c r="AI297" s="26"/>
      <c r="AJ297" s="23"/>
      <c r="AM297" s="23"/>
      <c r="AO297" s="32"/>
      <c r="AP297" s="26"/>
      <c r="AR297" s="26"/>
      <c r="AS297" s="27"/>
      <c r="AT297" s="27"/>
      <c r="AU297" s="31"/>
      <c r="AV297" s="24"/>
      <c r="AW297"/>
      <c r="AX297"/>
      <c r="AY297"/>
      <c r="AZ297"/>
      <c r="BA297"/>
      <c r="BB297"/>
      <c r="BC297"/>
      <c r="BD297"/>
      <c r="BE297"/>
      <c r="BF297"/>
      <c r="BG297"/>
    </row>
    <row r="298" spans="2:59" x14ac:dyDescent="0.25">
      <c r="B298" s="22"/>
      <c r="C298" s="23"/>
      <c r="E298" s="23"/>
      <c r="F298" s="24"/>
      <c r="G298" s="2"/>
      <c r="H298" s="10" t="e">
        <f>_xlfn.XLOOKUP(F298,Viloyatlar24[RegionName],Viloyatlar24[RegionId])</f>
        <v>#N/A</v>
      </c>
      <c r="I298" s="10" t="e">
        <f>_xlfn.XLOOKUP('Кўчмас мулк объектлари'!G298,Tumanlar23[DistrictName],Tumanlar23[DistrictId])</f>
        <v>#N/A</v>
      </c>
      <c r="K298" s="24"/>
      <c r="L298" s="10" t="e">
        <f>_xlfn.XLOOKUP(K298,Ташкилотлар39[Ташкилотлар],Ташкилотлар39[TashklilotID])</f>
        <v>#N/A</v>
      </c>
      <c r="M298" s="26"/>
      <c r="N298" s="26"/>
      <c r="O298" s="24"/>
      <c r="P298" s="2"/>
      <c r="Q298" s="26"/>
      <c r="R298" s="26"/>
      <c r="S298" s="26"/>
      <c r="T298" s="26"/>
      <c r="U298" s="24"/>
      <c r="V298" s="10" t="e">
        <f>_xlfn.XLOOKUP(U298,Таклифлар37[Таклифлар],Таклифлар37[TaklifID])</f>
        <v>#N/A</v>
      </c>
      <c r="W298" s="24"/>
      <c r="X298" s="23"/>
      <c r="Y298" s="7"/>
      <c r="Z298" s="26"/>
      <c r="AB298" s="23"/>
      <c r="AD298" s="2"/>
      <c r="AG298" s="23"/>
      <c r="AI298" s="26"/>
      <c r="AJ298" s="23"/>
      <c r="AM298" s="23"/>
      <c r="AO298" s="32"/>
      <c r="AP298" s="26"/>
      <c r="AR298" s="26"/>
      <c r="AS298" s="27"/>
      <c r="AT298" s="27"/>
      <c r="AU298" s="31"/>
      <c r="AV298" s="24"/>
      <c r="AW298"/>
      <c r="AX298"/>
      <c r="AY298"/>
      <c r="AZ298"/>
      <c r="BA298"/>
      <c r="BB298"/>
      <c r="BC298"/>
      <c r="BD298"/>
      <c r="BE298"/>
      <c r="BF298"/>
      <c r="BG298"/>
    </row>
    <row r="299" spans="2:59" x14ac:dyDescent="0.25">
      <c r="B299" s="22"/>
      <c r="C299" s="23"/>
      <c r="E299" s="23"/>
      <c r="F299" s="24"/>
      <c r="G299" s="2"/>
      <c r="H299" s="10" t="e">
        <f>_xlfn.XLOOKUP(F299,Viloyatlar24[RegionName],Viloyatlar24[RegionId])</f>
        <v>#N/A</v>
      </c>
      <c r="I299" s="10" t="e">
        <f>_xlfn.XLOOKUP('Кўчмас мулк объектлари'!G299,Tumanlar23[DistrictName],Tumanlar23[DistrictId])</f>
        <v>#N/A</v>
      </c>
      <c r="K299" s="24"/>
      <c r="L299" s="10" t="e">
        <f>_xlfn.XLOOKUP(K299,Ташкилотлар39[Ташкилотлар],Ташкилотлар39[TashklilotID])</f>
        <v>#N/A</v>
      </c>
      <c r="M299" s="26"/>
      <c r="N299" s="26"/>
      <c r="O299" s="24"/>
      <c r="P299" s="2"/>
      <c r="Q299" s="26"/>
      <c r="R299" s="26"/>
      <c r="S299" s="26"/>
      <c r="T299" s="26"/>
      <c r="U299" s="24"/>
      <c r="V299" s="10" t="e">
        <f>_xlfn.XLOOKUP(U299,Таклифлар37[Таклифлар],Таклифлар37[TaklifID])</f>
        <v>#N/A</v>
      </c>
      <c r="W299" s="24"/>
      <c r="X299" s="23"/>
      <c r="Y299" s="7"/>
      <c r="Z299" s="26"/>
      <c r="AB299" s="23"/>
      <c r="AD299" s="2"/>
      <c r="AG299" s="23"/>
      <c r="AI299" s="26"/>
      <c r="AJ299" s="23"/>
      <c r="AM299" s="23"/>
      <c r="AO299" s="32"/>
      <c r="AP299" s="26"/>
      <c r="AR299" s="26"/>
      <c r="AS299" s="27"/>
      <c r="AT299" s="27"/>
      <c r="AU299" s="31"/>
      <c r="AV299" s="24"/>
      <c r="AW299"/>
      <c r="AX299"/>
      <c r="AY299"/>
      <c r="AZ299"/>
      <c r="BA299"/>
      <c r="BB299"/>
      <c r="BC299"/>
      <c r="BD299"/>
      <c r="BE299"/>
      <c r="BF299"/>
      <c r="BG299"/>
    </row>
    <row r="300" spans="2:59" x14ac:dyDescent="0.25">
      <c r="B300" s="22"/>
      <c r="C300" s="23"/>
      <c r="E300" s="23"/>
      <c r="F300" s="24"/>
      <c r="G300" s="2"/>
      <c r="H300" s="10" t="e">
        <f>_xlfn.XLOOKUP(F300,Viloyatlar24[RegionName],Viloyatlar24[RegionId])</f>
        <v>#N/A</v>
      </c>
      <c r="I300" s="10" t="e">
        <f>_xlfn.XLOOKUP('Кўчмас мулк объектлари'!G300,Tumanlar23[DistrictName],Tumanlar23[DistrictId])</f>
        <v>#N/A</v>
      </c>
      <c r="K300" s="24"/>
      <c r="L300" s="10" t="e">
        <f>_xlfn.XLOOKUP(K300,Ташкилотлар39[Ташкилотлар],Ташкилотлар39[TashklilotID])</f>
        <v>#N/A</v>
      </c>
      <c r="M300" s="26"/>
      <c r="N300" s="26"/>
      <c r="O300" s="24"/>
      <c r="P300" s="2"/>
      <c r="Q300" s="26"/>
      <c r="R300" s="26"/>
      <c r="S300" s="26"/>
      <c r="T300" s="26"/>
      <c r="U300" s="24"/>
      <c r="V300" s="10" t="e">
        <f>_xlfn.XLOOKUP(U300,Таклифлар37[Таклифлар],Таклифлар37[TaklifID])</f>
        <v>#N/A</v>
      </c>
      <c r="W300" s="24"/>
      <c r="X300" s="23"/>
      <c r="Y300" s="7"/>
      <c r="Z300" s="26"/>
      <c r="AB300" s="23"/>
      <c r="AD300" s="2"/>
      <c r="AG300" s="23"/>
      <c r="AI300" s="26"/>
      <c r="AJ300" s="23"/>
      <c r="AM300" s="23"/>
      <c r="AO300" s="32"/>
      <c r="AP300" s="26"/>
      <c r="AR300" s="26"/>
      <c r="AS300" s="27"/>
      <c r="AT300" s="27"/>
      <c r="AU300" s="31"/>
      <c r="AV300" s="24"/>
      <c r="AW300"/>
      <c r="AX300"/>
      <c r="AY300"/>
      <c r="AZ300"/>
      <c r="BA300"/>
      <c r="BB300"/>
      <c r="BC300"/>
      <c r="BD300"/>
      <c r="BE300"/>
      <c r="BF300"/>
      <c r="BG300"/>
    </row>
    <row r="301" spans="2:59" x14ac:dyDescent="0.25">
      <c r="B301" s="22"/>
      <c r="C301" s="23"/>
      <c r="E301" s="23"/>
      <c r="F301" s="24"/>
      <c r="G301" s="2"/>
      <c r="H301" s="10" t="e">
        <f>_xlfn.XLOOKUP(F301,Viloyatlar24[RegionName],Viloyatlar24[RegionId])</f>
        <v>#N/A</v>
      </c>
      <c r="I301" s="10" t="e">
        <f>_xlfn.XLOOKUP('Кўчмас мулк объектлари'!G301,Tumanlar23[DistrictName],Tumanlar23[DistrictId])</f>
        <v>#N/A</v>
      </c>
      <c r="K301" s="24"/>
      <c r="L301" s="10" t="e">
        <f>_xlfn.XLOOKUP(K301,Ташкилотлар39[Ташкилотлар],Ташкилотлар39[TashklilotID])</f>
        <v>#N/A</v>
      </c>
      <c r="M301" s="26"/>
      <c r="N301" s="26"/>
      <c r="O301" s="24"/>
      <c r="P301" s="2"/>
      <c r="Q301" s="26"/>
      <c r="R301" s="26"/>
      <c r="S301" s="26"/>
      <c r="T301" s="26"/>
      <c r="U301" s="24"/>
      <c r="V301" s="10" t="e">
        <f>_xlfn.XLOOKUP(U301,Таклифлар37[Таклифлар],Таклифлар37[TaklifID])</f>
        <v>#N/A</v>
      </c>
      <c r="W301" s="24"/>
      <c r="X301" s="23"/>
      <c r="Y301" s="7"/>
      <c r="Z301" s="26"/>
      <c r="AB301" s="23"/>
      <c r="AD301" s="2"/>
      <c r="AG301" s="23"/>
      <c r="AI301" s="26"/>
      <c r="AJ301" s="23"/>
      <c r="AM301" s="23"/>
      <c r="AO301" s="32"/>
      <c r="AP301" s="26"/>
      <c r="AR301" s="26"/>
      <c r="AS301" s="27"/>
      <c r="AT301" s="27"/>
      <c r="AU301" s="31"/>
      <c r="AV301" s="24"/>
      <c r="AW301"/>
      <c r="AX301"/>
      <c r="AY301"/>
      <c r="AZ301"/>
      <c r="BA301"/>
      <c r="BB301"/>
      <c r="BC301"/>
      <c r="BD301"/>
      <c r="BE301"/>
      <c r="BF301"/>
      <c r="BG301"/>
    </row>
    <row r="302" spans="2:59" x14ac:dyDescent="0.25">
      <c r="B302" s="22"/>
      <c r="C302" s="23"/>
      <c r="E302" s="23"/>
      <c r="F302" s="24"/>
      <c r="G302" s="2"/>
      <c r="H302" s="10" t="e">
        <f>_xlfn.XLOOKUP(F302,Viloyatlar24[RegionName],Viloyatlar24[RegionId])</f>
        <v>#N/A</v>
      </c>
      <c r="I302" s="10" t="e">
        <f>_xlfn.XLOOKUP('Кўчмас мулк объектлари'!G302,Tumanlar23[DistrictName],Tumanlar23[DistrictId])</f>
        <v>#N/A</v>
      </c>
      <c r="K302" s="24"/>
      <c r="L302" s="10" t="e">
        <f>_xlfn.XLOOKUP(K302,Ташкилотлар39[Ташкилотлар],Ташкилотлар39[TashklilotID])</f>
        <v>#N/A</v>
      </c>
      <c r="M302" s="26"/>
      <c r="N302" s="26"/>
      <c r="O302" s="24"/>
      <c r="P302" s="2"/>
      <c r="Q302" s="26"/>
      <c r="R302" s="26"/>
      <c r="S302" s="26"/>
      <c r="T302" s="26"/>
      <c r="U302" s="24"/>
      <c r="V302" s="10" t="e">
        <f>_xlfn.XLOOKUP(U302,Таклифлар37[Таклифлар],Таклифлар37[TaklifID])</f>
        <v>#N/A</v>
      </c>
      <c r="W302" s="24"/>
      <c r="X302" s="23"/>
      <c r="Y302" s="7"/>
      <c r="Z302" s="26"/>
      <c r="AB302" s="23"/>
      <c r="AD302" s="2"/>
      <c r="AG302" s="23"/>
      <c r="AI302" s="26"/>
      <c r="AJ302" s="23"/>
      <c r="AM302" s="23"/>
      <c r="AO302" s="32"/>
      <c r="AP302" s="26"/>
      <c r="AR302" s="26"/>
      <c r="AS302" s="27"/>
      <c r="AT302" s="27"/>
      <c r="AU302" s="31"/>
      <c r="AV302" s="24"/>
      <c r="AW302"/>
      <c r="AX302"/>
      <c r="AY302"/>
      <c r="AZ302"/>
      <c r="BA302"/>
      <c r="BB302"/>
      <c r="BC302"/>
      <c r="BD302"/>
      <c r="BE302"/>
      <c r="BF302"/>
      <c r="BG302"/>
    </row>
    <row r="303" spans="2:59" x14ac:dyDescent="0.25">
      <c r="B303" s="22"/>
      <c r="C303" s="23"/>
      <c r="E303" s="23"/>
      <c r="F303" s="24"/>
      <c r="G303" s="2"/>
      <c r="H303" s="10" t="e">
        <f>_xlfn.XLOOKUP(F303,Viloyatlar24[RegionName],Viloyatlar24[RegionId])</f>
        <v>#N/A</v>
      </c>
      <c r="I303" s="10" t="e">
        <f>_xlfn.XLOOKUP('Кўчмас мулк объектлари'!G303,Tumanlar23[DistrictName],Tumanlar23[DistrictId])</f>
        <v>#N/A</v>
      </c>
      <c r="K303" s="24"/>
      <c r="L303" s="10" t="e">
        <f>_xlfn.XLOOKUP(K303,Ташкилотлар39[Ташкилотлар],Ташкилотлар39[TashklilotID])</f>
        <v>#N/A</v>
      </c>
      <c r="M303" s="26"/>
      <c r="N303" s="26"/>
      <c r="O303" s="24"/>
      <c r="P303" s="2"/>
      <c r="Q303" s="26"/>
      <c r="R303" s="26"/>
      <c r="S303" s="26"/>
      <c r="T303" s="26"/>
      <c r="U303" s="24"/>
      <c r="V303" s="10" t="e">
        <f>_xlfn.XLOOKUP(U303,Таклифлар37[Таклифлар],Таклифлар37[TaklifID])</f>
        <v>#N/A</v>
      </c>
      <c r="W303" s="24"/>
      <c r="X303" s="23"/>
      <c r="Y303" s="7"/>
      <c r="Z303" s="26"/>
      <c r="AB303" s="23"/>
      <c r="AD303" s="2"/>
      <c r="AG303" s="23"/>
      <c r="AI303" s="26"/>
      <c r="AJ303" s="23"/>
      <c r="AM303" s="23"/>
      <c r="AO303" s="32"/>
      <c r="AP303" s="26"/>
      <c r="AR303" s="26"/>
      <c r="AS303" s="27"/>
      <c r="AT303" s="27"/>
      <c r="AU303" s="31"/>
      <c r="AV303" s="24"/>
      <c r="AW303"/>
      <c r="AX303"/>
      <c r="AY303"/>
      <c r="AZ303"/>
      <c r="BA303"/>
      <c r="BB303"/>
      <c r="BC303"/>
      <c r="BD303"/>
      <c r="BE303"/>
      <c r="BF303"/>
      <c r="BG303"/>
    </row>
    <row r="304" spans="2:59" x14ac:dyDescent="0.25">
      <c r="B304" s="22"/>
      <c r="C304" s="23"/>
      <c r="E304" s="23"/>
      <c r="F304" s="24"/>
      <c r="G304" s="2"/>
      <c r="H304" s="10" t="e">
        <f>_xlfn.XLOOKUP(F304,Viloyatlar24[RegionName],Viloyatlar24[RegionId])</f>
        <v>#N/A</v>
      </c>
      <c r="I304" s="10" t="e">
        <f>_xlfn.XLOOKUP('Кўчмас мулк объектлари'!G304,Tumanlar23[DistrictName],Tumanlar23[DistrictId])</f>
        <v>#N/A</v>
      </c>
      <c r="K304" s="24"/>
      <c r="L304" s="10" t="e">
        <f>_xlfn.XLOOKUP(K304,Ташкилотлар39[Ташкилотлар],Ташкилотлар39[TashklilotID])</f>
        <v>#N/A</v>
      </c>
      <c r="M304" s="26"/>
      <c r="N304" s="26"/>
      <c r="O304" s="24"/>
      <c r="P304" s="2"/>
      <c r="Q304" s="26"/>
      <c r="R304" s="26"/>
      <c r="S304" s="26"/>
      <c r="T304" s="26"/>
      <c r="U304" s="24"/>
      <c r="V304" s="10" t="e">
        <f>_xlfn.XLOOKUP(U304,Таклифлар37[Таклифлар],Таклифлар37[TaklifID])</f>
        <v>#N/A</v>
      </c>
      <c r="W304" s="24"/>
      <c r="X304" s="23"/>
      <c r="Y304" s="7"/>
      <c r="Z304" s="26"/>
      <c r="AB304" s="23"/>
      <c r="AD304" s="2"/>
      <c r="AG304" s="23"/>
      <c r="AI304" s="26"/>
      <c r="AJ304" s="23"/>
      <c r="AM304" s="23"/>
      <c r="AO304" s="32"/>
      <c r="AP304" s="26"/>
      <c r="AR304" s="26"/>
      <c r="AS304" s="27"/>
      <c r="AT304" s="27"/>
      <c r="AU304" s="31"/>
      <c r="AV304" s="24"/>
      <c r="AW304"/>
      <c r="AX304"/>
      <c r="AY304"/>
      <c r="AZ304"/>
      <c r="BA304"/>
      <c r="BB304"/>
      <c r="BC304"/>
      <c r="BD304"/>
      <c r="BE304"/>
      <c r="BF304"/>
      <c r="BG304"/>
    </row>
    <row r="305" spans="2:59" x14ac:dyDescent="0.25">
      <c r="B305" s="22"/>
      <c r="C305" s="23"/>
      <c r="E305" s="23"/>
      <c r="F305" s="24"/>
      <c r="G305" s="2"/>
      <c r="H305" s="10" t="e">
        <f>_xlfn.XLOOKUP(F305,Viloyatlar24[RegionName],Viloyatlar24[RegionId])</f>
        <v>#N/A</v>
      </c>
      <c r="I305" s="10" t="e">
        <f>_xlfn.XLOOKUP('Кўчмас мулк объектлари'!G305,Tumanlar23[DistrictName],Tumanlar23[DistrictId])</f>
        <v>#N/A</v>
      </c>
      <c r="K305" s="24"/>
      <c r="L305" s="10" t="e">
        <f>_xlfn.XLOOKUP(K305,Ташкилотлар39[Ташкилотлар],Ташкилотлар39[TashklilotID])</f>
        <v>#N/A</v>
      </c>
      <c r="M305" s="26"/>
      <c r="N305" s="26"/>
      <c r="O305" s="24"/>
      <c r="P305" s="2"/>
      <c r="Q305" s="26"/>
      <c r="R305" s="26"/>
      <c r="S305" s="26"/>
      <c r="T305" s="26"/>
      <c r="U305" s="24"/>
      <c r="V305" s="10" t="e">
        <f>_xlfn.XLOOKUP(U305,Таклифлар37[Таклифлар],Таклифлар37[TaklifID])</f>
        <v>#N/A</v>
      </c>
      <c r="W305" s="24"/>
      <c r="X305" s="23"/>
      <c r="Y305" s="7"/>
      <c r="Z305" s="26"/>
      <c r="AB305" s="23"/>
      <c r="AD305" s="2"/>
      <c r="AG305" s="23"/>
      <c r="AI305" s="26"/>
      <c r="AJ305" s="23"/>
      <c r="AM305" s="23"/>
      <c r="AO305" s="32"/>
      <c r="AP305" s="26"/>
      <c r="AR305" s="26"/>
      <c r="AS305" s="27"/>
      <c r="AT305" s="27"/>
      <c r="AU305" s="31"/>
      <c r="AV305" s="24"/>
      <c r="AW305"/>
      <c r="AX305"/>
      <c r="AY305"/>
      <c r="AZ305"/>
      <c r="BA305"/>
      <c r="BB305"/>
      <c r="BC305"/>
      <c r="BD305"/>
      <c r="BE305"/>
      <c r="BF305"/>
      <c r="BG305"/>
    </row>
    <row r="306" spans="2:59" x14ac:dyDescent="0.25">
      <c r="B306" s="22"/>
      <c r="C306" s="23"/>
      <c r="E306" s="23"/>
      <c r="F306" s="24"/>
      <c r="G306" s="2"/>
      <c r="H306" s="10" t="e">
        <f>_xlfn.XLOOKUP(F306,Viloyatlar24[RegionName],Viloyatlar24[RegionId])</f>
        <v>#N/A</v>
      </c>
      <c r="I306" s="10" t="e">
        <f>_xlfn.XLOOKUP('Кўчмас мулк объектлари'!G306,Tumanlar23[DistrictName],Tumanlar23[DistrictId])</f>
        <v>#N/A</v>
      </c>
      <c r="K306" s="24"/>
      <c r="L306" s="10" t="e">
        <f>_xlfn.XLOOKUP(K306,Ташкилотлар39[Ташкилотлар],Ташкилотлар39[TashklilotID])</f>
        <v>#N/A</v>
      </c>
      <c r="M306" s="26"/>
      <c r="N306" s="26"/>
      <c r="O306" s="24"/>
      <c r="P306" s="2"/>
      <c r="Q306" s="26"/>
      <c r="R306" s="26"/>
      <c r="S306" s="26"/>
      <c r="T306" s="26"/>
      <c r="U306" s="24"/>
      <c r="V306" s="10" t="e">
        <f>_xlfn.XLOOKUP(U306,Таклифлар37[Таклифлар],Таклифлар37[TaklifID])</f>
        <v>#N/A</v>
      </c>
      <c r="W306" s="24"/>
      <c r="X306" s="23"/>
      <c r="Y306" s="7"/>
      <c r="Z306" s="26"/>
      <c r="AB306" s="23"/>
      <c r="AD306" s="2"/>
      <c r="AG306" s="23"/>
      <c r="AI306" s="26"/>
      <c r="AJ306" s="23"/>
      <c r="AM306" s="23"/>
      <c r="AO306" s="32"/>
      <c r="AP306" s="26"/>
      <c r="AR306" s="26"/>
      <c r="AS306" s="27"/>
      <c r="AT306" s="27"/>
      <c r="AU306" s="31"/>
      <c r="AV306" s="24"/>
      <c r="AW306"/>
      <c r="AX306"/>
      <c r="AY306"/>
      <c r="AZ306"/>
      <c r="BA306"/>
      <c r="BB306"/>
      <c r="BC306"/>
      <c r="BD306"/>
      <c r="BE306"/>
      <c r="BF306"/>
      <c r="BG306"/>
    </row>
    <row r="307" spans="2:59" x14ac:dyDescent="0.25">
      <c r="B307" s="22"/>
      <c r="C307" s="23"/>
      <c r="E307" s="23"/>
      <c r="F307" s="24"/>
      <c r="G307" s="2"/>
      <c r="H307" s="10" t="e">
        <f>_xlfn.XLOOKUP(F307,Viloyatlar24[RegionName],Viloyatlar24[RegionId])</f>
        <v>#N/A</v>
      </c>
      <c r="I307" s="10" t="e">
        <f>_xlfn.XLOOKUP('Кўчмас мулк объектлари'!G307,Tumanlar23[DistrictName],Tumanlar23[DistrictId])</f>
        <v>#N/A</v>
      </c>
      <c r="K307" s="24"/>
      <c r="L307" s="10" t="e">
        <f>_xlfn.XLOOKUP(K307,Ташкилотлар39[Ташкилотлар],Ташкилотлар39[TashklilotID])</f>
        <v>#N/A</v>
      </c>
      <c r="M307" s="26"/>
      <c r="N307" s="26"/>
      <c r="O307" s="24"/>
      <c r="P307" s="2"/>
      <c r="Q307" s="26"/>
      <c r="R307" s="26"/>
      <c r="S307" s="26"/>
      <c r="T307" s="26"/>
      <c r="U307" s="24"/>
      <c r="V307" s="10" t="e">
        <f>_xlfn.XLOOKUP(U307,Таклифлар37[Таклифлар],Таклифлар37[TaklifID])</f>
        <v>#N/A</v>
      </c>
      <c r="W307" s="24"/>
      <c r="X307" s="23"/>
      <c r="Y307" s="7"/>
      <c r="Z307" s="26"/>
      <c r="AB307" s="23"/>
      <c r="AD307" s="2"/>
      <c r="AG307" s="23"/>
      <c r="AI307" s="26"/>
      <c r="AJ307" s="23"/>
      <c r="AM307" s="23"/>
      <c r="AO307" s="32"/>
      <c r="AP307" s="26"/>
      <c r="AR307" s="26"/>
      <c r="AS307" s="27"/>
      <c r="AT307" s="27"/>
      <c r="AU307" s="31"/>
      <c r="AV307" s="24"/>
      <c r="AW307"/>
      <c r="AX307"/>
      <c r="AY307"/>
      <c r="AZ307"/>
      <c r="BA307"/>
      <c r="BB307"/>
      <c r="BC307"/>
      <c r="BD307"/>
      <c r="BE307"/>
      <c r="BF307"/>
      <c r="BG307"/>
    </row>
    <row r="308" spans="2:59" x14ac:dyDescent="0.25">
      <c r="B308" s="22"/>
      <c r="C308" s="23"/>
      <c r="E308" s="23"/>
      <c r="F308" s="24"/>
      <c r="G308" s="2"/>
      <c r="H308" s="10" t="e">
        <f>_xlfn.XLOOKUP(F308,Viloyatlar24[RegionName],Viloyatlar24[RegionId])</f>
        <v>#N/A</v>
      </c>
      <c r="I308" s="10" t="e">
        <f>_xlfn.XLOOKUP('Кўчмас мулк объектлари'!G308,Tumanlar23[DistrictName],Tumanlar23[DistrictId])</f>
        <v>#N/A</v>
      </c>
      <c r="K308" s="24"/>
      <c r="L308" s="10" t="e">
        <f>_xlfn.XLOOKUP(K308,Ташкилотлар39[Ташкилотлар],Ташкилотлар39[TashklilotID])</f>
        <v>#N/A</v>
      </c>
      <c r="M308" s="26"/>
      <c r="N308" s="26"/>
      <c r="O308" s="24"/>
      <c r="P308" s="2"/>
      <c r="Q308" s="26"/>
      <c r="R308" s="26"/>
      <c r="S308" s="26"/>
      <c r="T308" s="26"/>
      <c r="U308" s="24"/>
      <c r="V308" s="10" t="e">
        <f>_xlfn.XLOOKUP(U308,Таклифлар37[Таклифлар],Таклифлар37[TaklifID])</f>
        <v>#N/A</v>
      </c>
      <c r="W308" s="24"/>
      <c r="X308" s="23"/>
      <c r="Y308" s="7"/>
      <c r="Z308" s="26"/>
      <c r="AB308" s="23"/>
      <c r="AD308" s="2"/>
      <c r="AG308" s="23"/>
      <c r="AI308" s="26"/>
      <c r="AJ308" s="23"/>
      <c r="AM308" s="23"/>
      <c r="AO308" s="32"/>
      <c r="AP308" s="26"/>
      <c r="AR308" s="26"/>
      <c r="AS308" s="27"/>
      <c r="AT308" s="27"/>
      <c r="AU308" s="31"/>
      <c r="AV308" s="24"/>
      <c r="AW308"/>
      <c r="AX308"/>
      <c r="AY308"/>
      <c r="AZ308"/>
      <c r="BA308"/>
      <c r="BB308"/>
      <c r="BC308"/>
      <c r="BD308"/>
      <c r="BE308"/>
      <c r="BF308"/>
      <c r="BG308"/>
    </row>
    <row r="309" spans="2:59" x14ac:dyDescent="0.25">
      <c r="B309" s="22"/>
      <c r="C309" s="23"/>
      <c r="E309" s="23"/>
      <c r="F309" s="24"/>
      <c r="G309" s="2"/>
      <c r="H309" s="10" t="e">
        <f>_xlfn.XLOOKUP(F309,Viloyatlar24[RegionName],Viloyatlar24[RegionId])</f>
        <v>#N/A</v>
      </c>
      <c r="I309" s="10" t="e">
        <f>_xlfn.XLOOKUP('Кўчмас мулк объектлари'!G309,Tumanlar23[DistrictName],Tumanlar23[DistrictId])</f>
        <v>#N/A</v>
      </c>
      <c r="K309" s="24"/>
      <c r="L309" s="10" t="e">
        <f>_xlfn.XLOOKUP(K309,Ташкилотлар39[Ташкилотлар],Ташкилотлар39[TashklilotID])</f>
        <v>#N/A</v>
      </c>
      <c r="M309" s="26"/>
      <c r="N309" s="26"/>
      <c r="O309" s="24"/>
      <c r="P309" s="2"/>
      <c r="Q309" s="26"/>
      <c r="R309" s="26"/>
      <c r="S309" s="26"/>
      <c r="T309" s="26"/>
      <c r="U309" s="24"/>
      <c r="V309" s="10" t="e">
        <f>_xlfn.XLOOKUP(U309,Таклифлар37[Таклифлар],Таклифлар37[TaklifID])</f>
        <v>#N/A</v>
      </c>
      <c r="W309" s="24"/>
      <c r="X309" s="23"/>
      <c r="Y309" s="7"/>
      <c r="Z309" s="26"/>
      <c r="AB309" s="23"/>
      <c r="AD309" s="2"/>
      <c r="AG309" s="23"/>
      <c r="AI309" s="26"/>
      <c r="AJ309" s="23"/>
      <c r="AM309" s="23"/>
      <c r="AO309" s="32"/>
      <c r="AP309" s="26"/>
      <c r="AR309" s="26"/>
      <c r="AS309" s="27"/>
      <c r="AT309" s="27"/>
      <c r="AU309" s="31"/>
      <c r="AV309" s="24"/>
      <c r="AW309"/>
      <c r="AX309"/>
      <c r="AY309"/>
      <c r="AZ309"/>
      <c r="BA309"/>
      <c r="BB309"/>
      <c r="BC309"/>
      <c r="BD309"/>
      <c r="BE309"/>
      <c r="BF309"/>
      <c r="BG309"/>
    </row>
    <row r="310" spans="2:59" x14ac:dyDescent="0.25">
      <c r="B310" s="22"/>
      <c r="C310" s="23"/>
      <c r="E310" s="23"/>
      <c r="F310" s="24"/>
      <c r="G310" s="2"/>
      <c r="H310" s="10" t="e">
        <f>_xlfn.XLOOKUP(F310,Viloyatlar24[RegionName],Viloyatlar24[RegionId])</f>
        <v>#N/A</v>
      </c>
      <c r="I310" s="10" t="e">
        <f>_xlfn.XLOOKUP('Кўчмас мулк объектлари'!G310,Tumanlar23[DistrictName],Tumanlar23[DistrictId])</f>
        <v>#N/A</v>
      </c>
      <c r="K310" s="24"/>
      <c r="L310" s="10" t="e">
        <f>_xlfn.XLOOKUP(K310,Ташкилотлар39[Ташкилотлар],Ташкилотлар39[TashklilotID])</f>
        <v>#N/A</v>
      </c>
      <c r="M310" s="26"/>
      <c r="N310" s="26"/>
      <c r="O310" s="24"/>
      <c r="P310" s="2"/>
      <c r="Q310" s="26"/>
      <c r="R310" s="26"/>
      <c r="S310" s="26"/>
      <c r="T310" s="26"/>
      <c r="U310" s="24"/>
      <c r="V310" s="10" t="e">
        <f>_xlfn.XLOOKUP(U310,Таклифлар37[Таклифлар],Таклифлар37[TaklifID])</f>
        <v>#N/A</v>
      </c>
      <c r="W310" s="24"/>
      <c r="X310" s="23"/>
      <c r="Y310" s="7"/>
      <c r="Z310" s="26"/>
      <c r="AB310" s="23"/>
      <c r="AD310" s="2"/>
      <c r="AG310" s="23"/>
      <c r="AI310" s="26"/>
      <c r="AJ310" s="23"/>
      <c r="AM310" s="23"/>
      <c r="AO310" s="32"/>
      <c r="AP310" s="26"/>
      <c r="AR310" s="26"/>
      <c r="AS310" s="27"/>
      <c r="AT310" s="27"/>
      <c r="AU310" s="31"/>
      <c r="AV310" s="24"/>
      <c r="AW310"/>
      <c r="AX310"/>
      <c r="AY310"/>
      <c r="AZ310"/>
      <c r="BA310"/>
      <c r="BB310"/>
      <c r="BC310"/>
      <c r="BD310"/>
      <c r="BE310"/>
      <c r="BF310"/>
      <c r="BG310"/>
    </row>
    <row r="311" spans="2:59" x14ac:dyDescent="0.25">
      <c r="B311" s="22"/>
      <c r="C311" s="23"/>
      <c r="E311" s="23"/>
      <c r="F311" s="24"/>
      <c r="G311" s="2"/>
      <c r="H311" s="10" t="e">
        <f>_xlfn.XLOOKUP(F311,Viloyatlar24[RegionName],Viloyatlar24[RegionId])</f>
        <v>#N/A</v>
      </c>
      <c r="I311" s="10" t="e">
        <f>_xlfn.XLOOKUP('Кўчмас мулк объектлари'!G311,Tumanlar23[DistrictName],Tumanlar23[DistrictId])</f>
        <v>#N/A</v>
      </c>
      <c r="K311" s="24"/>
      <c r="L311" s="10" t="e">
        <f>_xlfn.XLOOKUP(K311,Ташкилотлар39[Ташкилотлар],Ташкилотлар39[TashklilotID])</f>
        <v>#N/A</v>
      </c>
      <c r="M311" s="26"/>
      <c r="N311" s="26"/>
      <c r="O311" s="24"/>
      <c r="P311" s="2"/>
      <c r="Q311" s="26"/>
      <c r="R311" s="26"/>
      <c r="S311" s="26"/>
      <c r="T311" s="26"/>
      <c r="U311" s="24"/>
      <c r="V311" s="10" t="e">
        <f>_xlfn.XLOOKUP(U311,Таклифлар37[Таклифлар],Таклифлар37[TaklifID])</f>
        <v>#N/A</v>
      </c>
      <c r="W311" s="24"/>
      <c r="X311" s="23"/>
      <c r="Y311" s="7"/>
      <c r="Z311" s="26"/>
      <c r="AB311" s="23"/>
      <c r="AD311" s="2"/>
      <c r="AG311" s="23"/>
      <c r="AI311" s="26"/>
      <c r="AJ311" s="23"/>
      <c r="AM311" s="23"/>
      <c r="AO311" s="32"/>
      <c r="AP311" s="26"/>
      <c r="AR311" s="26"/>
      <c r="AS311" s="27"/>
      <c r="AT311" s="27"/>
      <c r="AU311" s="31"/>
      <c r="AV311" s="24"/>
      <c r="AW311"/>
      <c r="AX311"/>
      <c r="AY311"/>
      <c r="AZ311"/>
      <c r="BA311"/>
      <c r="BB311"/>
      <c r="BC311"/>
      <c r="BD311"/>
      <c r="BE311"/>
      <c r="BF311"/>
      <c r="BG311"/>
    </row>
    <row r="312" spans="2:59" x14ac:dyDescent="0.25">
      <c r="B312" s="22"/>
      <c r="C312" s="23"/>
      <c r="E312" s="23"/>
      <c r="F312" s="24"/>
      <c r="G312" s="2"/>
      <c r="H312" s="10" t="e">
        <f>_xlfn.XLOOKUP(F312,Viloyatlar24[RegionName],Viloyatlar24[RegionId])</f>
        <v>#N/A</v>
      </c>
      <c r="I312" s="10" t="e">
        <f>_xlfn.XLOOKUP('Кўчмас мулк объектлари'!G312,Tumanlar23[DistrictName],Tumanlar23[DistrictId])</f>
        <v>#N/A</v>
      </c>
      <c r="K312" s="24"/>
      <c r="L312" s="10" t="e">
        <f>_xlfn.XLOOKUP(K312,Ташкилотлар39[Ташкилотлар],Ташкилотлар39[TashklilotID])</f>
        <v>#N/A</v>
      </c>
      <c r="M312" s="26"/>
      <c r="N312" s="26"/>
      <c r="O312" s="24"/>
      <c r="P312" s="2"/>
      <c r="Q312" s="26"/>
      <c r="R312" s="26"/>
      <c r="S312" s="26"/>
      <c r="T312" s="26"/>
      <c r="U312" s="24"/>
      <c r="V312" s="10" t="e">
        <f>_xlfn.XLOOKUP(U312,Таклифлар37[Таклифлар],Таклифлар37[TaklifID])</f>
        <v>#N/A</v>
      </c>
      <c r="W312" s="24"/>
      <c r="X312" s="23"/>
      <c r="Y312" s="7"/>
      <c r="Z312" s="26"/>
      <c r="AB312" s="23"/>
      <c r="AD312" s="2"/>
      <c r="AG312" s="23"/>
      <c r="AI312" s="26"/>
      <c r="AJ312" s="23"/>
      <c r="AM312" s="23"/>
      <c r="AO312" s="32"/>
      <c r="AP312" s="26"/>
      <c r="AR312" s="26"/>
      <c r="AS312" s="27"/>
      <c r="AT312" s="27"/>
      <c r="AU312" s="31"/>
      <c r="AV312" s="24"/>
      <c r="AW312"/>
      <c r="AX312"/>
      <c r="AY312"/>
      <c r="AZ312"/>
      <c r="BA312"/>
      <c r="BB312"/>
      <c r="BC312"/>
      <c r="BD312"/>
      <c r="BE312"/>
      <c r="BF312"/>
      <c r="BG312"/>
    </row>
    <row r="313" spans="2:59" x14ac:dyDescent="0.25">
      <c r="B313" s="22"/>
      <c r="C313" s="23"/>
      <c r="E313" s="23"/>
      <c r="F313" s="24"/>
      <c r="G313" s="2"/>
      <c r="H313" s="10" t="e">
        <f>_xlfn.XLOOKUP(F313,Viloyatlar24[RegionName],Viloyatlar24[RegionId])</f>
        <v>#N/A</v>
      </c>
      <c r="I313" s="10" t="e">
        <f>_xlfn.XLOOKUP('Кўчмас мулк объектлари'!G313,Tumanlar23[DistrictName],Tumanlar23[DistrictId])</f>
        <v>#N/A</v>
      </c>
      <c r="K313" s="24"/>
      <c r="L313" s="10" t="e">
        <f>_xlfn.XLOOKUP(K313,Ташкилотлар39[Ташкилотлар],Ташкилотлар39[TashklilotID])</f>
        <v>#N/A</v>
      </c>
      <c r="M313" s="26"/>
      <c r="N313" s="26"/>
      <c r="O313" s="24"/>
      <c r="P313" s="2"/>
      <c r="Q313" s="26"/>
      <c r="R313" s="26"/>
      <c r="S313" s="26"/>
      <c r="T313" s="26"/>
      <c r="U313" s="24"/>
      <c r="V313" s="10" t="e">
        <f>_xlfn.XLOOKUP(U313,Таклифлар37[Таклифлар],Таклифлар37[TaklifID])</f>
        <v>#N/A</v>
      </c>
      <c r="W313" s="24"/>
      <c r="X313" s="23"/>
      <c r="Y313" s="7"/>
      <c r="Z313" s="26"/>
      <c r="AB313" s="23"/>
      <c r="AD313" s="2"/>
      <c r="AG313" s="23"/>
      <c r="AI313" s="26"/>
      <c r="AJ313" s="23"/>
      <c r="AM313" s="23"/>
      <c r="AO313" s="32"/>
      <c r="AP313" s="26"/>
      <c r="AR313" s="26"/>
      <c r="AS313" s="27"/>
      <c r="AT313" s="27"/>
      <c r="AU313" s="31"/>
      <c r="AV313" s="24"/>
      <c r="AW313"/>
      <c r="AX313"/>
      <c r="AY313"/>
      <c r="AZ313"/>
      <c r="BA313"/>
      <c r="BB313"/>
      <c r="BC313"/>
      <c r="BD313"/>
      <c r="BE313"/>
      <c r="BF313"/>
      <c r="BG313"/>
    </row>
    <row r="314" spans="2:59" x14ac:dyDescent="0.25">
      <c r="B314" s="22"/>
      <c r="C314" s="23"/>
      <c r="E314" s="23"/>
      <c r="F314" s="24"/>
      <c r="G314" s="2"/>
      <c r="H314" s="10" t="e">
        <f>_xlfn.XLOOKUP(F314,Viloyatlar24[RegionName],Viloyatlar24[RegionId])</f>
        <v>#N/A</v>
      </c>
      <c r="I314" s="10" t="e">
        <f>_xlfn.XLOOKUP('Кўчмас мулк объектлари'!G314,Tumanlar23[DistrictName],Tumanlar23[DistrictId])</f>
        <v>#N/A</v>
      </c>
      <c r="K314" s="24"/>
      <c r="L314" s="10" t="e">
        <f>_xlfn.XLOOKUP(K314,Ташкилотлар39[Ташкилотлар],Ташкилотлар39[TashklilotID])</f>
        <v>#N/A</v>
      </c>
      <c r="M314" s="26"/>
      <c r="N314" s="26"/>
      <c r="O314" s="24"/>
      <c r="P314" s="2"/>
      <c r="Q314" s="26"/>
      <c r="R314" s="26"/>
      <c r="S314" s="26"/>
      <c r="T314" s="26"/>
      <c r="U314" s="24"/>
      <c r="V314" s="10" t="e">
        <f>_xlfn.XLOOKUP(U314,Таклифлар37[Таклифлар],Таклифлар37[TaklifID])</f>
        <v>#N/A</v>
      </c>
      <c r="W314" s="24"/>
      <c r="X314" s="23"/>
      <c r="Y314" s="7"/>
      <c r="Z314" s="26"/>
      <c r="AB314" s="23"/>
      <c r="AD314" s="2"/>
      <c r="AG314" s="23"/>
      <c r="AI314" s="26"/>
      <c r="AJ314" s="23"/>
      <c r="AM314" s="23"/>
      <c r="AO314" s="32"/>
      <c r="AP314" s="26"/>
      <c r="AR314" s="26"/>
      <c r="AS314" s="27"/>
      <c r="AT314" s="27"/>
      <c r="AU314" s="31"/>
      <c r="AV314" s="24"/>
      <c r="AW314"/>
      <c r="AX314"/>
      <c r="AY314"/>
      <c r="AZ314"/>
      <c r="BA314"/>
      <c r="BB314"/>
      <c r="BC314"/>
      <c r="BD314"/>
      <c r="BE314"/>
      <c r="BF314"/>
      <c r="BG314"/>
    </row>
    <row r="315" spans="2:59" x14ac:dyDescent="0.25">
      <c r="B315" s="22"/>
      <c r="C315" s="23"/>
      <c r="E315" s="23"/>
      <c r="F315" s="24"/>
      <c r="G315" s="2"/>
      <c r="H315" s="10" t="e">
        <f>_xlfn.XLOOKUP(F315,Viloyatlar24[RegionName],Viloyatlar24[RegionId])</f>
        <v>#N/A</v>
      </c>
      <c r="I315" s="10" t="e">
        <f>_xlfn.XLOOKUP('Кўчмас мулк объектлари'!G315,Tumanlar23[DistrictName],Tumanlar23[DistrictId])</f>
        <v>#N/A</v>
      </c>
      <c r="K315" s="24"/>
      <c r="L315" s="10" t="e">
        <f>_xlfn.XLOOKUP(K315,Ташкилотлар39[Ташкилотлар],Ташкилотлар39[TashklilotID])</f>
        <v>#N/A</v>
      </c>
      <c r="M315" s="26"/>
      <c r="N315" s="26"/>
      <c r="O315" s="24"/>
      <c r="P315" s="2"/>
      <c r="Q315" s="26"/>
      <c r="R315" s="26"/>
      <c r="S315" s="26"/>
      <c r="T315" s="26"/>
      <c r="U315" s="24"/>
      <c r="V315" s="10" t="e">
        <f>_xlfn.XLOOKUP(U315,Таклифлар37[Таклифлар],Таклифлар37[TaklifID])</f>
        <v>#N/A</v>
      </c>
      <c r="W315" s="24"/>
      <c r="X315" s="23"/>
      <c r="Y315" s="7"/>
      <c r="Z315" s="26"/>
      <c r="AB315" s="23"/>
      <c r="AD315" s="2"/>
      <c r="AG315" s="23"/>
      <c r="AI315" s="26"/>
      <c r="AJ315" s="23"/>
      <c r="AM315" s="23"/>
      <c r="AO315" s="32"/>
      <c r="AP315" s="26"/>
      <c r="AR315" s="26"/>
      <c r="AS315" s="27"/>
      <c r="AT315" s="27"/>
      <c r="AU315" s="31"/>
      <c r="AV315" s="24"/>
      <c r="AW315"/>
      <c r="AX315"/>
      <c r="AY315"/>
      <c r="AZ315"/>
      <c r="BA315"/>
      <c r="BB315"/>
      <c r="BC315"/>
      <c r="BD315"/>
      <c r="BE315"/>
      <c r="BF315"/>
      <c r="BG315"/>
    </row>
    <row r="316" spans="2:59" x14ac:dyDescent="0.25">
      <c r="B316" s="22"/>
      <c r="C316" s="23"/>
      <c r="E316" s="23"/>
      <c r="F316" s="24"/>
      <c r="G316" s="2"/>
      <c r="H316" s="10" t="e">
        <f>_xlfn.XLOOKUP(F316,Viloyatlar24[RegionName],Viloyatlar24[RegionId])</f>
        <v>#N/A</v>
      </c>
      <c r="I316" s="10" t="e">
        <f>_xlfn.XLOOKUP('Кўчмас мулк объектлари'!G316,Tumanlar23[DistrictName],Tumanlar23[DistrictId])</f>
        <v>#N/A</v>
      </c>
      <c r="K316" s="24"/>
      <c r="L316" s="10" t="e">
        <f>_xlfn.XLOOKUP(K316,Ташкилотлар39[Ташкилотлар],Ташкилотлар39[TashklilotID])</f>
        <v>#N/A</v>
      </c>
      <c r="M316" s="26"/>
      <c r="N316" s="26"/>
      <c r="O316" s="24"/>
      <c r="P316" s="2"/>
      <c r="Q316" s="26"/>
      <c r="R316" s="26"/>
      <c r="S316" s="26"/>
      <c r="T316" s="26"/>
      <c r="U316" s="24"/>
      <c r="V316" s="10" t="e">
        <f>_xlfn.XLOOKUP(U316,Таклифлар37[Таклифлар],Таклифлар37[TaklifID])</f>
        <v>#N/A</v>
      </c>
      <c r="W316" s="24"/>
      <c r="X316" s="23"/>
      <c r="Y316" s="7"/>
      <c r="Z316" s="26"/>
      <c r="AB316" s="23"/>
      <c r="AD316" s="2"/>
      <c r="AG316" s="23"/>
      <c r="AI316" s="26"/>
      <c r="AJ316" s="23"/>
      <c r="AM316" s="23"/>
      <c r="AO316" s="32"/>
      <c r="AP316" s="26"/>
      <c r="AR316" s="26"/>
      <c r="AS316" s="27"/>
      <c r="AT316" s="27"/>
      <c r="AU316" s="31"/>
      <c r="AV316" s="24"/>
      <c r="AW316"/>
      <c r="AX316"/>
      <c r="AY316"/>
      <c r="AZ316"/>
      <c r="BA316"/>
      <c r="BB316"/>
      <c r="BC316"/>
      <c r="BD316"/>
      <c r="BE316"/>
      <c r="BF316"/>
      <c r="BG316"/>
    </row>
    <row r="317" spans="2:59" x14ac:dyDescent="0.25">
      <c r="B317" s="22"/>
      <c r="C317" s="23"/>
      <c r="E317" s="23"/>
      <c r="F317" s="24"/>
      <c r="G317" s="2"/>
      <c r="H317" s="10" t="e">
        <f>_xlfn.XLOOKUP(F317,Viloyatlar24[RegionName],Viloyatlar24[RegionId])</f>
        <v>#N/A</v>
      </c>
      <c r="I317" s="10" t="e">
        <f>_xlfn.XLOOKUP('Кўчмас мулк объектлари'!G317,Tumanlar23[DistrictName],Tumanlar23[DistrictId])</f>
        <v>#N/A</v>
      </c>
      <c r="K317" s="24"/>
      <c r="L317" s="10" t="e">
        <f>_xlfn.XLOOKUP(K317,Ташкилотлар39[Ташкилотлар],Ташкилотлар39[TashklilotID])</f>
        <v>#N/A</v>
      </c>
      <c r="M317" s="26"/>
      <c r="N317" s="26"/>
      <c r="O317" s="24"/>
      <c r="P317" s="2"/>
      <c r="Q317" s="26"/>
      <c r="R317" s="26"/>
      <c r="S317" s="26"/>
      <c r="T317" s="26"/>
      <c r="U317" s="24"/>
      <c r="V317" s="10" t="e">
        <f>_xlfn.XLOOKUP(U317,Таклифлар37[Таклифлар],Таклифлар37[TaklifID])</f>
        <v>#N/A</v>
      </c>
      <c r="W317" s="24"/>
      <c r="X317" s="23"/>
      <c r="Y317" s="7"/>
      <c r="Z317" s="26"/>
      <c r="AB317" s="23"/>
      <c r="AD317" s="2"/>
      <c r="AG317" s="23"/>
      <c r="AI317" s="26"/>
      <c r="AJ317" s="23"/>
      <c r="AM317" s="23"/>
      <c r="AO317" s="32"/>
      <c r="AP317" s="26"/>
      <c r="AR317" s="26"/>
      <c r="AS317" s="27"/>
      <c r="AT317" s="27"/>
      <c r="AU317" s="31"/>
      <c r="AV317" s="24"/>
      <c r="AW317"/>
      <c r="AX317"/>
      <c r="AY317"/>
      <c r="AZ317"/>
      <c r="BA317"/>
      <c r="BB317"/>
      <c r="BC317"/>
      <c r="BD317"/>
      <c r="BE317"/>
      <c r="BF317"/>
      <c r="BG317"/>
    </row>
    <row r="318" spans="2:59" x14ac:dyDescent="0.25">
      <c r="B318" s="22"/>
      <c r="C318" s="23"/>
      <c r="E318" s="23"/>
      <c r="F318" s="24"/>
      <c r="G318" s="2"/>
      <c r="H318" s="10" t="e">
        <f>_xlfn.XLOOKUP(F318,Viloyatlar24[RegionName],Viloyatlar24[RegionId])</f>
        <v>#N/A</v>
      </c>
      <c r="I318" s="10" t="e">
        <f>_xlfn.XLOOKUP('Кўчмас мулк объектлари'!G318,Tumanlar23[DistrictName],Tumanlar23[DistrictId])</f>
        <v>#N/A</v>
      </c>
      <c r="K318" s="24"/>
      <c r="L318" s="10" t="e">
        <f>_xlfn.XLOOKUP(K318,Ташкилотлар39[Ташкилотлар],Ташкилотлар39[TashklilotID])</f>
        <v>#N/A</v>
      </c>
      <c r="M318" s="26"/>
      <c r="N318" s="26"/>
      <c r="O318" s="24"/>
      <c r="P318" s="2"/>
      <c r="Q318" s="26"/>
      <c r="R318" s="26"/>
      <c r="S318" s="26"/>
      <c r="T318" s="26"/>
      <c r="U318" s="24"/>
      <c r="V318" s="10" t="e">
        <f>_xlfn.XLOOKUP(U318,Таклифлар37[Таклифлар],Таклифлар37[TaklifID])</f>
        <v>#N/A</v>
      </c>
      <c r="W318" s="24"/>
      <c r="X318" s="23"/>
      <c r="Y318" s="7"/>
      <c r="Z318" s="26"/>
      <c r="AB318" s="23"/>
      <c r="AD318" s="2"/>
      <c r="AG318" s="23"/>
      <c r="AI318" s="26"/>
      <c r="AJ318" s="23"/>
      <c r="AM318" s="23"/>
      <c r="AO318" s="32"/>
      <c r="AP318" s="26"/>
      <c r="AR318" s="26"/>
      <c r="AS318" s="27"/>
      <c r="AT318" s="27"/>
      <c r="AU318" s="31"/>
      <c r="AV318" s="24"/>
      <c r="AW318"/>
      <c r="AX318"/>
      <c r="AY318"/>
      <c r="AZ318"/>
      <c r="BA318"/>
      <c r="BB318"/>
      <c r="BC318"/>
      <c r="BD318"/>
      <c r="BE318"/>
      <c r="BF318"/>
      <c r="BG318"/>
    </row>
    <row r="319" spans="2:59" x14ac:dyDescent="0.25">
      <c r="B319" s="22"/>
      <c r="C319" s="23"/>
      <c r="E319" s="23"/>
      <c r="F319" s="24"/>
      <c r="G319" s="2"/>
      <c r="H319" s="10" t="e">
        <f>_xlfn.XLOOKUP(F319,Viloyatlar24[RegionName],Viloyatlar24[RegionId])</f>
        <v>#N/A</v>
      </c>
      <c r="I319" s="10" t="e">
        <f>_xlfn.XLOOKUP('Кўчмас мулк объектлари'!G319,Tumanlar23[DistrictName],Tumanlar23[DistrictId])</f>
        <v>#N/A</v>
      </c>
      <c r="K319" s="24"/>
      <c r="L319" s="10" t="e">
        <f>_xlfn.XLOOKUP(K319,Ташкилотлар39[Ташкилотлар],Ташкилотлар39[TashklilotID])</f>
        <v>#N/A</v>
      </c>
      <c r="M319" s="26"/>
      <c r="N319" s="26"/>
      <c r="O319" s="24"/>
      <c r="P319" s="2"/>
      <c r="Q319" s="26"/>
      <c r="R319" s="26"/>
      <c r="S319" s="26"/>
      <c r="T319" s="26"/>
      <c r="U319" s="24"/>
      <c r="V319" s="10" t="e">
        <f>_xlfn.XLOOKUP(U319,Таклифлар37[Таклифлар],Таклифлар37[TaklifID])</f>
        <v>#N/A</v>
      </c>
      <c r="W319" s="24"/>
      <c r="X319" s="23"/>
      <c r="Y319" s="7"/>
      <c r="Z319" s="26"/>
      <c r="AB319" s="23"/>
      <c r="AD319" s="2"/>
      <c r="AG319" s="23"/>
      <c r="AI319" s="26"/>
      <c r="AJ319" s="23"/>
      <c r="AM319" s="23"/>
      <c r="AO319" s="32"/>
      <c r="AP319" s="26"/>
      <c r="AR319" s="26"/>
      <c r="AS319" s="27"/>
      <c r="AT319" s="27"/>
      <c r="AU319" s="31"/>
      <c r="AV319" s="24"/>
      <c r="AW319"/>
      <c r="AX319"/>
      <c r="AY319"/>
      <c r="AZ319"/>
      <c r="BA319"/>
      <c r="BB319"/>
      <c r="BC319"/>
      <c r="BD319"/>
      <c r="BE319"/>
      <c r="BF319"/>
      <c r="BG319"/>
    </row>
    <row r="320" spans="2:59" x14ac:dyDescent="0.25">
      <c r="B320" s="22"/>
      <c r="C320" s="23"/>
      <c r="E320" s="23"/>
      <c r="F320" s="24"/>
      <c r="G320" s="2"/>
      <c r="H320" s="10" t="e">
        <f>_xlfn.XLOOKUP(F320,Viloyatlar24[RegionName],Viloyatlar24[RegionId])</f>
        <v>#N/A</v>
      </c>
      <c r="I320" s="10" t="e">
        <f>_xlfn.XLOOKUP('Кўчмас мулк объектлари'!G320,Tumanlar23[DistrictName],Tumanlar23[DistrictId])</f>
        <v>#N/A</v>
      </c>
      <c r="K320" s="24"/>
      <c r="L320" s="10" t="e">
        <f>_xlfn.XLOOKUP(K320,Ташкилотлар39[Ташкилотлар],Ташкилотлар39[TashklilotID])</f>
        <v>#N/A</v>
      </c>
      <c r="M320" s="26"/>
      <c r="N320" s="26"/>
      <c r="O320" s="24"/>
      <c r="P320" s="2"/>
      <c r="Q320" s="26"/>
      <c r="R320" s="26"/>
      <c r="S320" s="26"/>
      <c r="T320" s="26"/>
      <c r="U320" s="24"/>
      <c r="V320" s="10" t="e">
        <f>_xlfn.XLOOKUP(U320,Таклифлар37[Таклифлар],Таклифлар37[TaklifID])</f>
        <v>#N/A</v>
      </c>
      <c r="W320" s="24"/>
      <c r="X320" s="23"/>
      <c r="Y320" s="7"/>
      <c r="Z320" s="26"/>
      <c r="AB320" s="23"/>
      <c r="AD320" s="2"/>
      <c r="AG320" s="23"/>
      <c r="AI320" s="26"/>
      <c r="AJ320" s="23"/>
      <c r="AM320" s="23"/>
      <c r="AO320" s="32"/>
      <c r="AP320" s="26"/>
      <c r="AR320" s="26"/>
      <c r="AS320" s="27"/>
      <c r="AT320" s="27"/>
      <c r="AU320" s="31"/>
      <c r="AV320" s="24"/>
      <c r="AW320"/>
      <c r="AX320"/>
      <c r="AY320"/>
      <c r="AZ320"/>
      <c r="BA320"/>
      <c r="BB320"/>
      <c r="BC320"/>
      <c r="BD320"/>
      <c r="BE320"/>
      <c r="BF320"/>
      <c r="BG320"/>
    </row>
    <row r="321" spans="2:59" x14ac:dyDescent="0.25">
      <c r="B321" s="22"/>
      <c r="C321" s="23"/>
      <c r="E321" s="23"/>
      <c r="F321" s="24"/>
      <c r="G321" s="2"/>
      <c r="H321" s="10" t="e">
        <f>_xlfn.XLOOKUP(F321,Viloyatlar24[RegionName],Viloyatlar24[RegionId])</f>
        <v>#N/A</v>
      </c>
      <c r="I321" s="10" t="e">
        <f>_xlfn.XLOOKUP('Кўчмас мулк объектлари'!G321,Tumanlar23[DistrictName],Tumanlar23[DistrictId])</f>
        <v>#N/A</v>
      </c>
      <c r="K321" s="24"/>
      <c r="L321" s="10" t="e">
        <f>_xlfn.XLOOKUP(K321,Ташкилотлар39[Ташкилотлар],Ташкилотлар39[TashklilotID])</f>
        <v>#N/A</v>
      </c>
      <c r="M321" s="26"/>
      <c r="N321" s="26"/>
      <c r="O321" s="24"/>
      <c r="P321" s="2"/>
      <c r="Q321" s="26"/>
      <c r="R321" s="26"/>
      <c r="S321" s="26"/>
      <c r="T321" s="26"/>
      <c r="U321" s="24"/>
      <c r="V321" s="10" t="e">
        <f>_xlfn.XLOOKUP(U321,Таклифлар37[Таклифлар],Таклифлар37[TaklifID])</f>
        <v>#N/A</v>
      </c>
      <c r="W321" s="24"/>
      <c r="X321" s="23"/>
      <c r="Y321" s="7"/>
      <c r="Z321" s="26"/>
      <c r="AB321" s="23"/>
      <c r="AD321" s="2"/>
      <c r="AG321" s="23"/>
      <c r="AI321" s="26"/>
      <c r="AJ321" s="23"/>
      <c r="AM321" s="23"/>
      <c r="AO321" s="32"/>
      <c r="AP321" s="26"/>
      <c r="AR321" s="26"/>
      <c r="AS321" s="27"/>
      <c r="AT321" s="27"/>
      <c r="AU321" s="31"/>
      <c r="AV321" s="24"/>
      <c r="AW321"/>
      <c r="AX321"/>
      <c r="AY321"/>
      <c r="AZ321"/>
      <c r="BA321"/>
      <c r="BB321"/>
      <c r="BC321"/>
      <c r="BD321"/>
      <c r="BE321"/>
      <c r="BF321"/>
      <c r="BG321"/>
    </row>
    <row r="322" spans="2:59" x14ac:dyDescent="0.25">
      <c r="B322" s="22"/>
      <c r="C322" s="23"/>
      <c r="E322" s="23"/>
      <c r="F322" s="24"/>
      <c r="G322" s="2"/>
      <c r="H322" s="10" t="e">
        <f>_xlfn.XLOOKUP(F322,Viloyatlar24[RegionName],Viloyatlar24[RegionId])</f>
        <v>#N/A</v>
      </c>
      <c r="I322" s="10" t="e">
        <f>_xlfn.XLOOKUP('Кўчмас мулк объектлари'!G322,Tumanlar23[DistrictName],Tumanlar23[DistrictId])</f>
        <v>#N/A</v>
      </c>
      <c r="K322" s="24"/>
      <c r="L322" s="10" t="e">
        <f>_xlfn.XLOOKUP(K322,Ташкилотлар39[Ташкилотлар],Ташкилотлар39[TashklilotID])</f>
        <v>#N/A</v>
      </c>
      <c r="M322" s="26"/>
      <c r="N322" s="26"/>
      <c r="O322" s="24"/>
      <c r="P322" s="2"/>
      <c r="Q322" s="26"/>
      <c r="R322" s="26"/>
      <c r="S322" s="26"/>
      <c r="T322" s="26"/>
      <c r="U322" s="24"/>
      <c r="V322" s="10" t="e">
        <f>_xlfn.XLOOKUP(U322,Таклифлар37[Таклифлар],Таклифлар37[TaklifID])</f>
        <v>#N/A</v>
      </c>
      <c r="W322" s="24"/>
      <c r="X322" s="23"/>
      <c r="Y322" s="7"/>
      <c r="Z322" s="26"/>
      <c r="AB322" s="23"/>
      <c r="AD322" s="2"/>
      <c r="AG322" s="23"/>
      <c r="AI322" s="26"/>
      <c r="AJ322" s="23"/>
      <c r="AM322" s="23"/>
      <c r="AO322" s="32"/>
      <c r="AP322" s="26"/>
      <c r="AR322" s="26"/>
      <c r="AS322" s="27"/>
      <c r="AT322" s="27"/>
      <c r="AU322" s="31"/>
      <c r="AV322" s="24"/>
      <c r="AW322"/>
      <c r="AX322"/>
      <c r="AY322"/>
      <c r="AZ322"/>
      <c r="BA322"/>
      <c r="BB322"/>
      <c r="BC322"/>
      <c r="BD322"/>
      <c r="BE322"/>
      <c r="BF322"/>
      <c r="BG322"/>
    </row>
    <row r="323" spans="2:59" x14ac:dyDescent="0.25">
      <c r="B323" s="22"/>
      <c r="C323" s="23"/>
      <c r="E323" s="23"/>
      <c r="F323" s="24"/>
      <c r="G323" s="2"/>
      <c r="H323" s="10" t="e">
        <f>_xlfn.XLOOKUP(F323,Viloyatlar24[RegionName],Viloyatlar24[RegionId])</f>
        <v>#N/A</v>
      </c>
      <c r="I323" s="10" t="e">
        <f>_xlfn.XLOOKUP('Кўчмас мулк объектлари'!G323,Tumanlar23[DistrictName],Tumanlar23[DistrictId])</f>
        <v>#N/A</v>
      </c>
      <c r="K323" s="24"/>
      <c r="L323" s="10" t="e">
        <f>_xlfn.XLOOKUP(K323,Ташкилотлар39[Ташкилотлар],Ташкилотлар39[TashklilotID])</f>
        <v>#N/A</v>
      </c>
      <c r="M323" s="26"/>
      <c r="N323" s="26"/>
      <c r="O323" s="24"/>
      <c r="P323" s="2"/>
      <c r="Q323" s="26"/>
      <c r="R323" s="26"/>
      <c r="S323" s="26"/>
      <c r="T323" s="26"/>
      <c r="U323" s="24"/>
      <c r="V323" s="10" t="e">
        <f>_xlfn.XLOOKUP(U323,Таклифлар37[Таклифлар],Таклифлар37[TaklifID])</f>
        <v>#N/A</v>
      </c>
      <c r="W323" s="24"/>
      <c r="X323" s="23"/>
      <c r="Y323" s="7"/>
      <c r="Z323" s="26"/>
      <c r="AB323" s="23"/>
      <c r="AD323" s="2"/>
      <c r="AG323" s="23"/>
      <c r="AI323" s="26"/>
      <c r="AJ323" s="23"/>
      <c r="AM323" s="23"/>
      <c r="AO323" s="32"/>
      <c r="AP323" s="26"/>
      <c r="AR323" s="26"/>
      <c r="AS323" s="27"/>
      <c r="AT323" s="27"/>
      <c r="AU323" s="31"/>
      <c r="AV323" s="24"/>
      <c r="AW323"/>
      <c r="AX323"/>
      <c r="AY323"/>
      <c r="AZ323"/>
      <c r="BA323"/>
      <c r="BB323"/>
      <c r="BC323"/>
      <c r="BD323"/>
      <c r="BE323"/>
      <c r="BF323"/>
      <c r="BG323"/>
    </row>
    <row r="324" spans="2:59" x14ac:dyDescent="0.25">
      <c r="B324" s="22"/>
      <c r="C324" s="23"/>
      <c r="E324" s="23"/>
      <c r="F324" s="24"/>
      <c r="G324" s="2"/>
      <c r="H324" s="10" t="e">
        <f>_xlfn.XLOOKUP(F324,Viloyatlar24[RegionName],Viloyatlar24[RegionId])</f>
        <v>#N/A</v>
      </c>
      <c r="I324" s="10" t="e">
        <f>_xlfn.XLOOKUP('Кўчмас мулк объектлари'!G324,Tumanlar23[DistrictName],Tumanlar23[DistrictId])</f>
        <v>#N/A</v>
      </c>
      <c r="K324" s="24"/>
      <c r="L324" s="10" t="e">
        <f>_xlfn.XLOOKUP(K324,Ташкилотлар39[Ташкилотлар],Ташкилотлар39[TashklilotID])</f>
        <v>#N/A</v>
      </c>
      <c r="M324" s="26"/>
      <c r="N324" s="26"/>
      <c r="O324" s="24"/>
      <c r="P324" s="2"/>
      <c r="Q324" s="26"/>
      <c r="R324" s="26"/>
      <c r="S324" s="26"/>
      <c r="T324" s="26"/>
      <c r="U324" s="24"/>
      <c r="V324" s="10" t="e">
        <f>_xlfn.XLOOKUP(U324,Таклифлар37[Таклифлар],Таклифлар37[TaklifID])</f>
        <v>#N/A</v>
      </c>
      <c r="W324" s="24"/>
      <c r="X324" s="23"/>
      <c r="Y324" s="7"/>
      <c r="Z324" s="26"/>
      <c r="AB324" s="23"/>
      <c r="AD324" s="2"/>
      <c r="AG324" s="23"/>
      <c r="AI324" s="26"/>
      <c r="AJ324" s="23"/>
      <c r="AM324" s="23"/>
      <c r="AO324" s="32"/>
      <c r="AP324" s="26"/>
      <c r="AR324" s="26"/>
      <c r="AS324" s="27"/>
      <c r="AT324" s="27"/>
      <c r="AU324" s="31"/>
      <c r="AV324" s="24"/>
      <c r="AW324"/>
      <c r="AX324"/>
      <c r="AY324"/>
      <c r="AZ324"/>
      <c r="BA324"/>
      <c r="BB324"/>
      <c r="BC324"/>
      <c r="BD324"/>
      <c r="BE324"/>
      <c r="BF324"/>
      <c r="BG324"/>
    </row>
    <row r="325" spans="2:59" x14ac:dyDescent="0.25">
      <c r="B325" s="22"/>
      <c r="C325" s="23"/>
      <c r="E325" s="23"/>
      <c r="F325" s="24"/>
      <c r="G325" s="2"/>
      <c r="H325" s="10" t="e">
        <f>_xlfn.XLOOKUP(F325,Viloyatlar24[RegionName],Viloyatlar24[RegionId])</f>
        <v>#N/A</v>
      </c>
      <c r="I325" s="10" t="e">
        <f>_xlfn.XLOOKUP('Кўчмас мулк объектлари'!G325,Tumanlar23[DistrictName],Tumanlar23[DistrictId])</f>
        <v>#N/A</v>
      </c>
      <c r="K325" s="24"/>
      <c r="L325" s="10" t="e">
        <f>_xlfn.XLOOKUP(K325,Ташкилотлар39[Ташкилотлар],Ташкилотлар39[TashklilotID])</f>
        <v>#N/A</v>
      </c>
      <c r="M325" s="26"/>
      <c r="N325" s="26"/>
      <c r="O325" s="24"/>
      <c r="P325" s="2"/>
      <c r="Q325" s="26"/>
      <c r="R325" s="26"/>
      <c r="S325" s="26"/>
      <c r="T325" s="26"/>
      <c r="U325" s="24"/>
      <c r="V325" s="10" t="e">
        <f>_xlfn.XLOOKUP(U325,Таклифлар37[Таклифлар],Таклифлар37[TaklifID])</f>
        <v>#N/A</v>
      </c>
      <c r="W325" s="24"/>
      <c r="X325" s="23"/>
      <c r="Y325" s="7"/>
      <c r="Z325" s="26"/>
      <c r="AB325" s="23"/>
      <c r="AD325" s="2"/>
      <c r="AG325" s="23"/>
      <c r="AI325" s="26"/>
      <c r="AJ325" s="23"/>
      <c r="AM325" s="23"/>
      <c r="AO325" s="32"/>
      <c r="AP325" s="26"/>
      <c r="AR325" s="26"/>
      <c r="AS325" s="27"/>
      <c r="AT325" s="27"/>
      <c r="AU325" s="31"/>
      <c r="AV325" s="24"/>
      <c r="AW325"/>
      <c r="AX325"/>
      <c r="AY325"/>
      <c r="AZ325"/>
      <c r="BA325"/>
      <c r="BB325"/>
      <c r="BC325"/>
      <c r="BD325"/>
      <c r="BE325"/>
      <c r="BF325"/>
      <c r="BG325"/>
    </row>
    <row r="326" spans="2:59" x14ac:dyDescent="0.25">
      <c r="B326" s="22"/>
      <c r="C326" s="23"/>
      <c r="E326" s="23"/>
      <c r="F326" s="24"/>
      <c r="G326" s="2"/>
      <c r="H326" s="10" t="e">
        <f>_xlfn.XLOOKUP(F326,Viloyatlar24[RegionName],Viloyatlar24[RegionId])</f>
        <v>#N/A</v>
      </c>
      <c r="I326" s="10" t="e">
        <f>_xlfn.XLOOKUP('Кўчмас мулк объектлари'!G326,Tumanlar23[DistrictName],Tumanlar23[DistrictId])</f>
        <v>#N/A</v>
      </c>
      <c r="K326" s="24"/>
      <c r="L326" s="10" t="e">
        <f>_xlfn.XLOOKUP(K326,Ташкилотлар39[Ташкилотлар],Ташкилотлар39[TashklilotID])</f>
        <v>#N/A</v>
      </c>
      <c r="M326" s="26"/>
      <c r="N326" s="26"/>
      <c r="O326" s="24"/>
      <c r="P326" s="2"/>
      <c r="Q326" s="26"/>
      <c r="R326" s="26"/>
      <c r="S326" s="26"/>
      <c r="T326" s="26"/>
      <c r="U326" s="24"/>
      <c r="V326" s="10" t="e">
        <f>_xlfn.XLOOKUP(U326,Таклифлар37[Таклифлар],Таклифлар37[TaklifID])</f>
        <v>#N/A</v>
      </c>
      <c r="W326" s="24"/>
      <c r="X326" s="23"/>
      <c r="Y326" s="7"/>
      <c r="Z326" s="26"/>
      <c r="AB326" s="23"/>
      <c r="AD326" s="2"/>
      <c r="AG326" s="23"/>
      <c r="AI326" s="26"/>
      <c r="AJ326" s="23"/>
      <c r="AM326" s="23"/>
      <c r="AO326" s="32"/>
      <c r="AP326" s="26"/>
      <c r="AR326" s="26"/>
      <c r="AS326" s="27"/>
      <c r="AT326" s="27"/>
      <c r="AU326" s="31"/>
      <c r="AV326" s="24"/>
      <c r="AW326"/>
      <c r="AX326"/>
      <c r="AY326"/>
      <c r="AZ326"/>
      <c r="BA326"/>
      <c r="BB326"/>
      <c r="BC326"/>
      <c r="BD326"/>
      <c r="BE326"/>
      <c r="BF326"/>
      <c r="BG326"/>
    </row>
    <row r="327" spans="2:59" x14ac:dyDescent="0.25">
      <c r="B327" s="22"/>
      <c r="C327" s="23"/>
      <c r="E327" s="23"/>
      <c r="F327" s="24"/>
      <c r="G327" s="2"/>
      <c r="H327" s="10" t="e">
        <f>_xlfn.XLOOKUP(F327,Viloyatlar24[RegionName],Viloyatlar24[RegionId])</f>
        <v>#N/A</v>
      </c>
      <c r="I327" s="10" t="e">
        <f>_xlfn.XLOOKUP('Кўчмас мулк объектлари'!G327,Tumanlar23[DistrictName],Tumanlar23[DistrictId])</f>
        <v>#N/A</v>
      </c>
      <c r="K327" s="24"/>
      <c r="L327" s="10" t="e">
        <f>_xlfn.XLOOKUP(K327,Ташкилотлар39[Ташкилотлар],Ташкилотлар39[TashklilotID])</f>
        <v>#N/A</v>
      </c>
      <c r="M327" s="26"/>
      <c r="N327" s="26"/>
      <c r="O327" s="24"/>
      <c r="P327" s="2"/>
      <c r="Q327" s="26"/>
      <c r="R327" s="26"/>
      <c r="S327" s="26"/>
      <c r="T327" s="26"/>
      <c r="U327" s="24"/>
      <c r="V327" s="10" t="e">
        <f>_xlfn.XLOOKUP(U327,Таклифлар37[Таклифлар],Таклифлар37[TaklifID])</f>
        <v>#N/A</v>
      </c>
      <c r="W327" s="24"/>
      <c r="X327" s="23"/>
      <c r="Y327" s="7"/>
      <c r="Z327" s="26"/>
      <c r="AB327" s="23"/>
      <c r="AD327" s="2"/>
      <c r="AG327" s="23"/>
      <c r="AI327" s="26"/>
      <c r="AJ327" s="23"/>
      <c r="AM327" s="23"/>
      <c r="AO327" s="32"/>
      <c r="AP327" s="26"/>
      <c r="AR327" s="26"/>
      <c r="AS327" s="27"/>
      <c r="AT327" s="27"/>
      <c r="AU327" s="31"/>
      <c r="AV327" s="24"/>
      <c r="AW327"/>
      <c r="AX327"/>
      <c r="AY327"/>
      <c r="AZ327"/>
      <c r="BA327"/>
      <c r="BB327"/>
      <c r="BC327"/>
      <c r="BD327"/>
      <c r="BE327"/>
      <c r="BF327"/>
      <c r="BG327"/>
    </row>
    <row r="328" spans="2:59" x14ac:dyDescent="0.25">
      <c r="B328" s="22"/>
      <c r="C328" s="23"/>
      <c r="E328" s="23"/>
      <c r="F328" s="24"/>
      <c r="G328" s="2"/>
      <c r="H328" s="10" t="e">
        <f>_xlfn.XLOOKUP(F328,Viloyatlar24[RegionName],Viloyatlar24[RegionId])</f>
        <v>#N/A</v>
      </c>
      <c r="I328" s="10" t="e">
        <f>_xlfn.XLOOKUP('Кўчмас мулк объектлари'!G328,Tumanlar23[DistrictName],Tumanlar23[DistrictId])</f>
        <v>#N/A</v>
      </c>
      <c r="K328" s="24"/>
      <c r="L328" s="10" t="e">
        <f>_xlfn.XLOOKUP(K328,Ташкилотлар39[Ташкилотлар],Ташкилотлар39[TashklilotID])</f>
        <v>#N/A</v>
      </c>
      <c r="M328" s="26"/>
      <c r="N328" s="26"/>
      <c r="O328" s="24"/>
      <c r="P328" s="2"/>
      <c r="Q328" s="26"/>
      <c r="R328" s="26"/>
      <c r="S328" s="26"/>
      <c r="T328" s="26"/>
      <c r="U328" s="24"/>
      <c r="V328" s="10" t="e">
        <f>_xlfn.XLOOKUP(U328,Таклифлар37[Таклифлар],Таклифлар37[TaklifID])</f>
        <v>#N/A</v>
      </c>
      <c r="W328" s="24"/>
      <c r="X328" s="23"/>
      <c r="Y328" s="7"/>
      <c r="Z328" s="26"/>
      <c r="AB328" s="23"/>
      <c r="AD328" s="2"/>
      <c r="AG328" s="23"/>
      <c r="AI328" s="26"/>
      <c r="AJ328" s="23"/>
      <c r="AM328" s="23"/>
      <c r="AO328" s="32"/>
      <c r="AP328" s="26"/>
      <c r="AR328" s="26"/>
      <c r="AS328" s="27"/>
      <c r="AT328" s="27"/>
      <c r="AU328" s="31"/>
      <c r="AV328" s="24"/>
      <c r="AW328"/>
      <c r="AX328"/>
      <c r="AY328"/>
      <c r="AZ328"/>
      <c r="BA328"/>
      <c r="BB328"/>
      <c r="BC328"/>
      <c r="BD328"/>
      <c r="BE328"/>
      <c r="BF328"/>
      <c r="BG328"/>
    </row>
    <row r="329" spans="2:59" x14ac:dyDescent="0.25">
      <c r="B329" s="22"/>
      <c r="C329" s="23"/>
      <c r="E329" s="23"/>
      <c r="F329" s="24"/>
      <c r="G329" s="2"/>
      <c r="H329" s="10" t="e">
        <f>_xlfn.XLOOKUP(F329,Viloyatlar24[RegionName],Viloyatlar24[RegionId])</f>
        <v>#N/A</v>
      </c>
      <c r="I329" s="10" t="e">
        <f>_xlfn.XLOOKUP('Кўчмас мулк объектлари'!G329,Tumanlar23[DistrictName],Tumanlar23[DistrictId])</f>
        <v>#N/A</v>
      </c>
      <c r="K329" s="24"/>
      <c r="L329" s="10" t="e">
        <f>_xlfn.XLOOKUP(K329,Ташкилотлар39[Ташкилотлар],Ташкилотлар39[TashklilotID])</f>
        <v>#N/A</v>
      </c>
      <c r="M329" s="26"/>
      <c r="N329" s="26"/>
      <c r="O329" s="24"/>
      <c r="P329" s="2"/>
      <c r="Q329" s="26"/>
      <c r="R329" s="26"/>
      <c r="S329" s="26"/>
      <c r="T329" s="26"/>
      <c r="U329" s="24"/>
      <c r="V329" s="10" t="e">
        <f>_xlfn.XLOOKUP(U329,Таклифлар37[Таклифлар],Таклифлар37[TaklifID])</f>
        <v>#N/A</v>
      </c>
      <c r="W329" s="24"/>
      <c r="X329" s="23"/>
      <c r="Y329" s="7"/>
      <c r="Z329" s="26"/>
      <c r="AB329" s="23"/>
      <c r="AD329" s="2"/>
      <c r="AG329" s="23"/>
      <c r="AI329" s="26"/>
      <c r="AJ329" s="23"/>
      <c r="AM329" s="23"/>
      <c r="AO329" s="32"/>
      <c r="AP329" s="26"/>
      <c r="AR329" s="26"/>
      <c r="AS329" s="27"/>
      <c r="AT329" s="27"/>
      <c r="AU329" s="31"/>
      <c r="AV329" s="24"/>
      <c r="AW329"/>
      <c r="AX329"/>
      <c r="AY329"/>
      <c r="AZ329"/>
      <c r="BA329"/>
      <c r="BB329"/>
      <c r="BC329"/>
      <c r="BD329"/>
      <c r="BE329"/>
      <c r="BF329"/>
      <c r="BG329"/>
    </row>
    <row r="330" spans="2:59" x14ac:dyDescent="0.25">
      <c r="B330" s="22"/>
      <c r="C330" s="23"/>
      <c r="E330" s="23"/>
      <c r="F330" s="24"/>
      <c r="G330" s="2"/>
      <c r="H330" s="10" t="e">
        <f>_xlfn.XLOOKUP(F330,Viloyatlar24[RegionName],Viloyatlar24[RegionId])</f>
        <v>#N/A</v>
      </c>
      <c r="I330" s="10" t="e">
        <f>_xlfn.XLOOKUP('Кўчмас мулк объектлари'!G330,Tumanlar23[DistrictName],Tumanlar23[DistrictId])</f>
        <v>#N/A</v>
      </c>
      <c r="K330" s="24"/>
      <c r="L330" s="10" t="e">
        <f>_xlfn.XLOOKUP(K330,Ташкилотлар39[Ташкилотлар],Ташкилотлар39[TashklilotID])</f>
        <v>#N/A</v>
      </c>
      <c r="M330" s="26"/>
      <c r="N330" s="26"/>
      <c r="O330" s="24"/>
      <c r="P330" s="2"/>
      <c r="Q330" s="26"/>
      <c r="R330" s="26"/>
      <c r="S330" s="26"/>
      <c r="T330" s="26"/>
      <c r="U330" s="24"/>
      <c r="V330" s="10" t="e">
        <f>_xlfn.XLOOKUP(U330,Таклифлар37[Таклифлар],Таклифлар37[TaklifID])</f>
        <v>#N/A</v>
      </c>
      <c r="W330" s="24"/>
      <c r="X330" s="23"/>
      <c r="Y330" s="7"/>
      <c r="Z330" s="26"/>
      <c r="AB330" s="23"/>
      <c r="AD330" s="2"/>
      <c r="AG330" s="23"/>
      <c r="AI330" s="26"/>
      <c r="AJ330" s="23"/>
      <c r="AM330" s="23"/>
      <c r="AO330" s="32"/>
      <c r="AP330" s="26"/>
      <c r="AR330" s="26"/>
      <c r="AS330" s="27"/>
      <c r="AT330" s="27"/>
      <c r="AU330" s="31"/>
      <c r="AV330" s="24"/>
      <c r="AW330"/>
      <c r="AX330"/>
      <c r="AY330"/>
      <c r="AZ330"/>
      <c r="BA330"/>
      <c r="BB330"/>
      <c r="BC330"/>
      <c r="BD330"/>
      <c r="BE330"/>
      <c r="BF330"/>
      <c r="BG330"/>
    </row>
    <row r="331" spans="2:59" x14ac:dyDescent="0.25">
      <c r="B331" s="22"/>
      <c r="C331" s="23"/>
      <c r="E331" s="23"/>
      <c r="F331" s="24"/>
      <c r="G331" s="2"/>
      <c r="H331" s="10" t="e">
        <f>_xlfn.XLOOKUP(F331,Viloyatlar24[RegionName],Viloyatlar24[RegionId])</f>
        <v>#N/A</v>
      </c>
      <c r="I331" s="10" t="e">
        <f>_xlfn.XLOOKUP('Кўчмас мулк объектлари'!G331,Tumanlar23[DistrictName],Tumanlar23[DistrictId])</f>
        <v>#N/A</v>
      </c>
      <c r="K331" s="24"/>
      <c r="L331" s="10" t="e">
        <f>_xlfn.XLOOKUP(K331,Ташкилотлар39[Ташкилотлар],Ташкилотлар39[TashklilotID])</f>
        <v>#N/A</v>
      </c>
      <c r="M331" s="26"/>
      <c r="N331" s="26"/>
      <c r="O331" s="24"/>
      <c r="P331" s="2"/>
      <c r="Q331" s="26"/>
      <c r="R331" s="26"/>
      <c r="S331" s="26"/>
      <c r="T331" s="26"/>
      <c r="U331" s="24"/>
      <c r="V331" s="10" t="e">
        <f>_xlfn.XLOOKUP(U331,Таклифлар37[Таклифлар],Таклифлар37[TaklifID])</f>
        <v>#N/A</v>
      </c>
      <c r="W331" s="24"/>
      <c r="X331" s="23"/>
      <c r="Y331" s="7"/>
      <c r="Z331" s="26"/>
      <c r="AB331" s="23"/>
      <c r="AD331" s="2"/>
      <c r="AG331" s="23"/>
      <c r="AI331" s="26"/>
      <c r="AJ331" s="23"/>
      <c r="AM331" s="23"/>
      <c r="AO331" s="32"/>
      <c r="AP331" s="26"/>
      <c r="AR331" s="26"/>
      <c r="AS331" s="27"/>
      <c r="AT331" s="27"/>
      <c r="AU331" s="31"/>
      <c r="AV331" s="24"/>
      <c r="AW331"/>
      <c r="AX331"/>
      <c r="AY331"/>
      <c r="AZ331"/>
      <c r="BA331"/>
      <c r="BB331"/>
      <c r="BC331"/>
      <c r="BD331"/>
      <c r="BE331"/>
      <c r="BF331"/>
      <c r="BG331"/>
    </row>
    <row r="332" spans="2:59" x14ac:dyDescent="0.25">
      <c r="B332" s="22"/>
      <c r="C332" s="23"/>
      <c r="E332" s="23"/>
      <c r="F332" s="24"/>
      <c r="G332" s="2"/>
      <c r="H332" s="10" t="e">
        <f>_xlfn.XLOOKUP(F332,Viloyatlar24[RegionName],Viloyatlar24[RegionId])</f>
        <v>#N/A</v>
      </c>
      <c r="I332" s="10" t="e">
        <f>_xlfn.XLOOKUP('Кўчмас мулк объектлари'!G332,Tumanlar23[DistrictName],Tumanlar23[DistrictId])</f>
        <v>#N/A</v>
      </c>
      <c r="K332" s="24"/>
      <c r="L332" s="10" t="e">
        <f>_xlfn.XLOOKUP(K332,Ташкилотлар39[Ташкилотлар],Ташкилотлар39[TashklilotID])</f>
        <v>#N/A</v>
      </c>
      <c r="M332" s="26"/>
      <c r="N332" s="26"/>
      <c r="O332" s="24"/>
      <c r="P332" s="2"/>
      <c r="Q332" s="26"/>
      <c r="R332" s="26"/>
      <c r="S332" s="26"/>
      <c r="T332" s="26"/>
      <c r="U332" s="24"/>
      <c r="V332" s="10" t="e">
        <f>_xlfn.XLOOKUP(U332,Таклифлар37[Таклифлар],Таклифлар37[TaklifID])</f>
        <v>#N/A</v>
      </c>
      <c r="W332" s="24"/>
      <c r="X332" s="23"/>
      <c r="Y332" s="7"/>
      <c r="Z332" s="26"/>
      <c r="AB332" s="23"/>
      <c r="AD332" s="2"/>
      <c r="AG332" s="23"/>
      <c r="AI332" s="26"/>
      <c r="AJ332" s="23"/>
      <c r="AM332" s="23"/>
      <c r="AO332" s="32"/>
      <c r="AP332" s="26"/>
      <c r="AR332" s="26"/>
      <c r="AS332" s="27"/>
      <c r="AT332" s="27"/>
      <c r="AU332" s="31"/>
      <c r="AV332" s="24"/>
      <c r="AW332"/>
      <c r="AX332"/>
      <c r="AY332"/>
      <c r="AZ332"/>
      <c r="BA332"/>
      <c r="BB332"/>
      <c r="BC332"/>
      <c r="BD332"/>
      <c r="BE332"/>
      <c r="BF332"/>
      <c r="BG332"/>
    </row>
    <row r="333" spans="2:59" x14ac:dyDescent="0.25">
      <c r="B333" s="22"/>
      <c r="C333" s="23"/>
      <c r="E333" s="23"/>
      <c r="F333" s="24"/>
      <c r="G333" s="2"/>
      <c r="H333" s="10" t="e">
        <f>_xlfn.XLOOKUP(F333,Viloyatlar24[RegionName],Viloyatlar24[RegionId])</f>
        <v>#N/A</v>
      </c>
      <c r="I333" s="10" t="e">
        <f>_xlfn.XLOOKUP('Кўчмас мулк объектлари'!G333,Tumanlar23[DistrictName],Tumanlar23[DistrictId])</f>
        <v>#N/A</v>
      </c>
      <c r="K333" s="24"/>
      <c r="L333" s="10" t="e">
        <f>_xlfn.XLOOKUP(K333,Ташкилотлар39[Ташкилотлар],Ташкилотлар39[TashklilotID])</f>
        <v>#N/A</v>
      </c>
      <c r="M333" s="26"/>
      <c r="N333" s="26"/>
      <c r="O333" s="24"/>
      <c r="P333" s="2"/>
      <c r="Q333" s="26"/>
      <c r="R333" s="26"/>
      <c r="S333" s="26"/>
      <c r="T333" s="26"/>
      <c r="U333" s="24"/>
      <c r="V333" s="10" t="e">
        <f>_xlfn.XLOOKUP(U333,Таклифлар37[Таклифлар],Таклифлар37[TaklifID])</f>
        <v>#N/A</v>
      </c>
      <c r="W333" s="24"/>
      <c r="X333" s="23"/>
      <c r="Y333" s="7"/>
      <c r="Z333" s="26"/>
      <c r="AB333" s="23"/>
      <c r="AD333" s="2"/>
      <c r="AG333" s="23"/>
      <c r="AI333" s="26"/>
      <c r="AJ333" s="23"/>
      <c r="AM333" s="23"/>
      <c r="AO333" s="32"/>
      <c r="AP333" s="26"/>
      <c r="AR333" s="26"/>
      <c r="AS333" s="27"/>
      <c r="AT333" s="27"/>
      <c r="AU333" s="31"/>
      <c r="AV333" s="24"/>
      <c r="AW333"/>
      <c r="AX333"/>
      <c r="AY333"/>
      <c r="AZ333"/>
      <c r="BA333"/>
      <c r="BB333"/>
      <c r="BC333"/>
      <c r="BD333"/>
      <c r="BE333"/>
      <c r="BF333"/>
      <c r="BG333"/>
    </row>
    <row r="334" spans="2:59" x14ac:dyDescent="0.25">
      <c r="B334" s="22"/>
      <c r="C334" s="23"/>
      <c r="E334" s="23"/>
      <c r="F334" s="24"/>
      <c r="G334" s="2"/>
      <c r="H334" s="10" t="e">
        <f>_xlfn.XLOOKUP(F334,Viloyatlar24[RegionName],Viloyatlar24[RegionId])</f>
        <v>#N/A</v>
      </c>
      <c r="I334" s="10" t="e">
        <f>_xlfn.XLOOKUP('Кўчмас мулк объектлари'!G334,Tumanlar23[DistrictName],Tumanlar23[DistrictId])</f>
        <v>#N/A</v>
      </c>
      <c r="K334" s="24"/>
      <c r="L334" s="10" t="e">
        <f>_xlfn.XLOOKUP(K334,Ташкилотлар39[Ташкилотлар],Ташкилотлар39[TashklilotID])</f>
        <v>#N/A</v>
      </c>
      <c r="M334" s="26"/>
      <c r="N334" s="26"/>
      <c r="O334" s="24"/>
      <c r="P334" s="2"/>
      <c r="Q334" s="26"/>
      <c r="R334" s="26"/>
      <c r="S334" s="26"/>
      <c r="T334" s="26"/>
      <c r="U334" s="24"/>
      <c r="V334" s="10" t="e">
        <f>_xlfn.XLOOKUP(U334,Таклифлар37[Таклифлар],Таклифлар37[TaklifID])</f>
        <v>#N/A</v>
      </c>
      <c r="W334" s="24"/>
      <c r="X334" s="23"/>
      <c r="Y334" s="7"/>
      <c r="Z334" s="26"/>
      <c r="AB334" s="23"/>
      <c r="AD334" s="2"/>
      <c r="AG334" s="23"/>
      <c r="AI334" s="26"/>
      <c r="AJ334" s="23"/>
      <c r="AM334" s="23"/>
      <c r="AO334" s="32"/>
      <c r="AP334" s="26"/>
      <c r="AR334" s="26"/>
      <c r="AS334" s="27"/>
      <c r="AT334" s="27"/>
      <c r="AU334" s="31"/>
      <c r="AV334" s="24"/>
      <c r="AW334"/>
      <c r="AX334"/>
      <c r="AY334"/>
      <c r="AZ334"/>
      <c r="BA334"/>
      <c r="BB334"/>
      <c r="BC334"/>
      <c r="BD334"/>
      <c r="BE334"/>
      <c r="BF334"/>
      <c r="BG334"/>
    </row>
    <row r="335" spans="2:59" x14ac:dyDescent="0.25">
      <c r="B335" s="22"/>
      <c r="C335" s="23"/>
      <c r="E335" s="23"/>
      <c r="F335" s="24"/>
      <c r="G335" s="2"/>
      <c r="H335" s="10" t="e">
        <f>_xlfn.XLOOKUP(F335,Viloyatlar24[RegionName],Viloyatlar24[RegionId])</f>
        <v>#N/A</v>
      </c>
      <c r="I335" s="10" t="e">
        <f>_xlfn.XLOOKUP('Кўчмас мулк объектлари'!G335,Tumanlar23[DistrictName],Tumanlar23[DistrictId])</f>
        <v>#N/A</v>
      </c>
      <c r="K335" s="24"/>
      <c r="L335" s="10" t="e">
        <f>_xlfn.XLOOKUP(K335,Ташкилотлар39[Ташкилотлар],Ташкилотлар39[TashklilotID])</f>
        <v>#N/A</v>
      </c>
      <c r="M335" s="26"/>
      <c r="N335" s="26"/>
      <c r="O335" s="24"/>
      <c r="P335" s="2"/>
      <c r="Q335" s="26"/>
      <c r="R335" s="26"/>
      <c r="S335" s="26"/>
      <c r="T335" s="26"/>
      <c r="U335" s="24"/>
      <c r="V335" s="10" t="e">
        <f>_xlfn.XLOOKUP(U335,Таклифлар37[Таклифлар],Таклифлар37[TaklifID])</f>
        <v>#N/A</v>
      </c>
      <c r="W335" s="24"/>
      <c r="X335" s="23"/>
      <c r="Y335" s="7"/>
      <c r="Z335" s="26"/>
      <c r="AB335" s="23"/>
      <c r="AD335" s="2"/>
      <c r="AG335" s="23"/>
      <c r="AI335" s="26"/>
      <c r="AJ335" s="23"/>
      <c r="AM335" s="23"/>
      <c r="AO335" s="32"/>
      <c r="AP335" s="26"/>
      <c r="AR335" s="26"/>
      <c r="AS335" s="27"/>
      <c r="AT335" s="27"/>
      <c r="AU335" s="31"/>
      <c r="AV335" s="24"/>
      <c r="AW335"/>
      <c r="AX335"/>
      <c r="AY335"/>
      <c r="AZ335"/>
      <c r="BA335"/>
      <c r="BB335"/>
      <c r="BC335"/>
      <c r="BD335"/>
      <c r="BE335"/>
      <c r="BF335"/>
      <c r="BG335"/>
    </row>
    <row r="336" spans="2:59" x14ac:dyDescent="0.25">
      <c r="B336" s="22"/>
      <c r="C336" s="23"/>
      <c r="E336" s="23"/>
      <c r="F336" s="24"/>
      <c r="G336" s="2"/>
      <c r="H336" s="10" t="e">
        <f>_xlfn.XLOOKUP(F336,Viloyatlar24[RegionName],Viloyatlar24[RegionId])</f>
        <v>#N/A</v>
      </c>
      <c r="I336" s="10" t="e">
        <f>_xlfn.XLOOKUP('Кўчмас мулк объектлари'!G336,Tumanlar23[DistrictName],Tumanlar23[DistrictId])</f>
        <v>#N/A</v>
      </c>
      <c r="K336" s="24"/>
      <c r="L336" s="10" t="e">
        <f>_xlfn.XLOOKUP(K336,Ташкилотлар39[Ташкилотлар],Ташкилотлар39[TashklilotID])</f>
        <v>#N/A</v>
      </c>
      <c r="M336" s="26"/>
      <c r="N336" s="26"/>
      <c r="O336" s="24"/>
      <c r="P336" s="2"/>
      <c r="Q336" s="26"/>
      <c r="R336" s="26"/>
      <c r="S336" s="26"/>
      <c r="T336" s="26"/>
      <c r="U336" s="24"/>
      <c r="V336" s="10" t="e">
        <f>_xlfn.XLOOKUP(U336,Таклифлар37[Таклифлар],Таклифлар37[TaklifID])</f>
        <v>#N/A</v>
      </c>
      <c r="W336" s="24"/>
      <c r="X336" s="23"/>
      <c r="Y336" s="7"/>
      <c r="Z336" s="26"/>
      <c r="AB336" s="23"/>
      <c r="AD336" s="2"/>
      <c r="AG336" s="23"/>
      <c r="AI336" s="26"/>
      <c r="AJ336" s="23"/>
      <c r="AM336" s="23"/>
      <c r="AO336" s="32"/>
      <c r="AP336" s="26"/>
      <c r="AR336" s="26"/>
      <c r="AS336" s="27"/>
      <c r="AT336" s="27"/>
      <c r="AU336" s="31"/>
      <c r="AV336" s="24"/>
      <c r="AW336"/>
      <c r="AX336"/>
      <c r="AY336"/>
      <c r="AZ336"/>
      <c r="BA336"/>
      <c r="BB336"/>
      <c r="BC336"/>
      <c r="BD336"/>
      <c r="BE336"/>
      <c r="BF336"/>
      <c r="BG336"/>
    </row>
    <row r="337" spans="2:59" x14ac:dyDescent="0.25">
      <c r="B337" s="22"/>
      <c r="C337" s="23"/>
      <c r="E337" s="23"/>
      <c r="F337" s="24"/>
      <c r="G337" s="2"/>
      <c r="H337" s="10" t="e">
        <f>_xlfn.XLOOKUP(F337,Viloyatlar24[RegionName],Viloyatlar24[RegionId])</f>
        <v>#N/A</v>
      </c>
      <c r="I337" s="10" t="e">
        <f>_xlfn.XLOOKUP('Кўчмас мулк объектлари'!G337,Tumanlar23[DistrictName],Tumanlar23[DistrictId])</f>
        <v>#N/A</v>
      </c>
      <c r="K337" s="24"/>
      <c r="L337" s="10" t="e">
        <f>_xlfn.XLOOKUP(K337,Ташкилотлар39[Ташкилотлар],Ташкилотлар39[TashklilotID])</f>
        <v>#N/A</v>
      </c>
      <c r="M337" s="26"/>
      <c r="N337" s="26"/>
      <c r="O337" s="24"/>
      <c r="P337" s="2"/>
      <c r="Q337" s="26"/>
      <c r="R337" s="26"/>
      <c r="S337" s="26"/>
      <c r="T337" s="26"/>
      <c r="U337" s="24"/>
      <c r="V337" s="10" t="e">
        <f>_xlfn.XLOOKUP(U337,Таклифлар37[Таклифлар],Таклифлар37[TaklifID])</f>
        <v>#N/A</v>
      </c>
      <c r="W337" s="24"/>
      <c r="X337" s="23"/>
      <c r="Y337" s="7"/>
      <c r="Z337" s="26"/>
      <c r="AB337" s="23"/>
      <c r="AD337" s="2"/>
      <c r="AG337" s="23"/>
      <c r="AI337" s="26"/>
      <c r="AJ337" s="23"/>
      <c r="AM337" s="23"/>
      <c r="AO337" s="32"/>
      <c r="AP337" s="26"/>
      <c r="AR337" s="26"/>
      <c r="AS337" s="27"/>
      <c r="AT337" s="27"/>
      <c r="AU337" s="31"/>
      <c r="AV337" s="24"/>
      <c r="AW337"/>
      <c r="AX337"/>
      <c r="AY337"/>
      <c r="AZ337"/>
      <c r="BA337"/>
      <c r="BB337"/>
      <c r="BC337"/>
      <c r="BD337"/>
      <c r="BE337"/>
      <c r="BF337"/>
      <c r="BG337"/>
    </row>
    <row r="338" spans="2:59" x14ac:dyDescent="0.25">
      <c r="B338" s="22"/>
      <c r="C338" s="23"/>
      <c r="E338" s="23"/>
      <c r="F338" s="24"/>
      <c r="G338" s="2"/>
      <c r="H338" s="10" t="e">
        <f>_xlfn.XLOOKUP(F338,Viloyatlar24[RegionName],Viloyatlar24[RegionId])</f>
        <v>#N/A</v>
      </c>
      <c r="I338" s="10" t="e">
        <f>_xlfn.XLOOKUP('Кўчмас мулк объектлари'!G338,Tumanlar23[DistrictName],Tumanlar23[DistrictId])</f>
        <v>#N/A</v>
      </c>
      <c r="K338" s="24"/>
      <c r="L338" s="10" t="e">
        <f>_xlfn.XLOOKUP(K338,Ташкилотлар39[Ташкилотлар],Ташкилотлар39[TashklilotID])</f>
        <v>#N/A</v>
      </c>
      <c r="M338" s="26"/>
      <c r="N338" s="26"/>
      <c r="O338" s="24"/>
      <c r="P338" s="2"/>
      <c r="Q338" s="26"/>
      <c r="R338" s="26"/>
      <c r="S338" s="26"/>
      <c r="T338" s="26"/>
      <c r="U338" s="24"/>
      <c r="V338" s="10" t="e">
        <f>_xlfn.XLOOKUP(U338,Таклифлар37[Таклифлар],Таклифлар37[TaklifID])</f>
        <v>#N/A</v>
      </c>
      <c r="W338" s="24"/>
      <c r="X338" s="23"/>
      <c r="Y338" s="7"/>
      <c r="Z338" s="26"/>
      <c r="AB338" s="23"/>
      <c r="AD338" s="2"/>
      <c r="AG338" s="23"/>
      <c r="AI338" s="26"/>
      <c r="AJ338" s="23"/>
      <c r="AM338" s="23"/>
      <c r="AO338" s="32"/>
      <c r="AP338" s="26"/>
      <c r="AR338" s="26"/>
      <c r="AS338" s="27"/>
      <c r="AT338" s="27"/>
      <c r="AU338" s="31"/>
      <c r="AV338" s="24"/>
      <c r="AW338"/>
      <c r="AX338"/>
      <c r="AY338"/>
      <c r="AZ338"/>
      <c r="BA338"/>
      <c r="BB338"/>
      <c r="BC338"/>
      <c r="BD338"/>
      <c r="BE338"/>
      <c r="BF338"/>
      <c r="BG338"/>
    </row>
    <row r="339" spans="2:59" x14ac:dyDescent="0.25">
      <c r="B339" s="22"/>
      <c r="C339" s="23"/>
      <c r="E339" s="23"/>
      <c r="F339" s="24"/>
      <c r="G339" s="2"/>
      <c r="H339" s="10" t="e">
        <f>_xlfn.XLOOKUP(F339,Viloyatlar24[RegionName],Viloyatlar24[RegionId])</f>
        <v>#N/A</v>
      </c>
      <c r="I339" s="10" t="e">
        <f>_xlfn.XLOOKUP('Кўчмас мулк объектлари'!G339,Tumanlar23[DistrictName],Tumanlar23[DistrictId])</f>
        <v>#N/A</v>
      </c>
      <c r="K339" s="24"/>
      <c r="L339" s="10" t="e">
        <f>_xlfn.XLOOKUP(K339,Ташкилотлар39[Ташкилотлар],Ташкилотлар39[TashklilotID])</f>
        <v>#N/A</v>
      </c>
      <c r="M339" s="26"/>
      <c r="N339" s="26"/>
      <c r="O339" s="24"/>
      <c r="P339" s="2"/>
      <c r="Q339" s="26"/>
      <c r="R339" s="26"/>
      <c r="S339" s="26"/>
      <c r="T339" s="26"/>
      <c r="U339" s="24"/>
      <c r="V339" s="10" t="e">
        <f>_xlfn.XLOOKUP(U339,Таклифлар37[Таклифлар],Таклифлар37[TaklifID])</f>
        <v>#N/A</v>
      </c>
      <c r="W339" s="24"/>
      <c r="X339" s="23"/>
      <c r="Y339" s="7"/>
      <c r="Z339" s="26"/>
      <c r="AB339" s="23"/>
      <c r="AD339" s="2"/>
      <c r="AG339" s="23"/>
      <c r="AI339" s="26"/>
      <c r="AJ339" s="23"/>
      <c r="AM339" s="23"/>
      <c r="AO339" s="32"/>
      <c r="AP339" s="26"/>
      <c r="AR339" s="26"/>
      <c r="AS339" s="27"/>
      <c r="AT339" s="27"/>
      <c r="AU339" s="31"/>
      <c r="AV339" s="24"/>
      <c r="AW339"/>
      <c r="AX339"/>
      <c r="AY339"/>
      <c r="AZ339"/>
      <c r="BA339"/>
      <c r="BB339"/>
      <c r="BC339"/>
      <c r="BD339"/>
      <c r="BE339"/>
      <c r="BF339"/>
      <c r="BG339"/>
    </row>
    <row r="340" spans="2:59" x14ac:dyDescent="0.25">
      <c r="B340" s="22"/>
      <c r="C340" s="23"/>
      <c r="E340" s="23"/>
      <c r="F340" s="24"/>
      <c r="G340" s="2"/>
      <c r="H340" s="10" t="e">
        <f>_xlfn.XLOOKUP(F340,Viloyatlar24[RegionName],Viloyatlar24[RegionId])</f>
        <v>#N/A</v>
      </c>
      <c r="I340" s="10" t="e">
        <f>_xlfn.XLOOKUP('Кўчмас мулк объектлари'!G340,Tumanlar23[DistrictName],Tumanlar23[DistrictId])</f>
        <v>#N/A</v>
      </c>
      <c r="K340" s="24"/>
      <c r="L340" s="10" t="e">
        <f>_xlfn.XLOOKUP(K340,Ташкилотлар39[Ташкилотлар],Ташкилотлар39[TashklilotID])</f>
        <v>#N/A</v>
      </c>
      <c r="M340" s="26"/>
      <c r="N340" s="26"/>
      <c r="O340" s="24"/>
      <c r="P340" s="2"/>
      <c r="Q340" s="26"/>
      <c r="R340" s="26"/>
      <c r="S340" s="26"/>
      <c r="T340" s="26"/>
      <c r="U340" s="24"/>
      <c r="V340" s="10" t="e">
        <f>_xlfn.XLOOKUP(U340,Таклифлар37[Таклифлар],Таклифлар37[TaklifID])</f>
        <v>#N/A</v>
      </c>
      <c r="W340" s="24"/>
      <c r="X340" s="23"/>
      <c r="Y340" s="7"/>
      <c r="Z340" s="26"/>
      <c r="AB340" s="23"/>
      <c r="AD340" s="2"/>
      <c r="AG340" s="23"/>
      <c r="AI340" s="26"/>
      <c r="AJ340" s="23"/>
      <c r="AM340" s="23"/>
      <c r="AO340" s="32"/>
      <c r="AP340" s="26"/>
      <c r="AR340" s="26"/>
      <c r="AS340" s="27"/>
      <c r="AT340" s="27"/>
      <c r="AU340" s="31"/>
      <c r="AV340" s="24"/>
      <c r="AW340"/>
      <c r="AX340"/>
      <c r="AY340"/>
      <c r="AZ340"/>
      <c r="BA340"/>
      <c r="BB340"/>
      <c r="BC340"/>
      <c r="BD340"/>
      <c r="BE340"/>
      <c r="BF340"/>
      <c r="BG340"/>
    </row>
    <row r="341" spans="2:59" x14ac:dyDescent="0.25">
      <c r="B341" s="22"/>
      <c r="C341" s="23"/>
      <c r="E341" s="23"/>
      <c r="F341" s="24"/>
      <c r="G341" s="2"/>
      <c r="H341" s="10" t="e">
        <f>_xlfn.XLOOKUP(F341,Viloyatlar24[RegionName],Viloyatlar24[RegionId])</f>
        <v>#N/A</v>
      </c>
      <c r="I341" s="10" t="e">
        <f>_xlfn.XLOOKUP('Кўчмас мулк объектлари'!G341,Tumanlar23[DistrictName],Tumanlar23[DistrictId])</f>
        <v>#N/A</v>
      </c>
      <c r="K341" s="24"/>
      <c r="L341" s="10" t="e">
        <f>_xlfn.XLOOKUP(K341,Ташкилотлар39[Ташкилотлар],Ташкилотлар39[TashklilotID])</f>
        <v>#N/A</v>
      </c>
      <c r="M341" s="26"/>
      <c r="N341" s="26"/>
      <c r="O341" s="24"/>
      <c r="P341" s="2"/>
      <c r="Q341" s="26"/>
      <c r="R341" s="26"/>
      <c r="S341" s="26"/>
      <c r="T341" s="26"/>
      <c r="U341" s="24"/>
      <c r="V341" s="10" t="e">
        <f>_xlfn.XLOOKUP(U341,Таклифлар37[Таклифлар],Таклифлар37[TaklifID])</f>
        <v>#N/A</v>
      </c>
      <c r="W341" s="24"/>
      <c r="X341" s="23"/>
      <c r="Y341" s="7"/>
      <c r="Z341" s="26"/>
      <c r="AB341" s="23"/>
      <c r="AD341" s="2"/>
      <c r="AG341" s="23"/>
      <c r="AI341" s="26"/>
      <c r="AJ341" s="23"/>
      <c r="AM341" s="23"/>
      <c r="AO341" s="32"/>
      <c r="AP341" s="26"/>
      <c r="AR341" s="26"/>
      <c r="AS341" s="27"/>
      <c r="AT341" s="27"/>
      <c r="AU341" s="31"/>
      <c r="AV341" s="24"/>
      <c r="AW341"/>
      <c r="AX341"/>
      <c r="AY341"/>
      <c r="AZ341"/>
      <c r="BA341"/>
      <c r="BB341"/>
      <c r="BC341"/>
      <c r="BD341"/>
      <c r="BE341"/>
      <c r="BF341"/>
      <c r="BG341"/>
    </row>
    <row r="342" spans="2:59" x14ac:dyDescent="0.25">
      <c r="B342" s="22"/>
      <c r="C342" s="23"/>
      <c r="E342" s="23"/>
      <c r="F342" s="24"/>
      <c r="G342" s="2"/>
      <c r="H342" s="10" t="e">
        <f>_xlfn.XLOOKUP(F342,Viloyatlar24[RegionName],Viloyatlar24[RegionId])</f>
        <v>#N/A</v>
      </c>
      <c r="I342" s="10" t="e">
        <f>_xlfn.XLOOKUP('Кўчмас мулк объектлари'!G342,Tumanlar23[DistrictName],Tumanlar23[DistrictId])</f>
        <v>#N/A</v>
      </c>
      <c r="K342" s="24"/>
      <c r="L342" s="10" t="e">
        <f>_xlfn.XLOOKUP(K342,Ташкилотлар39[Ташкилотлар],Ташкилотлар39[TashklilotID])</f>
        <v>#N/A</v>
      </c>
      <c r="M342" s="26"/>
      <c r="N342" s="26"/>
      <c r="O342" s="24"/>
      <c r="P342" s="2"/>
      <c r="Q342" s="26"/>
      <c r="R342" s="26"/>
      <c r="S342" s="26"/>
      <c r="T342" s="26"/>
      <c r="U342" s="24"/>
      <c r="V342" s="10" t="e">
        <f>_xlfn.XLOOKUP(U342,Таклифлар37[Таклифлар],Таклифлар37[TaklifID])</f>
        <v>#N/A</v>
      </c>
      <c r="W342" s="24"/>
      <c r="X342" s="23"/>
      <c r="Y342" s="7"/>
      <c r="Z342" s="26"/>
      <c r="AB342" s="23"/>
      <c r="AD342" s="2"/>
      <c r="AG342" s="23"/>
      <c r="AI342" s="26"/>
      <c r="AJ342" s="23"/>
      <c r="AM342" s="23"/>
      <c r="AO342" s="32"/>
      <c r="AP342" s="26"/>
      <c r="AR342" s="26"/>
      <c r="AS342" s="27"/>
      <c r="AT342" s="27"/>
      <c r="AU342" s="31"/>
      <c r="AV342" s="24"/>
      <c r="AW342"/>
      <c r="AX342"/>
      <c r="AY342"/>
      <c r="AZ342"/>
      <c r="BA342"/>
      <c r="BB342"/>
      <c r="BC342"/>
      <c r="BD342"/>
      <c r="BE342"/>
      <c r="BF342"/>
      <c r="BG342"/>
    </row>
    <row r="343" spans="2:59" x14ac:dyDescent="0.25">
      <c r="B343" s="22"/>
      <c r="C343" s="23"/>
      <c r="E343" s="23"/>
      <c r="F343" s="24"/>
      <c r="G343" s="2"/>
      <c r="H343" s="10" t="e">
        <f>_xlfn.XLOOKUP(F343,Viloyatlar24[RegionName],Viloyatlar24[RegionId])</f>
        <v>#N/A</v>
      </c>
      <c r="I343" s="10" t="e">
        <f>_xlfn.XLOOKUP('Кўчмас мулк объектлари'!G343,Tumanlar23[DistrictName],Tumanlar23[DistrictId])</f>
        <v>#N/A</v>
      </c>
      <c r="K343" s="24"/>
      <c r="L343" s="10" t="e">
        <f>_xlfn.XLOOKUP(K343,Ташкилотлар39[Ташкилотлар],Ташкилотлар39[TashklilotID])</f>
        <v>#N/A</v>
      </c>
      <c r="M343" s="26"/>
      <c r="N343" s="26"/>
      <c r="O343" s="24"/>
      <c r="P343" s="2"/>
      <c r="Q343" s="26"/>
      <c r="R343" s="26"/>
      <c r="S343" s="26"/>
      <c r="T343" s="26"/>
      <c r="U343" s="24"/>
      <c r="V343" s="10" t="e">
        <f>_xlfn.XLOOKUP(U343,Таклифлар37[Таклифлар],Таклифлар37[TaklifID])</f>
        <v>#N/A</v>
      </c>
      <c r="W343" s="24"/>
      <c r="X343" s="23"/>
      <c r="Y343" s="7"/>
      <c r="Z343" s="26"/>
      <c r="AB343" s="23"/>
      <c r="AD343" s="2"/>
      <c r="AG343" s="23"/>
      <c r="AI343" s="26"/>
      <c r="AJ343" s="23"/>
      <c r="AM343" s="23"/>
      <c r="AO343" s="32"/>
      <c r="AP343" s="26"/>
      <c r="AR343" s="26"/>
      <c r="AS343" s="27"/>
      <c r="AT343" s="27"/>
      <c r="AU343" s="31"/>
      <c r="AV343" s="24"/>
      <c r="AW343"/>
      <c r="AX343"/>
      <c r="AY343"/>
      <c r="AZ343"/>
      <c r="BA343"/>
      <c r="BB343"/>
      <c r="BC343"/>
      <c r="BD343"/>
      <c r="BE343"/>
      <c r="BF343"/>
      <c r="BG343"/>
    </row>
    <row r="344" spans="2:59" x14ac:dyDescent="0.25">
      <c r="B344" s="22"/>
      <c r="C344" s="23"/>
      <c r="E344" s="23"/>
      <c r="F344" s="24"/>
      <c r="G344" s="2"/>
      <c r="H344" s="10" t="e">
        <f>_xlfn.XLOOKUP(F344,Viloyatlar24[RegionName],Viloyatlar24[RegionId])</f>
        <v>#N/A</v>
      </c>
      <c r="I344" s="10" t="e">
        <f>_xlfn.XLOOKUP('Кўчмас мулк объектлари'!G344,Tumanlar23[DistrictName],Tumanlar23[DistrictId])</f>
        <v>#N/A</v>
      </c>
      <c r="K344" s="24"/>
      <c r="L344" s="10" t="e">
        <f>_xlfn.XLOOKUP(K344,Ташкилотлар39[Ташкилотлар],Ташкилотлар39[TashklilotID])</f>
        <v>#N/A</v>
      </c>
      <c r="M344" s="26"/>
      <c r="N344" s="26"/>
      <c r="O344" s="24"/>
      <c r="P344" s="2"/>
      <c r="Q344" s="26"/>
      <c r="R344" s="26"/>
      <c r="S344" s="26"/>
      <c r="T344" s="26"/>
      <c r="U344" s="24"/>
      <c r="V344" s="10" t="e">
        <f>_xlfn.XLOOKUP(U344,Таклифлар37[Таклифлар],Таклифлар37[TaklifID])</f>
        <v>#N/A</v>
      </c>
      <c r="W344" s="24"/>
      <c r="X344" s="23"/>
      <c r="Y344" s="7"/>
      <c r="Z344" s="26"/>
      <c r="AB344" s="23"/>
      <c r="AD344" s="2"/>
      <c r="AG344" s="23"/>
      <c r="AI344" s="26"/>
      <c r="AJ344" s="23"/>
      <c r="AM344" s="23"/>
      <c r="AO344" s="32"/>
      <c r="AP344" s="26"/>
      <c r="AR344" s="26"/>
      <c r="AS344" s="27"/>
      <c r="AT344" s="27"/>
      <c r="AU344" s="31"/>
      <c r="AV344" s="24"/>
      <c r="AW344"/>
      <c r="AX344"/>
      <c r="AY344"/>
      <c r="AZ344"/>
      <c r="BA344"/>
      <c r="BB344"/>
      <c r="BC344"/>
      <c r="BD344"/>
      <c r="BE344"/>
      <c r="BF344"/>
      <c r="BG344"/>
    </row>
    <row r="345" spans="2:59" x14ac:dyDescent="0.25">
      <c r="B345" s="22"/>
      <c r="C345" s="23"/>
      <c r="E345" s="23"/>
      <c r="F345" s="24"/>
      <c r="G345" s="2"/>
      <c r="H345" s="10" t="e">
        <f>_xlfn.XLOOKUP(F345,Viloyatlar24[RegionName],Viloyatlar24[RegionId])</f>
        <v>#N/A</v>
      </c>
      <c r="I345" s="10" t="e">
        <f>_xlfn.XLOOKUP('Кўчмас мулк объектлари'!G345,Tumanlar23[DistrictName],Tumanlar23[DistrictId])</f>
        <v>#N/A</v>
      </c>
      <c r="K345" s="24"/>
      <c r="L345" s="10" t="e">
        <f>_xlfn.XLOOKUP(K345,Ташкилотлар39[Ташкилотлар],Ташкилотлар39[TashklilotID])</f>
        <v>#N/A</v>
      </c>
      <c r="M345" s="26"/>
      <c r="N345" s="26"/>
      <c r="O345" s="24"/>
      <c r="P345" s="2"/>
      <c r="Q345" s="26"/>
      <c r="R345" s="26"/>
      <c r="S345" s="26"/>
      <c r="T345" s="26"/>
      <c r="U345" s="24"/>
      <c r="V345" s="10" t="e">
        <f>_xlfn.XLOOKUP(U345,Таклифлар37[Таклифлар],Таклифлар37[TaklifID])</f>
        <v>#N/A</v>
      </c>
      <c r="W345" s="24"/>
      <c r="X345" s="23"/>
      <c r="Y345" s="7"/>
      <c r="Z345" s="26"/>
      <c r="AB345" s="23"/>
      <c r="AD345" s="2"/>
      <c r="AG345" s="23"/>
      <c r="AI345" s="26"/>
      <c r="AJ345" s="23"/>
      <c r="AM345" s="23"/>
      <c r="AO345" s="32"/>
      <c r="AP345" s="26"/>
      <c r="AR345" s="26"/>
      <c r="AS345" s="27"/>
      <c r="AT345" s="27"/>
      <c r="AU345" s="31"/>
      <c r="AV345" s="24"/>
      <c r="AW345"/>
      <c r="AX345"/>
      <c r="AY345"/>
      <c r="AZ345"/>
      <c r="BA345"/>
      <c r="BB345"/>
      <c r="BC345"/>
      <c r="BD345"/>
      <c r="BE345"/>
      <c r="BF345"/>
      <c r="BG345"/>
    </row>
    <row r="346" spans="2:59" x14ac:dyDescent="0.25">
      <c r="B346" s="22"/>
      <c r="C346" s="23"/>
      <c r="E346" s="23"/>
      <c r="F346" s="24"/>
      <c r="G346" s="2"/>
      <c r="H346" s="10" t="e">
        <f>_xlfn.XLOOKUP(F346,Viloyatlar24[RegionName],Viloyatlar24[RegionId])</f>
        <v>#N/A</v>
      </c>
      <c r="I346" s="10" t="e">
        <f>_xlfn.XLOOKUP('Кўчмас мулк объектлари'!G346,Tumanlar23[DistrictName],Tumanlar23[DistrictId])</f>
        <v>#N/A</v>
      </c>
      <c r="K346" s="24"/>
      <c r="L346" s="10" t="e">
        <f>_xlfn.XLOOKUP(K346,Ташкилотлар39[Ташкилотлар],Ташкилотлар39[TashklilotID])</f>
        <v>#N/A</v>
      </c>
      <c r="M346" s="26"/>
      <c r="N346" s="26"/>
      <c r="O346" s="24"/>
      <c r="P346" s="2"/>
      <c r="Q346" s="26"/>
      <c r="R346" s="26"/>
      <c r="S346" s="26"/>
      <c r="T346" s="26"/>
      <c r="U346" s="24"/>
      <c r="V346" s="10" t="e">
        <f>_xlfn.XLOOKUP(U346,Таклифлар37[Таклифлар],Таклифлар37[TaklifID])</f>
        <v>#N/A</v>
      </c>
      <c r="W346" s="24"/>
      <c r="X346" s="23"/>
      <c r="Y346" s="7"/>
      <c r="Z346" s="26"/>
      <c r="AB346" s="23"/>
      <c r="AD346" s="2"/>
      <c r="AG346" s="23"/>
      <c r="AI346" s="26"/>
      <c r="AJ346" s="23"/>
      <c r="AM346" s="23"/>
      <c r="AO346" s="32"/>
      <c r="AP346" s="26"/>
      <c r="AR346" s="26"/>
      <c r="AS346" s="27"/>
      <c r="AT346" s="27"/>
      <c r="AU346" s="31"/>
      <c r="AV346" s="24"/>
      <c r="AW346"/>
      <c r="AX346"/>
      <c r="AY346"/>
      <c r="AZ346"/>
      <c r="BA346"/>
      <c r="BB346"/>
      <c r="BC346"/>
      <c r="BD346"/>
      <c r="BE346"/>
      <c r="BF346"/>
      <c r="BG346"/>
    </row>
    <row r="347" spans="2:59" x14ac:dyDescent="0.25">
      <c r="B347" s="22"/>
      <c r="C347" s="23"/>
      <c r="E347" s="23"/>
      <c r="F347" s="24"/>
      <c r="G347" s="2"/>
      <c r="H347" s="10" t="e">
        <f>_xlfn.XLOOKUP(F347,Viloyatlar24[RegionName],Viloyatlar24[RegionId])</f>
        <v>#N/A</v>
      </c>
      <c r="I347" s="10" t="e">
        <f>_xlfn.XLOOKUP('Кўчмас мулк объектлари'!G347,Tumanlar23[DistrictName],Tumanlar23[DistrictId])</f>
        <v>#N/A</v>
      </c>
      <c r="K347" s="24"/>
      <c r="L347" s="10" t="e">
        <f>_xlfn.XLOOKUP(K347,Ташкилотлар39[Ташкилотлар],Ташкилотлар39[TashklilotID])</f>
        <v>#N/A</v>
      </c>
      <c r="M347" s="26"/>
      <c r="N347" s="26"/>
      <c r="O347" s="24"/>
      <c r="P347" s="2"/>
      <c r="Q347" s="26"/>
      <c r="R347" s="26"/>
      <c r="S347" s="26"/>
      <c r="T347" s="26"/>
      <c r="U347" s="24"/>
      <c r="V347" s="10" t="e">
        <f>_xlfn.XLOOKUP(U347,Таклифлар37[Таклифлар],Таклифлар37[TaklifID])</f>
        <v>#N/A</v>
      </c>
      <c r="W347" s="24"/>
      <c r="X347" s="23"/>
      <c r="Y347" s="7"/>
      <c r="Z347" s="26"/>
      <c r="AB347" s="23"/>
      <c r="AD347" s="2"/>
      <c r="AG347" s="23"/>
      <c r="AI347" s="26"/>
      <c r="AJ347" s="23"/>
      <c r="AM347" s="23"/>
      <c r="AO347" s="32"/>
      <c r="AP347" s="26"/>
      <c r="AR347" s="26"/>
      <c r="AS347" s="27"/>
      <c r="AT347" s="27"/>
      <c r="AU347" s="31"/>
      <c r="AV347" s="24"/>
      <c r="AW347"/>
      <c r="AX347"/>
      <c r="AY347"/>
      <c r="AZ347"/>
      <c r="BA347"/>
      <c r="BB347"/>
      <c r="BC347"/>
      <c r="BD347"/>
      <c r="BE347"/>
      <c r="BF347"/>
      <c r="BG347"/>
    </row>
    <row r="348" spans="2:59" x14ac:dyDescent="0.25">
      <c r="B348" s="22"/>
      <c r="C348" s="23"/>
      <c r="E348" s="23"/>
      <c r="F348" s="24"/>
      <c r="G348" s="2"/>
      <c r="H348" s="10" t="e">
        <f>_xlfn.XLOOKUP(F348,Viloyatlar24[RegionName],Viloyatlar24[RegionId])</f>
        <v>#N/A</v>
      </c>
      <c r="I348" s="10" t="e">
        <f>_xlfn.XLOOKUP('Кўчмас мулк объектлари'!G348,Tumanlar23[DistrictName],Tumanlar23[DistrictId])</f>
        <v>#N/A</v>
      </c>
      <c r="K348" s="24"/>
      <c r="L348" s="10" t="e">
        <f>_xlfn.XLOOKUP(K348,Ташкилотлар39[Ташкилотлар],Ташкилотлар39[TashklilotID])</f>
        <v>#N/A</v>
      </c>
      <c r="M348" s="26"/>
      <c r="N348" s="26"/>
      <c r="O348" s="24"/>
      <c r="P348" s="2"/>
      <c r="Q348" s="26"/>
      <c r="R348" s="26"/>
      <c r="S348" s="26"/>
      <c r="T348" s="26"/>
      <c r="U348" s="24"/>
      <c r="V348" s="10" t="e">
        <f>_xlfn.XLOOKUP(U348,Таклифлар37[Таклифлар],Таклифлар37[TaklifID])</f>
        <v>#N/A</v>
      </c>
      <c r="W348" s="24"/>
      <c r="X348" s="23"/>
      <c r="Y348" s="7"/>
      <c r="Z348" s="26"/>
      <c r="AB348" s="23"/>
      <c r="AD348" s="2"/>
      <c r="AG348" s="23"/>
      <c r="AI348" s="26"/>
      <c r="AJ348" s="23"/>
      <c r="AM348" s="23"/>
      <c r="AO348" s="32"/>
      <c r="AP348" s="26"/>
      <c r="AR348" s="26"/>
      <c r="AS348" s="27"/>
      <c r="AT348" s="27"/>
      <c r="AU348" s="31"/>
      <c r="AV348" s="24"/>
      <c r="AW348"/>
      <c r="AX348"/>
      <c r="AY348"/>
      <c r="AZ348"/>
      <c r="BA348"/>
      <c r="BB348"/>
      <c r="BC348"/>
      <c r="BD348"/>
      <c r="BE348"/>
      <c r="BF348"/>
      <c r="BG348"/>
    </row>
    <row r="349" spans="2:59" x14ac:dyDescent="0.25">
      <c r="B349" s="22"/>
      <c r="C349" s="23"/>
      <c r="E349" s="23"/>
      <c r="F349" s="24"/>
      <c r="G349" s="2"/>
      <c r="H349" s="10" t="e">
        <f>_xlfn.XLOOKUP(F349,Viloyatlar24[RegionName],Viloyatlar24[RegionId])</f>
        <v>#N/A</v>
      </c>
      <c r="I349" s="10" t="e">
        <f>_xlfn.XLOOKUP('Кўчмас мулк объектлари'!G349,Tumanlar23[DistrictName],Tumanlar23[DistrictId])</f>
        <v>#N/A</v>
      </c>
      <c r="K349" s="24"/>
      <c r="L349" s="10" t="e">
        <f>_xlfn.XLOOKUP(K349,Ташкилотлар39[Ташкилотлар],Ташкилотлар39[TashklilotID])</f>
        <v>#N/A</v>
      </c>
      <c r="M349" s="26"/>
      <c r="N349" s="26"/>
      <c r="O349" s="24"/>
      <c r="P349" s="2"/>
      <c r="Q349" s="26"/>
      <c r="R349" s="26"/>
      <c r="S349" s="26"/>
      <c r="T349" s="26"/>
      <c r="U349" s="24"/>
      <c r="V349" s="10" t="e">
        <f>_xlfn.XLOOKUP(U349,Таклифлар37[Таклифлар],Таклифлар37[TaklifID])</f>
        <v>#N/A</v>
      </c>
      <c r="W349" s="24"/>
      <c r="X349" s="23"/>
      <c r="Y349" s="7"/>
      <c r="Z349" s="26"/>
      <c r="AB349" s="23"/>
      <c r="AD349" s="2"/>
      <c r="AG349" s="23"/>
      <c r="AI349" s="26"/>
      <c r="AJ349" s="23"/>
      <c r="AM349" s="23"/>
      <c r="AO349" s="32"/>
      <c r="AP349" s="26"/>
      <c r="AR349" s="26"/>
      <c r="AS349" s="27"/>
      <c r="AT349" s="27"/>
      <c r="AU349" s="31"/>
      <c r="AV349" s="24"/>
      <c r="AW349"/>
      <c r="AX349"/>
      <c r="AY349"/>
      <c r="AZ349"/>
      <c r="BA349"/>
      <c r="BB349"/>
      <c r="BC349"/>
      <c r="BD349"/>
      <c r="BE349"/>
      <c r="BF349"/>
      <c r="BG349"/>
    </row>
    <row r="350" spans="2:59" x14ac:dyDescent="0.25">
      <c r="B350" s="22"/>
      <c r="C350" s="23"/>
      <c r="E350" s="23"/>
      <c r="F350" s="24"/>
      <c r="G350" s="2"/>
      <c r="H350" s="10" t="e">
        <f>_xlfn.XLOOKUP(F350,Viloyatlar24[RegionName],Viloyatlar24[RegionId])</f>
        <v>#N/A</v>
      </c>
      <c r="I350" s="10" t="e">
        <f>_xlfn.XLOOKUP('Кўчмас мулк объектлари'!G350,Tumanlar23[DistrictName],Tumanlar23[DistrictId])</f>
        <v>#N/A</v>
      </c>
      <c r="K350" s="24"/>
      <c r="L350" s="10" t="e">
        <f>_xlfn.XLOOKUP(K350,Ташкилотлар39[Ташкилотлар],Ташкилотлар39[TashklilotID])</f>
        <v>#N/A</v>
      </c>
      <c r="M350" s="26"/>
      <c r="N350" s="26"/>
      <c r="O350" s="24"/>
      <c r="P350" s="2"/>
      <c r="Q350" s="26"/>
      <c r="R350" s="26"/>
      <c r="S350" s="26"/>
      <c r="T350" s="26"/>
      <c r="U350" s="24"/>
      <c r="V350" s="10" t="e">
        <f>_xlfn.XLOOKUP(U350,Таклифлар37[Таклифлар],Таклифлар37[TaklifID])</f>
        <v>#N/A</v>
      </c>
      <c r="W350" s="24"/>
      <c r="X350" s="23"/>
      <c r="Y350" s="7"/>
      <c r="Z350" s="26"/>
      <c r="AB350" s="23"/>
      <c r="AD350" s="2"/>
      <c r="AG350" s="23"/>
      <c r="AI350" s="26"/>
      <c r="AJ350" s="23"/>
      <c r="AM350" s="23"/>
      <c r="AO350" s="32"/>
      <c r="AP350" s="26"/>
      <c r="AR350" s="26"/>
      <c r="AS350" s="27"/>
      <c r="AT350" s="27"/>
      <c r="AU350" s="31"/>
      <c r="AV350" s="24"/>
      <c r="AW350"/>
      <c r="AX350"/>
      <c r="AY350"/>
      <c r="AZ350"/>
      <c r="BA350"/>
      <c r="BB350"/>
      <c r="BC350"/>
      <c r="BD350"/>
      <c r="BE350"/>
      <c r="BF350"/>
      <c r="BG350"/>
    </row>
    <row r="351" spans="2:59" x14ac:dyDescent="0.25">
      <c r="B351" s="22"/>
      <c r="C351" s="23"/>
      <c r="E351" s="23"/>
      <c r="F351" s="24"/>
      <c r="G351" s="2"/>
      <c r="H351" s="10" t="e">
        <f>_xlfn.XLOOKUP(F351,Viloyatlar24[RegionName],Viloyatlar24[RegionId])</f>
        <v>#N/A</v>
      </c>
      <c r="I351" s="10" t="e">
        <f>_xlfn.XLOOKUP('Кўчмас мулк объектлари'!G351,Tumanlar23[DistrictName],Tumanlar23[DistrictId])</f>
        <v>#N/A</v>
      </c>
      <c r="K351" s="24"/>
      <c r="L351" s="10" t="e">
        <f>_xlfn.XLOOKUP(K351,Ташкилотлар39[Ташкилотлар],Ташкилотлар39[TashklilotID])</f>
        <v>#N/A</v>
      </c>
      <c r="M351" s="26"/>
      <c r="N351" s="26"/>
      <c r="O351" s="24"/>
      <c r="P351" s="2"/>
      <c r="Q351" s="26"/>
      <c r="R351" s="26"/>
      <c r="S351" s="26"/>
      <c r="T351" s="26"/>
      <c r="U351" s="24"/>
      <c r="V351" s="10" t="e">
        <f>_xlfn.XLOOKUP(U351,Таклифлар37[Таклифлар],Таклифлар37[TaklifID])</f>
        <v>#N/A</v>
      </c>
      <c r="W351" s="24"/>
      <c r="X351" s="23"/>
      <c r="Y351" s="7"/>
      <c r="Z351" s="26"/>
      <c r="AB351" s="23"/>
      <c r="AD351" s="2"/>
      <c r="AG351" s="23"/>
      <c r="AI351" s="26"/>
      <c r="AJ351" s="23"/>
      <c r="AM351" s="23"/>
      <c r="AO351" s="32"/>
      <c r="AP351" s="26"/>
      <c r="AR351" s="26"/>
      <c r="AS351" s="27"/>
      <c r="AT351" s="27"/>
      <c r="AU351" s="31"/>
      <c r="AV351" s="24"/>
      <c r="AW351"/>
      <c r="AX351"/>
      <c r="AY351"/>
      <c r="AZ351"/>
      <c r="BA351"/>
      <c r="BB351"/>
      <c r="BC351"/>
      <c r="BD351"/>
      <c r="BE351"/>
      <c r="BF351"/>
      <c r="BG351"/>
    </row>
    <row r="352" spans="2:59" x14ac:dyDescent="0.25">
      <c r="B352" s="22"/>
      <c r="C352" s="23"/>
      <c r="E352" s="23"/>
      <c r="F352" s="24"/>
      <c r="G352" s="2"/>
      <c r="H352" s="10" t="e">
        <f>_xlfn.XLOOKUP(F352,Viloyatlar24[RegionName],Viloyatlar24[RegionId])</f>
        <v>#N/A</v>
      </c>
      <c r="I352" s="10" t="e">
        <f>_xlfn.XLOOKUP('Кўчмас мулк объектлари'!G352,Tumanlar23[DistrictName],Tumanlar23[DistrictId])</f>
        <v>#N/A</v>
      </c>
      <c r="K352" s="24"/>
      <c r="L352" s="10" t="e">
        <f>_xlfn.XLOOKUP(K352,Ташкилотлар39[Ташкилотлар],Ташкилотлар39[TashklilotID])</f>
        <v>#N/A</v>
      </c>
      <c r="M352" s="26"/>
      <c r="N352" s="26"/>
      <c r="O352" s="24"/>
      <c r="P352" s="2"/>
      <c r="Q352" s="26"/>
      <c r="R352" s="26"/>
      <c r="S352" s="26"/>
      <c r="T352" s="26"/>
      <c r="U352" s="24"/>
      <c r="V352" s="10" t="e">
        <f>_xlfn.XLOOKUP(U352,Таклифлар37[Таклифлар],Таклифлар37[TaklifID])</f>
        <v>#N/A</v>
      </c>
      <c r="W352" s="24"/>
      <c r="X352" s="23"/>
      <c r="Y352" s="7"/>
      <c r="Z352" s="26"/>
      <c r="AB352" s="23"/>
      <c r="AD352" s="2"/>
      <c r="AG352" s="23"/>
      <c r="AI352" s="26"/>
      <c r="AJ352" s="23"/>
      <c r="AM352" s="23"/>
      <c r="AO352" s="32"/>
      <c r="AP352" s="26"/>
      <c r="AR352" s="26"/>
      <c r="AS352" s="27"/>
      <c r="AT352" s="27"/>
      <c r="AU352" s="31"/>
      <c r="AV352" s="24"/>
      <c r="AW352"/>
      <c r="AX352"/>
      <c r="AY352"/>
      <c r="AZ352"/>
      <c r="BA352"/>
      <c r="BB352"/>
      <c r="BC352"/>
      <c r="BD352"/>
      <c r="BE352"/>
      <c r="BF352"/>
      <c r="BG352"/>
    </row>
    <row r="353" spans="2:59" x14ac:dyDescent="0.25">
      <c r="B353" s="22"/>
      <c r="C353" s="23"/>
      <c r="E353" s="23"/>
      <c r="F353" s="24"/>
      <c r="G353" s="2"/>
      <c r="H353" s="10" t="e">
        <f>_xlfn.XLOOKUP(F353,Viloyatlar24[RegionName],Viloyatlar24[RegionId])</f>
        <v>#N/A</v>
      </c>
      <c r="I353" s="10" t="e">
        <f>_xlfn.XLOOKUP('Кўчмас мулк объектлари'!G353,Tumanlar23[DistrictName],Tumanlar23[DistrictId])</f>
        <v>#N/A</v>
      </c>
      <c r="K353" s="24"/>
      <c r="L353" s="10" t="e">
        <f>_xlfn.XLOOKUP(K353,Ташкилотлар39[Ташкилотлар],Ташкилотлар39[TashklilotID])</f>
        <v>#N/A</v>
      </c>
      <c r="M353" s="26"/>
      <c r="N353" s="26"/>
      <c r="O353" s="24"/>
      <c r="P353" s="2"/>
      <c r="Q353" s="26"/>
      <c r="R353" s="26"/>
      <c r="S353" s="26"/>
      <c r="T353" s="26"/>
      <c r="U353" s="24"/>
      <c r="V353" s="10" t="e">
        <f>_xlfn.XLOOKUP(U353,Таклифлар37[Таклифлар],Таклифлар37[TaklifID])</f>
        <v>#N/A</v>
      </c>
      <c r="W353" s="24"/>
      <c r="X353" s="23"/>
      <c r="Y353" s="7"/>
      <c r="Z353" s="26"/>
      <c r="AB353" s="23"/>
      <c r="AD353" s="2"/>
      <c r="AG353" s="23"/>
      <c r="AI353" s="26"/>
      <c r="AJ353" s="23"/>
      <c r="AM353" s="23"/>
      <c r="AO353" s="32"/>
      <c r="AP353" s="26"/>
      <c r="AR353" s="26"/>
      <c r="AS353" s="27"/>
      <c r="AT353" s="27"/>
      <c r="AU353" s="31"/>
      <c r="AV353" s="24"/>
      <c r="AW353"/>
      <c r="AX353"/>
      <c r="AY353"/>
      <c r="AZ353"/>
      <c r="BA353"/>
      <c r="BB353"/>
      <c r="BC353"/>
      <c r="BD353"/>
      <c r="BE353"/>
      <c r="BF353"/>
      <c r="BG353"/>
    </row>
    <row r="354" spans="2:59" x14ac:dyDescent="0.25">
      <c r="B354" s="22"/>
      <c r="C354" s="23"/>
      <c r="E354" s="23"/>
      <c r="F354" s="24"/>
      <c r="G354" s="2"/>
      <c r="H354" s="10" t="e">
        <f>_xlfn.XLOOKUP(F354,Viloyatlar24[RegionName],Viloyatlar24[RegionId])</f>
        <v>#N/A</v>
      </c>
      <c r="I354" s="10" t="e">
        <f>_xlfn.XLOOKUP('Кўчмас мулк объектлари'!G354,Tumanlar23[DistrictName],Tumanlar23[DistrictId])</f>
        <v>#N/A</v>
      </c>
      <c r="K354" s="24"/>
      <c r="L354" s="10" t="e">
        <f>_xlfn.XLOOKUP(K354,Ташкилотлар39[Ташкилотлар],Ташкилотлар39[TashklilotID])</f>
        <v>#N/A</v>
      </c>
      <c r="M354" s="26"/>
      <c r="N354" s="26"/>
      <c r="O354" s="24"/>
      <c r="P354" s="2"/>
      <c r="Q354" s="26"/>
      <c r="R354" s="26"/>
      <c r="S354" s="26"/>
      <c r="T354" s="26"/>
      <c r="U354" s="24"/>
      <c r="V354" s="10" t="e">
        <f>_xlfn.XLOOKUP(U354,Таклифлар37[Таклифлар],Таклифлар37[TaklifID])</f>
        <v>#N/A</v>
      </c>
      <c r="W354" s="24"/>
      <c r="X354" s="23"/>
      <c r="Y354" s="7"/>
      <c r="Z354" s="26"/>
      <c r="AB354" s="23"/>
      <c r="AD354" s="2"/>
      <c r="AG354" s="23"/>
      <c r="AI354" s="26"/>
      <c r="AJ354" s="23"/>
      <c r="AM354" s="23"/>
      <c r="AO354" s="32"/>
      <c r="AP354" s="26"/>
      <c r="AR354" s="26"/>
      <c r="AS354" s="27"/>
      <c r="AT354" s="27"/>
      <c r="AU354" s="31"/>
      <c r="AV354" s="24"/>
      <c r="AW354"/>
      <c r="AX354"/>
      <c r="AY354"/>
      <c r="AZ354"/>
      <c r="BA354"/>
      <c r="BB354"/>
      <c r="BC354"/>
      <c r="BD354"/>
      <c r="BE354"/>
      <c r="BF354"/>
      <c r="BG354"/>
    </row>
    <row r="355" spans="2:59" x14ac:dyDescent="0.25">
      <c r="B355" s="22"/>
      <c r="C355" s="23"/>
      <c r="E355" s="23"/>
      <c r="F355" s="24"/>
      <c r="G355" s="2"/>
      <c r="H355" s="10" t="e">
        <f>_xlfn.XLOOKUP(F355,Viloyatlar24[RegionName],Viloyatlar24[RegionId])</f>
        <v>#N/A</v>
      </c>
      <c r="I355" s="10" t="e">
        <f>_xlfn.XLOOKUP('Кўчмас мулк объектлари'!G355,Tumanlar23[DistrictName],Tumanlar23[DistrictId])</f>
        <v>#N/A</v>
      </c>
      <c r="K355" s="24"/>
      <c r="L355" s="10" t="e">
        <f>_xlfn.XLOOKUP(K355,Ташкилотлар39[Ташкилотлар],Ташкилотлар39[TashklilotID])</f>
        <v>#N/A</v>
      </c>
      <c r="M355" s="26"/>
      <c r="N355" s="26"/>
      <c r="O355" s="24"/>
      <c r="P355" s="2"/>
      <c r="Q355" s="26"/>
      <c r="R355" s="26"/>
      <c r="S355" s="26"/>
      <c r="T355" s="26"/>
      <c r="U355" s="24"/>
      <c r="V355" s="10" t="e">
        <f>_xlfn.XLOOKUP(U355,Таклифлар37[Таклифлар],Таклифлар37[TaklifID])</f>
        <v>#N/A</v>
      </c>
      <c r="W355" s="24"/>
      <c r="X355" s="23"/>
      <c r="Y355" s="7"/>
      <c r="Z355" s="26"/>
      <c r="AB355" s="23"/>
      <c r="AD355" s="2"/>
      <c r="AG355" s="23"/>
      <c r="AI355" s="26"/>
      <c r="AJ355" s="23"/>
      <c r="AM355" s="23"/>
      <c r="AO355" s="32"/>
      <c r="AP355" s="26"/>
      <c r="AR355" s="26"/>
      <c r="AS355" s="27"/>
      <c r="AT355" s="27"/>
      <c r="AU355" s="31"/>
      <c r="AV355" s="24"/>
      <c r="AW355"/>
      <c r="AX355"/>
      <c r="AY355"/>
      <c r="AZ355"/>
      <c r="BA355"/>
      <c r="BB355"/>
      <c r="BC355"/>
      <c r="BD355"/>
      <c r="BE355"/>
      <c r="BF355"/>
      <c r="BG355"/>
    </row>
    <row r="356" spans="2:59" x14ac:dyDescent="0.25">
      <c r="B356" s="22"/>
      <c r="C356" s="23"/>
      <c r="E356" s="23"/>
      <c r="F356" s="24"/>
      <c r="G356" s="2"/>
      <c r="H356" s="10" t="e">
        <f>_xlfn.XLOOKUP(F356,Viloyatlar24[RegionName],Viloyatlar24[RegionId])</f>
        <v>#N/A</v>
      </c>
      <c r="I356" s="10" t="e">
        <f>_xlfn.XLOOKUP('Кўчмас мулк объектлари'!G356,Tumanlar23[DistrictName],Tumanlar23[DistrictId])</f>
        <v>#N/A</v>
      </c>
      <c r="K356" s="24"/>
      <c r="L356" s="10" t="e">
        <f>_xlfn.XLOOKUP(K356,Ташкилотлар39[Ташкилотлар],Ташкилотлар39[TashklilotID])</f>
        <v>#N/A</v>
      </c>
      <c r="M356" s="26"/>
      <c r="N356" s="26"/>
      <c r="O356" s="24"/>
      <c r="P356" s="2"/>
      <c r="Q356" s="26"/>
      <c r="R356" s="26"/>
      <c r="S356" s="26"/>
      <c r="T356" s="26"/>
      <c r="U356" s="24"/>
      <c r="V356" s="10" t="e">
        <f>_xlfn.XLOOKUP(U356,Таклифлар37[Таклифлар],Таклифлар37[TaklifID])</f>
        <v>#N/A</v>
      </c>
      <c r="W356" s="24"/>
      <c r="X356" s="23"/>
      <c r="Y356" s="7"/>
      <c r="Z356" s="26"/>
      <c r="AB356" s="23"/>
      <c r="AD356" s="2"/>
      <c r="AG356" s="23"/>
      <c r="AI356" s="26"/>
      <c r="AJ356" s="23"/>
      <c r="AM356" s="23"/>
      <c r="AO356" s="32"/>
      <c r="AP356" s="26"/>
      <c r="AR356" s="26"/>
      <c r="AS356" s="27"/>
      <c r="AT356" s="27"/>
      <c r="AU356" s="31"/>
      <c r="AV356" s="24"/>
      <c r="AW356"/>
      <c r="AX356"/>
      <c r="AY356"/>
      <c r="AZ356"/>
      <c r="BA356"/>
      <c r="BB356"/>
      <c r="BC356"/>
      <c r="BD356"/>
      <c r="BE356"/>
      <c r="BF356"/>
      <c r="BG356"/>
    </row>
    <row r="357" spans="2:59" x14ac:dyDescent="0.25">
      <c r="B357" s="22"/>
      <c r="C357" s="23"/>
      <c r="E357" s="23"/>
      <c r="F357" s="24"/>
      <c r="G357" s="2"/>
      <c r="H357" s="10" t="e">
        <f>_xlfn.XLOOKUP(F357,Viloyatlar24[RegionName],Viloyatlar24[RegionId])</f>
        <v>#N/A</v>
      </c>
      <c r="I357" s="10" t="e">
        <f>_xlfn.XLOOKUP('Кўчмас мулк объектлари'!G357,Tumanlar23[DistrictName],Tumanlar23[DistrictId])</f>
        <v>#N/A</v>
      </c>
      <c r="K357" s="24"/>
      <c r="L357" s="10" t="e">
        <f>_xlfn.XLOOKUP(K357,Ташкилотлар39[Ташкилотлар],Ташкилотлар39[TashklilotID])</f>
        <v>#N/A</v>
      </c>
      <c r="M357" s="26"/>
      <c r="N357" s="26"/>
      <c r="O357" s="24"/>
      <c r="P357" s="2"/>
      <c r="Q357" s="26"/>
      <c r="R357" s="26"/>
      <c r="S357" s="26"/>
      <c r="T357" s="26"/>
      <c r="U357" s="24"/>
      <c r="V357" s="10" t="e">
        <f>_xlfn.XLOOKUP(U357,Таклифлар37[Таклифлар],Таклифлар37[TaklifID])</f>
        <v>#N/A</v>
      </c>
      <c r="W357" s="24"/>
      <c r="X357" s="23"/>
      <c r="Y357" s="7"/>
      <c r="Z357" s="26"/>
      <c r="AB357" s="23"/>
      <c r="AD357" s="2"/>
      <c r="AG357" s="23"/>
      <c r="AI357" s="26"/>
      <c r="AJ357" s="23"/>
      <c r="AM357" s="23"/>
      <c r="AO357" s="32"/>
      <c r="AP357" s="26"/>
      <c r="AR357" s="26"/>
      <c r="AS357" s="27"/>
      <c r="AT357" s="27"/>
      <c r="AU357" s="31"/>
      <c r="AV357" s="24"/>
      <c r="AW357"/>
      <c r="AX357"/>
      <c r="AY357"/>
      <c r="AZ357"/>
      <c r="BA357"/>
      <c r="BB357"/>
      <c r="BC357"/>
      <c r="BD357"/>
      <c r="BE357"/>
      <c r="BF357"/>
      <c r="BG357"/>
    </row>
    <row r="358" spans="2:59" x14ac:dyDescent="0.25">
      <c r="B358" s="22"/>
      <c r="C358" s="23"/>
      <c r="E358" s="23"/>
      <c r="F358" s="24"/>
      <c r="G358" s="2"/>
      <c r="H358" s="10" t="e">
        <f>_xlfn.XLOOKUP(F358,Viloyatlar24[RegionName],Viloyatlar24[RegionId])</f>
        <v>#N/A</v>
      </c>
      <c r="I358" s="10" t="e">
        <f>_xlfn.XLOOKUP('Кўчмас мулк объектлари'!G358,Tumanlar23[DistrictName],Tumanlar23[DistrictId])</f>
        <v>#N/A</v>
      </c>
      <c r="K358" s="24"/>
      <c r="L358" s="10" t="e">
        <f>_xlfn.XLOOKUP(K358,Ташкилотлар39[Ташкилотлар],Ташкилотлар39[TashklilotID])</f>
        <v>#N/A</v>
      </c>
      <c r="M358" s="26"/>
      <c r="N358" s="26"/>
      <c r="O358" s="24"/>
      <c r="P358" s="2"/>
      <c r="Q358" s="26"/>
      <c r="R358" s="26"/>
      <c r="S358" s="26"/>
      <c r="T358" s="26"/>
      <c r="U358" s="24"/>
      <c r="V358" s="10" t="e">
        <f>_xlfn.XLOOKUP(U358,Таклифлар37[Таклифлар],Таклифлар37[TaklifID])</f>
        <v>#N/A</v>
      </c>
      <c r="W358" s="24"/>
      <c r="X358" s="23"/>
      <c r="Y358" s="7"/>
      <c r="Z358" s="26"/>
      <c r="AB358" s="23"/>
      <c r="AD358" s="2"/>
      <c r="AG358" s="23"/>
      <c r="AI358" s="26"/>
      <c r="AJ358" s="23"/>
      <c r="AM358" s="23"/>
      <c r="AO358" s="32"/>
      <c r="AP358" s="26"/>
      <c r="AR358" s="26"/>
      <c r="AS358" s="27"/>
      <c r="AT358" s="27"/>
      <c r="AU358" s="31"/>
      <c r="AV358" s="24"/>
      <c r="AW358"/>
      <c r="AX358"/>
      <c r="AY358"/>
      <c r="AZ358"/>
      <c r="BA358"/>
      <c r="BB358"/>
      <c r="BC358"/>
      <c r="BD358"/>
      <c r="BE358"/>
      <c r="BF358"/>
      <c r="BG358"/>
    </row>
    <row r="359" spans="2:59" x14ac:dyDescent="0.25">
      <c r="B359" s="22"/>
      <c r="C359" s="23"/>
      <c r="E359" s="23"/>
      <c r="F359" s="24"/>
      <c r="G359" s="2"/>
      <c r="H359" s="10" t="e">
        <f>_xlfn.XLOOKUP(F359,Viloyatlar24[RegionName],Viloyatlar24[RegionId])</f>
        <v>#N/A</v>
      </c>
      <c r="I359" s="10" t="e">
        <f>_xlfn.XLOOKUP('Кўчмас мулк объектлари'!G359,Tumanlar23[DistrictName],Tumanlar23[DistrictId])</f>
        <v>#N/A</v>
      </c>
      <c r="K359" s="24"/>
      <c r="L359" s="10" t="e">
        <f>_xlfn.XLOOKUP(K359,Ташкилотлар39[Ташкилотлар],Ташкилотлар39[TashklilotID])</f>
        <v>#N/A</v>
      </c>
      <c r="M359" s="26"/>
      <c r="N359" s="26"/>
      <c r="O359" s="24"/>
      <c r="P359" s="2"/>
      <c r="Q359" s="26"/>
      <c r="R359" s="26"/>
      <c r="S359" s="26"/>
      <c r="T359" s="26"/>
      <c r="U359" s="24"/>
      <c r="V359" s="10" t="e">
        <f>_xlfn.XLOOKUP(U359,Таклифлар37[Таклифлар],Таклифлар37[TaklifID])</f>
        <v>#N/A</v>
      </c>
      <c r="W359" s="24"/>
      <c r="X359" s="23"/>
      <c r="Y359" s="7"/>
      <c r="Z359" s="26"/>
      <c r="AB359" s="23"/>
      <c r="AD359" s="2"/>
      <c r="AG359" s="23"/>
      <c r="AI359" s="26"/>
      <c r="AJ359" s="23"/>
      <c r="AM359" s="23"/>
      <c r="AO359" s="32"/>
      <c r="AP359" s="26"/>
      <c r="AR359" s="26"/>
      <c r="AS359" s="27"/>
      <c r="AT359" s="27"/>
      <c r="AU359" s="31"/>
      <c r="AV359" s="24"/>
      <c r="AW359"/>
      <c r="AX359"/>
      <c r="AY359"/>
      <c r="AZ359"/>
      <c r="BA359"/>
      <c r="BB359"/>
      <c r="BC359"/>
      <c r="BD359"/>
      <c r="BE359"/>
      <c r="BF359"/>
      <c r="BG359"/>
    </row>
    <row r="360" spans="2:59" x14ac:dyDescent="0.25">
      <c r="B360" s="22"/>
      <c r="C360" s="23"/>
      <c r="E360" s="23"/>
      <c r="F360" s="24"/>
      <c r="G360" s="2"/>
      <c r="H360" s="10" t="e">
        <f>_xlfn.XLOOKUP(F360,Viloyatlar24[RegionName],Viloyatlar24[RegionId])</f>
        <v>#N/A</v>
      </c>
      <c r="I360" s="10" t="e">
        <f>_xlfn.XLOOKUP('Кўчмас мулк объектлари'!G360,Tumanlar23[DistrictName],Tumanlar23[DistrictId])</f>
        <v>#N/A</v>
      </c>
      <c r="K360" s="24"/>
      <c r="L360" s="10" t="e">
        <f>_xlfn.XLOOKUP(K360,Ташкилотлар39[Ташкилотлар],Ташкилотлар39[TashklilotID])</f>
        <v>#N/A</v>
      </c>
      <c r="M360" s="26"/>
      <c r="N360" s="26"/>
      <c r="O360" s="24"/>
      <c r="P360" s="2"/>
      <c r="Q360" s="26"/>
      <c r="R360" s="26"/>
      <c r="S360" s="26"/>
      <c r="T360" s="26"/>
      <c r="U360" s="24"/>
      <c r="V360" s="10" t="e">
        <f>_xlfn.XLOOKUP(U360,Таклифлар37[Таклифлар],Таклифлар37[TaklifID])</f>
        <v>#N/A</v>
      </c>
      <c r="W360" s="24"/>
      <c r="X360" s="23"/>
      <c r="Y360" s="7"/>
      <c r="Z360" s="26"/>
      <c r="AB360" s="23"/>
      <c r="AD360" s="2"/>
      <c r="AG360" s="23"/>
      <c r="AI360" s="26"/>
      <c r="AJ360" s="23"/>
      <c r="AM360" s="23"/>
      <c r="AO360" s="32"/>
      <c r="AP360" s="26"/>
      <c r="AR360" s="26"/>
      <c r="AS360" s="27"/>
      <c r="AT360" s="27"/>
      <c r="AU360" s="31"/>
      <c r="AV360" s="24"/>
      <c r="AW360"/>
      <c r="AX360"/>
      <c r="AY360"/>
      <c r="AZ360"/>
      <c r="BA360"/>
      <c r="BB360"/>
      <c r="BC360"/>
      <c r="BD360"/>
      <c r="BE360"/>
      <c r="BF360"/>
      <c r="BG360"/>
    </row>
    <row r="361" spans="2:59" x14ac:dyDescent="0.25">
      <c r="B361" s="22"/>
      <c r="C361" s="23"/>
      <c r="E361" s="23"/>
      <c r="F361" s="24"/>
      <c r="G361" s="2"/>
      <c r="H361" s="10" t="e">
        <f>_xlfn.XLOOKUP(F361,Viloyatlar24[RegionName],Viloyatlar24[RegionId])</f>
        <v>#N/A</v>
      </c>
      <c r="I361" s="10" t="e">
        <f>_xlfn.XLOOKUP('Кўчмас мулк объектлари'!G361,Tumanlar23[DistrictName],Tumanlar23[DistrictId])</f>
        <v>#N/A</v>
      </c>
      <c r="K361" s="24"/>
      <c r="L361" s="10" t="e">
        <f>_xlfn.XLOOKUP(K361,Ташкилотлар39[Ташкилотлар],Ташкилотлар39[TashklilotID])</f>
        <v>#N/A</v>
      </c>
      <c r="M361" s="26"/>
      <c r="N361" s="26"/>
      <c r="O361" s="24"/>
      <c r="P361" s="2"/>
      <c r="Q361" s="26"/>
      <c r="R361" s="26"/>
      <c r="S361" s="26"/>
      <c r="T361" s="26"/>
      <c r="U361" s="24"/>
      <c r="V361" s="10" t="e">
        <f>_xlfn.XLOOKUP(U361,Таклифлар37[Таклифлар],Таклифлар37[TaklifID])</f>
        <v>#N/A</v>
      </c>
      <c r="W361" s="24"/>
      <c r="X361" s="23"/>
      <c r="Y361" s="7"/>
      <c r="Z361" s="26"/>
      <c r="AB361" s="23"/>
      <c r="AD361" s="2"/>
      <c r="AG361" s="23"/>
      <c r="AI361" s="26"/>
      <c r="AJ361" s="23"/>
      <c r="AM361" s="23"/>
      <c r="AO361" s="32"/>
      <c r="AP361" s="26"/>
      <c r="AR361" s="26"/>
      <c r="AS361" s="27"/>
      <c r="AT361" s="27"/>
      <c r="AU361" s="31"/>
      <c r="AV361" s="24"/>
      <c r="AW361"/>
      <c r="AX361"/>
      <c r="AY361"/>
      <c r="AZ361"/>
      <c r="BA361"/>
      <c r="BB361"/>
      <c r="BC361"/>
      <c r="BD361"/>
      <c r="BE361"/>
      <c r="BF361"/>
      <c r="BG361"/>
    </row>
    <row r="362" spans="2:59" x14ac:dyDescent="0.25">
      <c r="B362" s="22"/>
      <c r="C362" s="23"/>
      <c r="E362" s="23"/>
      <c r="F362" s="24"/>
      <c r="G362" s="2"/>
      <c r="H362" s="10" t="e">
        <f>_xlfn.XLOOKUP(F362,Viloyatlar24[RegionName],Viloyatlar24[RegionId])</f>
        <v>#N/A</v>
      </c>
      <c r="I362" s="10" t="e">
        <f>_xlfn.XLOOKUP('Кўчмас мулк объектлари'!G362,Tumanlar23[DistrictName],Tumanlar23[DistrictId])</f>
        <v>#N/A</v>
      </c>
      <c r="K362" s="24"/>
      <c r="L362" s="10" t="e">
        <f>_xlfn.XLOOKUP(K362,Ташкилотлар39[Ташкилотлар],Ташкилотлар39[TashklilotID])</f>
        <v>#N/A</v>
      </c>
      <c r="M362" s="26"/>
      <c r="N362" s="26"/>
      <c r="O362" s="24"/>
      <c r="P362" s="2"/>
      <c r="Q362" s="26"/>
      <c r="R362" s="26"/>
      <c r="S362" s="26"/>
      <c r="T362" s="26"/>
      <c r="U362" s="24"/>
      <c r="V362" s="10" t="e">
        <f>_xlfn.XLOOKUP(U362,Таклифлар37[Таклифлар],Таклифлар37[TaklifID])</f>
        <v>#N/A</v>
      </c>
      <c r="W362" s="24"/>
      <c r="X362" s="23"/>
      <c r="Y362" s="7"/>
      <c r="Z362" s="26"/>
      <c r="AB362" s="23"/>
      <c r="AD362" s="2"/>
      <c r="AG362" s="23"/>
      <c r="AI362" s="26"/>
      <c r="AJ362" s="23"/>
      <c r="AM362" s="23"/>
      <c r="AO362" s="32"/>
      <c r="AP362" s="26"/>
      <c r="AR362" s="26"/>
      <c r="AS362" s="27"/>
      <c r="AT362" s="27"/>
      <c r="AU362" s="31"/>
      <c r="AV362" s="24"/>
      <c r="AW362"/>
      <c r="AX362"/>
      <c r="AY362"/>
      <c r="AZ362"/>
      <c r="BA362"/>
      <c r="BB362"/>
      <c r="BC362"/>
      <c r="BD362"/>
      <c r="BE362"/>
      <c r="BF362"/>
      <c r="BG362"/>
    </row>
    <row r="363" spans="2:59" x14ac:dyDescent="0.25">
      <c r="B363" s="22"/>
      <c r="C363" s="23"/>
      <c r="E363" s="23"/>
      <c r="F363" s="24"/>
      <c r="G363" s="2"/>
      <c r="H363" s="10" t="e">
        <f>_xlfn.XLOOKUP(F363,Viloyatlar24[RegionName],Viloyatlar24[RegionId])</f>
        <v>#N/A</v>
      </c>
      <c r="I363" s="10" t="e">
        <f>_xlfn.XLOOKUP('Кўчмас мулк объектлари'!G363,Tumanlar23[DistrictName],Tumanlar23[DistrictId])</f>
        <v>#N/A</v>
      </c>
      <c r="K363" s="24"/>
      <c r="L363" s="10" t="e">
        <f>_xlfn.XLOOKUP(K363,Ташкилотлар39[Ташкилотлар],Ташкилотлар39[TashklilotID])</f>
        <v>#N/A</v>
      </c>
      <c r="M363" s="26"/>
      <c r="N363" s="26"/>
      <c r="O363" s="24"/>
      <c r="P363" s="2"/>
      <c r="Q363" s="26"/>
      <c r="R363" s="26"/>
      <c r="S363" s="26"/>
      <c r="T363" s="26"/>
      <c r="U363" s="24"/>
      <c r="V363" s="10" t="e">
        <f>_xlfn.XLOOKUP(U363,Таклифлар37[Таклифлар],Таклифлар37[TaklifID])</f>
        <v>#N/A</v>
      </c>
      <c r="W363" s="24"/>
      <c r="X363" s="23"/>
      <c r="Y363" s="7"/>
      <c r="Z363" s="26"/>
      <c r="AB363" s="23"/>
      <c r="AD363" s="2"/>
      <c r="AG363" s="23"/>
      <c r="AI363" s="26"/>
      <c r="AJ363" s="23"/>
      <c r="AM363" s="23"/>
      <c r="AO363" s="32"/>
      <c r="AP363" s="26"/>
      <c r="AR363" s="26"/>
      <c r="AS363" s="27"/>
      <c r="AT363" s="27"/>
      <c r="AU363" s="31"/>
      <c r="AV363" s="24"/>
      <c r="AW363"/>
      <c r="AX363"/>
      <c r="AY363"/>
      <c r="AZ363"/>
      <c r="BA363"/>
      <c r="BB363"/>
      <c r="BC363"/>
      <c r="BD363"/>
      <c r="BE363"/>
      <c r="BF363"/>
      <c r="BG363"/>
    </row>
    <row r="364" spans="2:59" x14ac:dyDescent="0.25">
      <c r="B364" s="22"/>
      <c r="C364" s="23"/>
      <c r="E364" s="23"/>
      <c r="F364" s="24"/>
      <c r="G364" s="2"/>
      <c r="H364" s="10" t="e">
        <f>_xlfn.XLOOKUP(F364,Viloyatlar24[RegionName],Viloyatlar24[RegionId])</f>
        <v>#N/A</v>
      </c>
      <c r="I364" s="10" t="e">
        <f>_xlfn.XLOOKUP('Кўчмас мулк объектлари'!G364,Tumanlar23[DistrictName],Tumanlar23[DistrictId])</f>
        <v>#N/A</v>
      </c>
      <c r="K364" s="24"/>
      <c r="L364" s="10" t="e">
        <f>_xlfn.XLOOKUP(K364,Ташкилотлар39[Ташкилотлар],Ташкилотлар39[TashklilotID])</f>
        <v>#N/A</v>
      </c>
      <c r="M364" s="26"/>
      <c r="N364" s="26"/>
      <c r="O364" s="24"/>
      <c r="P364" s="2"/>
      <c r="Q364" s="26"/>
      <c r="R364" s="26"/>
      <c r="S364" s="26"/>
      <c r="T364" s="26"/>
      <c r="U364" s="24"/>
      <c r="V364" s="10" t="e">
        <f>_xlfn.XLOOKUP(U364,Таклифлар37[Таклифлар],Таклифлар37[TaklifID])</f>
        <v>#N/A</v>
      </c>
      <c r="W364" s="24"/>
      <c r="X364" s="23"/>
      <c r="Y364" s="7"/>
      <c r="Z364" s="26"/>
      <c r="AB364" s="23"/>
      <c r="AD364" s="2"/>
      <c r="AG364" s="23"/>
      <c r="AI364" s="26"/>
      <c r="AJ364" s="23"/>
      <c r="AM364" s="23"/>
      <c r="AO364" s="32"/>
      <c r="AP364" s="26"/>
      <c r="AR364" s="26"/>
      <c r="AS364" s="27"/>
      <c r="AT364" s="27"/>
      <c r="AU364" s="31"/>
      <c r="AV364" s="24"/>
      <c r="AW364"/>
      <c r="AX364"/>
      <c r="AY364"/>
      <c r="AZ364"/>
      <c r="BA364"/>
      <c r="BB364"/>
      <c r="BC364"/>
      <c r="BD364"/>
      <c r="BE364"/>
      <c r="BF364"/>
      <c r="BG364"/>
    </row>
    <row r="365" spans="2:59" x14ac:dyDescent="0.25">
      <c r="B365" s="22"/>
      <c r="C365" s="23"/>
      <c r="E365" s="23"/>
      <c r="F365" s="24"/>
      <c r="G365" s="2"/>
      <c r="H365" s="10" t="e">
        <f>_xlfn.XLOOKUP(F365,Viloyatlar24[RegionName],Viloyatlar24[RegionId])</f>
        <v>#N/A</v>
      </c>
      <c r="I365" s="10" t="e">
        <f>_xlfn.XLOOKUP('Кўчмас мулк объектлари'!G365,Tumanlar23[DistrictName],Tumanlar23[DistrictId])</f>
        <v>#N/A</v>
      </c>
      <c r="K365" s="24"/>
      <c r="L365" s="10" t="e">
        <f>_xlfn.XLOOKUP(K365,Ташкилотлар39[Ташкилотлар],Ташкилотлар39[TashklilotID])</f>
        <v>#N/A</v>
      </c>
      <c r="M365" s="26"/>
      <c r="N365" s="26"/>
      <c r="O365" s="24"/>
      <c r="P365" s="2"/>
      <c r="Q365" s="26"/>
      <c r="R365" s="26"/>
      <c r="S365" s="26"/>
      <c r="T365" s="26"/>
      <c r="U365" s="24"/>
      <c r="V365" s="10" t="e">
        <f>_xlfn.XLOOKUP(U365,Таклифлар37[Таклифлар],Таклифлар37[TaklifID])</f>
        <v>#N/A</v>
      </c>
      <c r="W365" s="24"/>
      <c r="X365" s="23"/>
      <c r="Y365" s="7"/>
      <c r="Z365" s="26"/>
      <c r="AB365" s="23"/>
      <c r="AD365" s="2"/>
      <c r="AG365" s="23"/>
      <c r="AI365" s="26"/>
      <c r="AJ365" s="23"/>
      <c r="AM365" s="23"/>
      <c r="AO365" s="32"/>
      <c r="AP365" s="26"/>
      <c r="AR365" s="26"/>
      <c r="AS365" s="27"/>
      <c r="AT365" s="27"/>
      <c r="AU365" s="31"/>
      <c r="AV365" s="24"/>
      <c r="AW365"/>
      <c r="AX365"/>
      <c r="AY365"/>
      <c r="AZ365"/>
      <c r="BA365"/>
      <c r="BB365"/>
      <c r="BC365"/>
      <c r="BD365"/>
      <c r="BE365"/>
      <c r="BF365"/>
      <c r="BG365"/>
    </row>
    <row r="366" spans="2:59" x14ac:dyDescent="0.25">
      <c r="B366" s="22"/>
      <c r="C366" s="23"/>
      <c r="E366" s="23"/>
      <c r="F366" s="24"/>
      <c r="G366" s="2"/>
      <c r="H366" s="10" t="e">
        <f>_xlfn.XLOOKUP(F366,Viloyatlar24[RegionName],Viloyatlar24[RegionId])</f>
        <v>#N/A</v>
      </c>
      <c r="I366" s="10" t="e">
        <f>_xlfn.XLOOKUP('Кўчмас мулк объектлари'!G366,Tumanlar23[DistrictName],Tumanlar23[DistrictId])</f>
        <v>#N/A</v>
      </c>
      <c r="K366" s="24"/>
      <c r="L366" s="10" t="e">
        <f>_xlfn.XLOOKUP(K366,Ташкилотлар39[Ташкилотлар],Ташкилотлар39[TashklilotID])</f>
        <v>#N/A</v>
      </c>
      <c r="M366" s="26"/>
      <c r="N366" s="26"/>
      <c r="O366" s="24"/>
      <c r="P366" s="2"/>
      <c r="Q366" s="26"/>
      <c r="R366" s="26"/>
      <c r="S366" s="26"/>
      <c r="T366" s="26"/>
      <c r="U366" s="24"/>
      <c r="V366" s="10" t="e">
        <f>_xlfn.XLOOKUP(U366,Таклифлар37[Таклифлар],Таклифлар37[TaklifID])</f>
        <v>#N/A</v>
      </c>
      <c r="W366" s="24"/>
      <c r="X366" s="23"/>
      <c r="Y366" s="7"/>
      <c r="Z366" s="26"/>
      <c r="AB366" s="23"/>
      <c r="AD366" s="2"/>
      <c r="AG366" s="23"/>
      <c r="AI366" s="26"/>
      <c r="AJ366" s="23"/>
      <c r="AM366" s="23"/>
      <c r="AO366" s="32"/>
      <c r="AP366" s="26"/>
      <c r="AR366" s="26"/>
      <c r="AS366" s="27"/>
      <c r="AT366" s="27"/>
      <c r="AU366" s="31"/>
      <c r="AV366" s="24"/>
      <c r="AW366"/>
      <c r="AX366"/>
      <c r="AY366"/>
      <c r="AZ366"/>
      <c r="BA366"/>
      <c r="BB366"/>
      <c r="BC366"/>
      <c r="BD366"/>
      <c r="BE366"/>
      <c r="BF366"/>
      <c r="BG366"/>
    </row>
    <row r="367" spans="2:59" x14ac:dyDescent="0.25">
      <c r="B367" s="22"/>
      <c r="C367" s="23"/>
      <c r="E367" s="23"/>
      <c r="F367" s="24"/>
      <c r="G367" s="2"/>
      <c r="H367" s="10" t="e">
        <f>_xlfn.XLOOKUP(F367,Viloyatlar24[RegionName],Viloyatlar24[RegionId])</f>
        <v>#N/A</v>
      </c>
      <c r="I367" s="10" t="e">
        <f>_xlfn.XLOOKUP('Кўчмас мулк объектлари'!G367,Tumanlar23[DistrictName],Tumanlar23[DistrictId])</f>
        <v>#N/A</v>
      </c>
      <c r="K367" s="24"/>
      <c r="L367" s="10" t="e">
        <f>_xlfn.XLOOKUP(K367,Ташкилотлар39[Ташкилотлар],Ташкилотлар39[TashklilotID])</f>
        <v>#N/A</v>
      </c>
      <c r="M367" s="26"/>
      <c r="N367" s="26"/>
      <c r="O367" s="24"/>
      <c r="P367" s="2"/>
      <c r="Q367" s="26"/>
      <c r="R367" s="26"/>
      <c r="S367" s="26"/>
      <c r="T367" s="26"/>
      <c r="U367" s="24"/>
      <c r="V367" s="10" t="e">
        <f>_xlfn.XLOOKUP(U367,Таклифлар37[Таклифлар],Таклифлар37[TaklifID])</f>
        <v>#N/A</v>
      </c>
      <c r="W367" s="24"/>
      <c r="X367" s="23"/>
      <c r="Y367" s="7"/>
      <c r="Z367" s="26"/>
      <c r="AB367" s="23"/>
      <c r="AD367" s="2"/>
      <c r="AG367" s="23"/>
      <c r="AI367" s="26"/>
      <c r="AJ367" s="23"/>
      <c r="AM367" s="23"/>
      <c r="AO367" s="32"/>
      <c r="AP367" s="26"/>
      <c r="AR367" s="26"/>
      <c r="AS367" s="27"/>
      <c r="AT367" s="27"/>
      <c r="AU367" s="31"/>
      <c r="AV367" s="24"/>
      <c r="AW367"/>
      <c r="AX367"/>
      <c r="AY367"/>
      <c r="AZ367"/>
      <c r="BA367"/>
      <c r="BB367"/>
      <c r="BC367"/>
      <c r="BD367"/>
      <c r="BE367"/>
      <c r="BF367"/>
      <c r="BG367"/>
    </row>
    <row r="368" spans="2:59" x14ac:dyDescent="0.25">
      <c r="B368" s="22"/>
      <c r="C368" s="23"/>
      <c r="E368" s="23"/>
      <c r="F368" s="24"/>
      <c r="G368" s="2"/>
      <c r="H368" s="10" t="e">
        <f>_xlfn.XLOOKUP(F368,Viloyatlar24[RegionName],Viloyatlar24[RegionId])</f>
        <v>#N/A</v>
      </c>
      <c r="I368" s="10" t="e">
        <f>_xlfn.XLOOKUP('Кўчмас мулк объектлари'!G368,Tumanlar23[DistrictName],Tumanlar23[DistrictId])</f>
        <v>#N/A</v>
      </c>
      <c r="K368" s="24"/>
      <c r="L368" s="10" t="e">
        <f>_xlfn.XLOOKUP(K368,Ташкилотлар39[Ташкилотлар],Ташкилотлар39[TashklilotID])</f>
        <v>#N/A</v>
      </c>
      <c r="M368" s="26"/>
      <c r="N368" s="26"/>
      <c r="O368" s="24"/>
      <c r="P368" s="2"/>
      <c r="Q368" s="26"/>
      <c r="R368" s="26"/>
      <c r="S368" s="26"/>
      <c r="T368" s="26"/>
      <c r="U368" s="24"/>
      <c r="V368" s="10" t="e">
        <f>_xlfn.XLOOKUP(U368,Таклифлар37[Таклифлар],Таклифлар37[TaklifID])</f>
        <v>#N/A</v>
      </c>
      <c r="W368" s="24"/>
      <c r="X368" s="23"/>
      <c r="Y368" s="7"/>
      <c r="Z368" s="26"/>
      <c r="AB368" s="23"/>
      <c r="AD368" s="2"/>
      <c r="AG368" s="23"/>
      <c r="AI368" s="26"/>
      <c r="AJ368" s="23"/>
      <c r="AM368" s="23"/>
      <c r="AO368" s="32"/>
      <c r="AP368" s="26"/>
      <c r="AR368" s="26"/>
      <c r="AS368" s="27"/>
      <c r="AT368" s="27"/>
      <c r="AU368" s="31"/>
      <c r="AV368" s="24"/>
      <c r="AW368"/>
      <c r="AX368"/>
      <c r="AY368"/>
      <c r="AZ368"/>
      <c r="BA368"/>
      <c r="BB368"/>
      <c r="BC368"/>
      <c r="BD368"/>
      <c r="BE368"/>
      <c r="BF368"/>
      <c r="BG368"/>
    </row>
    <row r="369" spans="2:59" x14ac:dyDescent="0.25">
      <c r="B369" s="22"/>
      <c r="C369" s="23"/>
      <c r="E369" s="23"/>
      <c r="F369" s="24"/>
      <c r="G369" s="2"/>
      <c r="H369" s="10" t="e">
        <f>_xlfn.XLOOKUP(F369,Viloyatlar24[RegionName],Viloyatlar24[RegionId])</f>
        <v>#N/A</v>
      </c>
      <c r="I369" s="10" t="e">
        <f>_xlfn.XLOOKUP('Кўчмас мулк объектлари'!G369,Tumanlar23[DistrictName],Tumanlar23[DistrictId])</f>
        <v>#N/A</v>
      </c>
      <c r="K369" s="24"/>
      <c r="L369" s="10" t="e">
        <f>_xlfn.XLOOKUP(K369,Ташкилотлар39[Ташкилотлар],Ташкилотлар39[TashklilotID])</f>
        <v>#N/A</v>
      </c>
      <c r="M369" s="26"/>
      <c r="N369" s="26"/>
      <c r="O369" s="24"/>
      <c r="P369" s="2"/>
      <c r="Q369" s="26"/>
      <c r="R369" s="26"/>
      <c r="S369" s="26"/>
      <c r="T369" s="26"/>
      <c r="U369" s="24"/>
      <c r="V369" s="10" t="e">
        <f>_xlfn.XLOOKUP(U369,Таклифлар37[Таклифлар],Таклифлар37[TaklifID])</f>
        <v>#N/A</v>
      </c>
      <c r="W369" s="24"/>
      <c r="X369" s="23"/>
      <c r="Y369" s="7"/>
      <c r="Z369" s="26"/>
      <c r="AB369" s="23"/>
      <c r="AD369" s="2"/>
      <c r="AG369" s="23"/>
      <c r="AI369" s="26"/>
      <c r="AJ369" s="23"/>
      <c r="AM369" s="23"/>
      <c r="AO369" s="32"/>
      <c r="AP369" s="26"/>
      <c r="AR369" s="26"/>
      <c r="AS369" s="27"/>
      <c r="AT369" s="27"/>
      <c r="AU369" s="31"/>
      <c r="AV369" s="24"/>
      <c r="AW369"/>
      <c r="AX369"/>
      <c r="AY369"/>
      <c r="AZ369"/>
      <c r="BA369"/>
      <c r="BB369"/>
      <c r="BC369"/>
      <c r="BD369"/>
      <c r="BE369"/>
      <c r="BF369"/>
      <c r="BG369"/>
    </row>
    <row r="370" spans="2:59" x14ac:dyDescent="0.25">
      <c r="B370" s="22"/>
      <c r="C370" s="23"/>
      <c r="E370" s="23"/>
      <c r="F370" s="24"/>
      <c r="G370" s="2"/>
      <c r="H370" s="10" t="e">
        <f>_xlfn.XLOOKUP(F370,Viloyatlar24[RegionName],Viloyatlar24[RegionId])</f>
        <v>#N/A</v>
      </c>
      <c r="I370" s="10" t="e">
        <f>_xlfn.XLOOKUP('Кўчмас мулк объектлари'!G370,Tumanlar23[DistrictName],Tumanlar23[DistrictId])</f>
        <v>#N/A</v>
      </c>
      <c r="K370" s="24"/>
      <c r="L370" s="10" t="e">
        <f>_xlfn.XLOOKUP(K370,Ташкилотлар39[Ташкилотлар],Ташкилотлар39[TashklilotID])</f>
        <v>#N/A</v>
      </c>
      <c r="M370" s="26"/>
      <c r="N370" s="26"/>
      <c r="O370" s="24"/>
      <c r="P370" s="2"/>
      <c r="Q370" s="26"/>
      <c r="R370" s="26"/>
      <c r="S370" s="26"/>
      <c r="T370" s="26"/>
      <c r="U370" s="24"/>
      <c r="V370" s="10" t="e">
        <f>_xlfn.XLOOKUP(U370,Таклифлар37[Таклифлар],Таклифлар37[TaklifID])</f>
        <v>#N/A</v>
      </c>
      <c r="W370" s="24"/>
      <c r="X370" s="23"/>
      <c r="Y370" s="7"/>
      <c r="Z370" s="26"/>
      <c r="AB370" s="23"/>
      <c r="AD370" s="2"/>
      <c r="AG370" s="23"/>
      <c r="AI370" s="26"/>
      <c r="AJ370" s="23"/>
      <c r="AM370" s="23"/>
      <c r="AO370" s="32"/>
      <c r="AP370" s="26"/>
      <c r="AR370" s="26"/>
      <c r="AS370" s="27"/>
      <c r="AT370" s="27"/>
      <c r="AU370" s="31"/>
      <c r="AV370" s="24"/>
      <c r="AW370"/>
      <c r="AX370"/>
      <c r="AY370"/>
      <c r="AZ370"/>
      <c r="BA370"/>
      <c r="BB370"/>
      <c r="BC370"/>
      <c r="BD370"/>
      <c r="BE370"/>
      <c r="BF370"/>
      <c r="BG370"/>
    </row>
    <row r="371" spans="2:59" x14ac:dyDescent="0.25">
      <c r="B371" s="22"/>
      <c r="C371" s="23"/>
      <c r="E371" s="23"/>
      <c r="F371" s="24"/>
      <c r="G371" s="2"/>
      <c r="H371" s="10" t="e">
        <f>_xlfn.XLOOKUP(F371,Viloyatlar24[RegionName],Viloyatlar24[RegionId])</f>
        <v>#N/A</v>
      </c>
      <c r="I371" s="10" t="e">
        <f>_xlfn.XLOOKUP('Кўчмас мулк объектлари'!G371,Tumanlar23[DistrictName],Tumanlar23[DistrictId])</f>
        <v>#N/A</v>
      </c>
      <c r="K371" s="24"/>
      <c r="L371" s="10" t="e">
        <f>_xlfn.XLOOKUP(K371,Ташкилотлар39[Ташкилотлар],Ташкилотлар39[TashklilotID])</f>
        <v>#N/A</v>
      </c>
      <c r="M371" s="26"/>
      <c r="N371" s="26"/>
      <c r="O371" s="24"/>
      <c r="P371" s="2"/>
      <c r="Q371" s="26"/>
      <c r="R371" s="26"/>
      <c r="S371" s="26"/>
      <c r="T371" s="26"/>
      <c r="U371" s="24"/>
      <c r="V371" s="10" t="e">
        <f>_xlfn.XLOOKUP(U371,Таклифлар37[Таклифлар],Таклифлар37[TaklifID])</f>
        <v>#N/A</v>
      </c>
      <c r="W371" s="24"/>
      <c r="X371" s="23"/>
      <c r="Y371" s="7"/>
      <c r="Z371" s="26"/>
      <c r="AB371" s="23"/>
      <c r="AD371" s="2"/>
      <c r="AG371" s="23"/>
      <c r="AI371" s="26"/>
      <c r="AJ371" s="23"/>
      <c r="AM371" s="23"/>
      <c r="AO371" s="32"/>
      <c r="AP371" s="26"/>
      <c r="AR371" s="26"/>
      <c r="AS371" s="27"/>
      <c r="AT371" s="27"/>
      <c r="AU371" s="31"/>
      <c r="AV371" s="24"/>
      <c r="AW371"/>
      <c r="AX371"/>
      <c r="AY371"/>
      <c r="AZ371"/>
      <c r="BA371"/>
      <c r="BB371"/>
      <c r="BC371"/>
      <c r="BD371"/>
      <c r="BE371"/>
      <c r="BF371"/>
      <c r="BG371"/>
    </row>
    <row r="372" spans="2:59" x14ac:dyDescent="0.25">
      <c r="B372" s="22"/>
      <c r="C372" s="23"/>
      <c r="E372" s="23"/>
      <c r="F372" s="24"/>
      <c r="G372" s="2"/>
      <c r="H372" s="10" t="e">
        <f>_xlfn.XLOOKUP(F372,Viloyatlar24[RegionName],Viloyatlar24[RegionId])</f>
        <v>#N/A</v>
      </c>
      <c r="I372" s="10" t="e">
        <f>_xlfn.XLOOKUP('Кўчмас мулк объектлари'!G372,Tumanlar23[DistrictName],Tumanlar23[DistrictId])</f>
        <v>#N/A</v>
      </c>
      <c r="K372" s="24"/>
      <c r="L372" s="10" t="e">
        <f>_xlfn.XLOOKUP(K372,Ташкилотлар39[Ташкилотлар],Ташкилотлар39[TashklilotID])</f>
        <v>#N/A</v>
      </c>
      <c r="M372" s="26"/>
      <c r="N372" s="26"/>
      <c r="O372" s="24"/>
      <c r="P372" s="2"/>
      <c r="Q372" s="26"/>
      <c r="R372" s="26"/>
      <c r="S372" s="26"/>
      <c r="T372" s="26"/>
      <c r="U372" s="24"/>
      <c r="V372" s="10" t="e">
        <f>_xlfn.XLOOKUP(U372,Таклифлар37[Таклифлар],Таклифлар37[TaklifID])</f>
        <v>#N/A</v>
      </c>
      <c r="W372" s="24"/>
      <c r="X372" s="23"/>
      <c r="Y372" s="7"/>
      <c r="Z372" s="26"/>
      <c r="AB372" s="23"/>
      <c r="AD372" s="2"/>
      <c r="AG372" s="23"/>
      <c r="AI372" s="26"/>
      <c r="AJ372" s="23"/>
      <c r="AM372" s="23"/>
      <c r="AO372" s="32"/>
      <c r="AP372" s="26"/>
      <c r="AR372" s="26"/>
      <c r="AS372" s="27"/>
      <c r="AT372" s="27"/>
      <c r="AU372" s="31"/>
      <c r="AV372" s="24"/>
      <c r="AW372"/>
      <c r="AX372"/>
      <c r="AY372"/>
      <c r="AZ372"/>
      <c r="BA372"/>
      <c r="BB372"/>
      <c r="BC372"/>
      <c r="BD372"/>
      <c r="BE372"/>
      <c r="BF372"/>
      <c r="BG372"/>
    </row>
    <row r="373" spans="2:59" x14ac:dyDescent="0.25">
      <c r="B373" s="22"/>
      <c r="C373" s="23"/>
      <c r="E373" s="23"/>
      <c r="F373" s="24"/>
      <c r="G373" s="2"/>
      <c r="H373" s="10" t="e">
        <f>_xlfn.XLOOKUP(F373,Viloyatlar24[RegionName],Viloyatlar24[RegionId])</f>
        <v>#N/A</v>
      </c>
      <c r="I373" s="10" t="e">
        <f>_xlfn.XLOOKUP('Кўчмас мулк объектлари'!G373,Tumanlar23[DistrictName],Tumanlar23[DistrictId])</f>
        <v>#N/A</v>
      </c>
      <c r="K373" s="24"/>
      <c r="L373" s="10" t="e">
        <f>_xlfn.XLOOKUP(K373,Ташкилотлар39[Ташкилотлар],Ташкилотлар39[TashklilotID])</f>
        <v>#N/A</v>
      </c>
      <c r="M373" s="26"/>
      <c r="N373" s="26"/>
      <c r="O373" s="24"/>
      <c r="P373" s="2"/>
      <c r="Q373" s="26"/>
      <c r="R373" s="26"/>
      <c r="S373" s="26"/>
      <c r="T373" s="26"/>
      <c r="U373" s="24"/>
      <c r="V373" s="10" t="e">
        <f>_xlfn.XLOOKUP(U373,Таклифлар37[Таклифлар],Таклифлар37[TaklifID])</f>
        <v>#N/A</v>
      </c>
      <c r="W373" s="24"/>
      <c r="X373" s="23"/>
      <c r="Y373" s="7"/>
      <c r="Z373" s="26"/>
      <c r="AB373" s="23"/>
      <c r="AD373" s="2"/>
      <c r="AG373" s="23"/>
      <c r="AI373" s="26"/>
      <c r="AJ373" s="23"/>
      <c r="AM373" s="23"/>
      <c r="AO373" s="32"/>
      <c r="AP373" s="26"/>
      <c r="AR373" s="26"/>
      <c r="AS373" s="27"/>
      <c r="AT373" s="27"/>
      <c r="AU373" s="31"/>
      <c r="AV373" s="24"/>
      <c r="AW373"/>
      <c r="AX373"/>
      <c r="AY373"/>
      <c r="AZ373"/>
      <c r="BA373"/>
      <c r="BB373"/>
      <c r="BC373"/>
      <c r="BD373"/>
      <c r="BE373"/>
      <c r="BF373"/>
      <c r="BG373"/>
    </row>
    <row r="374" spans="2:59" x14ac:dyDescent="0.25">
      <c r="B374" s="22"/>
      <c r="C374" s="23"/>
      <c r="E374" s="23"/>
      <c r="F374" s="24"/>
      <c r="G374" s="2"/>
      <c r="H374" s="10" t="e">
        <f>_xlfn.XLOOKUP(F374,Viloyatlar24[RegionName],Viloyatlar24[RegionId])</f>
        <v>#N/A</v>
      </c>
      <c r="I374" s="10" t="e">
        <f>_xlfn.XLOOKUP('Кўчмас мулк объектлари'!G374,Tumanlar23[DistrictName],Tumanlar23[DistrictId])</f>
        <v>#N/A</v>
      </c>
      <c r="K374" s="24"/>
      <c r="L374" s="10" t="e">
        <f>_xlfn.XLOOKUP(K374,Ташкилотлар39[Ташкилотлар],Ташкилотлар39[TashklilotID])</f>
        <v>#N/A</v>
      </c>
      <c r="M374" s="26"/>
      <c r="N374" s="26"/>
      <c r="O374" s="24"/>
      <c r="P374" s="2"/>
      <c r="Q374" s="26"/>
      <c r="R374" s="26"/>
      <c r="S374" s="26"/>
      <c r="T374" s="26"/>
      <c r="U374" s="24"/>
      <c r="V374" s="10" t="e">
        <f>_xlfn.XLOOKUP(U374,Таклифлар37[Таклифлар],Таклифлар37[TaklifID])</f>
        <v>#N/A</v>
      </c>
      <c r="W374" s="24"/>
      <c r="X374" s="23"/>
      <c r="Y374" s="7"/>
      <c r="Z374" s="26"/>
      <c r="AB374" s="23"/>
      <c r="AD374" s="2"/>
      <c r="AG374" s="23"/>
      <c r="AI374" s="26"/>
      <c r="AJ374" s="23"/>
      <c r="AM374" s="23"/>
      <c r="AO374" s="32"/>
      <c r="AP374" s="26"/>
      <c r="AR374" s="26"/>
      <c r="AS374" s="27"/>
      <c r="AT374" s="27"/>
      <c r="AU374" s="31"/>
      <c r="AV374" s="24"/>
      <c r="AW374"/>
      <c r="AX374"/>
      <c r="AY374"/>
      <c r="AZ374"/>
      <c r="BA374"/>
      <c r="BB374"/>
      <c r="BC374"/>
      <c r="BD374"/>
      <c r="BE374"/>
      <c r="BF374"/>
      <c r="BG374"/>
    </row>
    <row r="375" spans="2:59" x14ac:dyDescent="0.25">
      <c r="B375" s="22"/>
      <c r="C375" s="23"/>
      <c r="E375" s="23"/>
      <c r="F375" s="24"/>
      <c r="G375" s="2"/>
      <c r="H375" s="10" t="e">
        <f>_xlfn.XLOOKUP(F375,Viloyatlar24[RegionName],Viloyatlar24[RegionId])</f>
        <v>#N/A</v>
      </c>
      <c r="I375" s="10" t="e">
        <f>_xlfn.XLOOKUP('Кўчмас мулк объектлари'!G375,Tumanlar23[DistrictName],Tumanlar23[DistrictId])</f>
        <v>#N/A</v>
      </c>
      <c r="K375" s="24"/>
      <c r="L375" s="10" t="e">
        <f>_xlfn.XLOOKUP(K375,Ташкилотлар39[Ташкилотлар],Ташкилотлар39[TashklilotID])</f>
        <v>#N/A</v>
      </c>
      <c r="M375" s="26"/>
      <c r="N375" s="26"/>
      <c r="O375" s="24"/>
      <c r="P375" s="2"/>
      <c r="Q375" s="26"/>
      <c r="R375" s="26"/>
      <c r="S375" s="26"/>
      <c r="T375" s="26"/>
      <c r="U375" s="24"/>
      <c r="V375" s="10" t="e">
        <f>_xlfn.XLOOKUP(U375,Таклифлар37[Таклифлар],Таклифлар37[TaklifID])</f>
        <v>#N/A</v>
      </c>
      <c r="W375" s="24"/>
      <c r="X375" s="23"/>
      <c r="Y375" s="7"/>
      <c r="Z375" s="26"/>
      <c r="AB375" s="23"/>
      <c r="AD375" s="2"/>
      <c r="AG375" s="23"/>
      <c r="AI375" s="26"/>
      <c r="AJ375" s="23"/>
      <c r="AM375" s="23"/>
      <c r="AO375" s="32"/>
      <c r="AP375" s="26"/>
      <c r="AR375" s="26"/>
      <c r="AS375" s="27"/>
      <c r="AT375" s="27"/>
      <c r="AU375" s="31"/>
      <c r="AV375" s="24"/>
      <c r="AW375"/>
      <c r="AX375"/>
      <c r="AY375"/>
      <c r="AZ375"/>
      <c r="BA375"/>
      <c r="BB375"/>
      <c r="BC375"/>
      <c r="BD375"/>
      <c r="BE375"/>
      <c r="BF375"/>
      <c r="BG375"/>
    </row>
    <row r="376" spans="2:59" x14ac:dyDescent="0.25">
      <c r="B376" s="22"/>
      <c r="C376" s="23"/>
      <c r="E376" s="23"/>
      <c r="F376" s="24"/>
      <c r="G376" s="2"/>
      <c r="H376" s="10" t="e">
        <f>_xlfn.XLOOKUP(F376,Viloyatlar24[RegionName],Viloyatlar24[RegionId])</f>
        <v>#N/A</v>
      </c>
      <c r="I376" s="10" t="e">
        <f>_xlfn.XLOOKUP('Кўчмас мулк объектлари'!G376,Tumanlar23[DistrictName],Tumanlar23[DistrictId])</f>
        <v>#N/A</v>
      </c>
      <c r="K376" s="24"/>
      <c r="L376" s="10" t="e">
        <f>_xlfn.XLOOKUP(K376,Ташкилотлар39[Ташкилотлар],Ташкилотлар39[TashklilotID])</f>
        <v>#N/A</v>
      </c>
      <c r="M376" s="26"/>
      <c r="N376" s="26"/>
      <c r="O376" s="24"/>
      <c r="P376" s="2"/>
      <c r="Q376" s="26"/>
      <c r="R376" s="26"/>
      <c r="S376" s="26"/>
      <c r="T376" s="26"/>
      <c r="U376" s="24"/>
      <c r="V376" s="10" t="e">
        <f>_xlfn.XLOOKUP(U376,Таклифлар37[Таклифлар],Таклифлар37[TaklifID])</f>
        <v>#N/A</v>
      </c>
      <c r="W376" s="24"/>
      <c r="X376" s="23"/>
      <c r="Y376" s="7"/>
      <c r="Z376" s="26"/>
      <c r="AB376" s="23"/>
      <c r="AD376" s="2"/>
      <c r="AG376" s="23"/>
      <c r="AI376" s="26"/>
      <c r="AJ376" s="23"/>
      <c r="AM376" s="23"/>
      <c r="AO376" s="32"/>
      <c r="AP376" s="26"/>
      <c r="AR376" s="26"/>
      <c r="AS376" s="27"/>
      <c r="AT376" s="27"/>
      <c r="AU376" s="31"/>
      <c r="AV376" s="24"/>
      <c r="AW376"/>
      <c r="AX376"/>
      <c r="AY376"/>
      <c r="AZ376"/>
      <c r="BA376"/>
      <c r="BB376"/>
      <c r="BC376"/>
      <c r="BD376"/>
      <c r="BE376"/>
      <c r="BF376"/>
      <c r="BG376"/>
    </row>
    <row r="377" spans="2:59" x14ac:dyDescent="0.25">
      <c r="B377" s="22"/>
      <c r="C377" s="23"/>
      <c r="E377" s="23"/>
      <c r="F377" s="24"/>
      <c r="G377" s="2"/>
      <c r="H377" s="10" t="e">
        <f>_xlfn.XLOOKUP(F377,Viloyatlar24[RegionName],Viloyatlar24[RegionId])</f>
        <v>#N/A</v>
      </c>
      <c r="I377" s="10" t="e">
        <f>_xlfn.XLOOKUP('Кўчмас мулк объектлари'!G377,Tumanlar23[DistrictName],Tumanlar23[DistrictId])</f>
        <v>#N/A</v>
      </c>
      <c r="K377" s="24"/>
      <c r="L377" s="10" t="e">
        <f>_xlfn.XLOOKUP(K377,Ташкилотлар39[Ташкилотлар],Ташкилотлар39[TashklilotID])</f>
        <v>#N/A</v>
      </c>
      <c r="M377" s="26"/>
      <c r="N377" s="26"/>
      <c r="O377" s="24"/>
      <c r="P377" s="2"/>
      <c r="Q377" s="26"/>
      <c r="R377" s="26"/>
      <c r="S377" s="26"/>
      <c r="T377" s="26"/>
      <c r="U377" s="24"/>
      <c r="V377" s="10" t="e">
        <f>_xlfn.XLOOKUP(U377,Таклифлар37[Таклифлар],Таклифлар37[TaklifID])</f>
        <v>#N/A</v>
      </c>
      <c r="W377" s="24"/>
      <c r="X377" s="23"/>
      <c r="Y377" s="7"/>
      <c r="Z377" s="26"/>
      <c r="AB377" s="23"/>
      <c r="AD377" s="2"/>
      <c r="AG377" s="23"/>
      <c r="AI377" s="26"/>
      <c r="AJ377" s="23"/>
      <c r="AM377" s="23"/>
      <c r="AO377" s="32"/>
      <c r="AP377" s="26"/>
      <c r="AR377" s="26"/>
      <c r="AS377" s="27"/>
      <c r="AT377" s="27"/>
      <c r="AU377" s="31"/>
      <c r="AV377" s="24"/>
      <c r="AW377"/>
      <c r="AX377"/>
      <c r="AY377"/>
      <c r="AZ377"/>
      <c r="BA377"/>
      <c r="BB377"/>
      <c r="BC377"/>
      <c r="BD377"/>
      <c r="BE377"/>
      <c r="BF377"/>
      <c r="BG377"/>
    </row>
    <row r="378" spans="2:59" x14ac:dyDescent="0.25">
      <c r="B378" s="22"/>
      <c r="C378" s="23"/>
      <c r="E378" s="23"/>
      <c r="F378" s="24"/>
      <c r="G378" s="2"/>
      <c r="H378" s="10" t="e">
        <f>_xlfn.XLOOKUP(F378,Viloyatlar24[RegionName],Viloyatlar24[RegionId])</f>
        <v>#N/A</v>
      </c>
      <c r="I378" s="10" t="e">
        <f>_xlfn.XLOOKUP('Кўчмас мулк объектлари'!G378,Tumanlar23[DistrictName],Tumanlar23[DistrictId])</f>
        <v>#N/A</v>
      </c>
      <c r="K378" s="24"/>
      <c r="L378" s="10" t="e">
        <f>_xlfn.XLOOKUP(K378,Ташкилотлар39[Ташкилотлар],Ташкилотлар39[TashklilotID])</f>
        <v>#N/A</v>
      </c>
      <c r="M378" s="26"/>
      <c r="N378" s="26"/>
      <c r="O378" s="24"/>
      <c r="P378" s="2"/>
      <c r="Q378" s="26"/>
      <c r="R378" s="26"/>
      <c r="S378" s="26"/>
      <c r="T378" s="26"/>
      <c r="U378" s="24"/>
      <c r="V378" s="10" t="e">
        <f>_xlfn.XLOOKUP(U378,Таклифлар37[Таклифлар],Таклифлар37[TaklifID])</f>
        <v>#N/A</v>
      </c>
      <c r="W378" s="24"/>
      <c r="X378" s="23"/>
      <c r="Y378" s="7"/>
      <c r="Z378" s="26"/>
      <c r="AB378" s="23"/>
      <c r="AD378" s="2"/>
      <c r="AG378" s="23"/>
      <c r="AI378" s="26"/>
      <c r="AJ378" s="23"/>
      <c r="AM378" s="23"/>
      <c r="AO378" s="32"/>
      <c r="AP378" s="26"/>
      <c r="AR378" s="26"/>
      <c r="AS378" s="27"/>
      <c r="AT378" s="27"/>
      <c r="AU378" s="31"/>
      <c r="AV378" s="24"/>
      <c r="AW378"/>
      <c r="AX378"/>
      <c r="AY378"/>
      <c r="AZ378"/>
      <c r="BA378"/>
      <c r="BB378"/>
      <c r="BC378"/>
      <c r="BD378"/>
      <c r="BE378"/>
      <c r="BF378"/>
      <c r="BG378"/>
    </row>
    <row r="379" spans="2:59" x14ac:dyDescent="0.25">
      <c r="B379" s="22"/>
      <c r="C379" s="23"/>
      <c r="E379" s="23"/>
      <c r="F379" s="24"/>
      <c r="G379" s="2"/>
      <c r="H379" s="10" t="e">
        <f>_xlfn.XLOOKUP(F379,Viloyatlar24[RegionName],Viloyatlar24[RegionId])</f>
        <v>#N/A</v>
      </c>
      <c r="I379" s="10" t="e">
        <f>_xlfn.XLOOKUP('Кўчмас мулк объектлари'!G379,Tumanlar23[DistrictName],Tumanlar23[DistrictId])</f>
        <v>#N/A</v>
      </c>
      <c r="K379" s="24"/>
      <c r="L379" s="10" t="e">
        <f>_xlfn.XLOOKUP(K379,Ташкилотлар39[Ташкилотлар],Ташкилотлар39[TashklilotID])</f>
        <v>#N/A</v>
      </c>
      <c r="M379" s="26"/>
      <c r="N379" s="26"/>
      <c r="O379" s="24"/>
      <c r="P379" s="2"/>
      <c r="Q379" s="26"/>
      <c r="R379" s="26"/>
      <c r="S379" s="26"/>
      <c r="T379" s="26"/>
      <c r="U379" s="24"/>
      <c r="V379" s="10" t="e">
        <f>_xlfn.XLOOKUP(U379,Таклифлар37[Таклифлар],Таклифлар37[TaklifID])</f>
        <v>#N/A</v>
      </c>
      <c r="W379" s="24"/>
      <c r="X379" s="23"/>
      <c r="Y379" s="7"/>
      <c r="Z379" s="26"/>
      <c r="AB379" s="23"/>
      <c r="AD379" s="2"/>
      <c r="AG379" s="23"/>
      <c r="AI379" s="26"/>
      <c r="AJ379" s="23"/>
      <c r="AM379" s="23"/>
      <c r="AO379" s="32"/>
      <c r="AP379" s="26"/>
      <c r="AR379" s="26"/>
      <c r="AS379" s="27"/>
      <c r="AT379" s="27"/>
      <c r="AU379" s="31"/>
      <c r="AV379" s="24"/>
      <c r="AW379"/>
      <c r="AX379"/>
      <c r="AY379"/>
      <c r="AZ379"/>
      <c r="BA379"/>
      <c r="BB379"/>
      <c r="BC379"/>
      <c r="BD379"/>
      <c r="BE379"/>
      <c r="BF379"/>
      <c r="BG379"/>
    </row>
    <row r="380" spans="2:59" x14ac:dyDescent="0.25">
      <c r="B380" s="22"/>
      <c r="C380" s="23"/>
      <c r="E380" s="23"/>
      <c r="F380" s="24"/>
      <c r="G380" s="2"/>
      <c r="H380" s="10" t="e">
        <f>_xlfn.XLOOKUP(F380,Viloyatlar24[RegionName],Viloyatlar24[RegionId])</f>
        <v>#N/A</v>
      </c>
      <c r="I380" s="10" t="e">
        <f>_xlfn.XLOOKUP('Кўчмас мулк объектлари'!G380,Tumanlar23[DistrictName],Tumanlar23[DistrictId])</f>
        <v>#N/A</v>
      </c>
      <c r="K380" s="24"/>
      <c r="L380" s="10" t="e">
        <f>_xlfn.XLOOKUP(K380,Ташкилотлар39[Ташкилотлар],Ташкилотлар39[TashklilotID])</f>
        <v>#N/A</v>
      </c>
      <c r="M380" s="26"/>
      <c r="N380" s="26"/>
      <c r="O380" s="24"/>
      <c r="P380" s="2"/>
      <c r="Q380" s="26"/>
      <c r="R380" s="26"/>
      <c r="S380" s="26"/>
      <c r="T380" s="26"/>
      <c r="U380" s="24"/>
      <c r="V380" s="10" t="e">
        <f>_xlfn.XLOOKUP(U380,Таклифлар37[Таклифлар],Таклифлар37[TaklifID])</f>
        <v>#N/A</v>
      </c>
      <c r="W380" s="24"/>
      <c r="X380" s="23"/>
      <c r="Y380" s="7"/>
      <c r="Z380" s="26"/>
      <c r="AB380" s="23"/>
      <c r="AD380" s="2"/>
      <c r="AG380" s="23"/>
      <c r="AI380" s="26"/>
      <c r="AJ380" s="23"/>
      <c r="AM380" s="23"/>
      <c r="AO380" s="32"/>
      <c r="AP380" s="26"/>
      <c r="AR380" s="26"/>
      <c r="AS380" s="27"/>
      <c r="AT380" s="27"/>
      <c r="AU380" s="31"/>
      <c r="AV380" s="24"/>
      <c r="AW380"/>
      <c r="AX380"/>
      <c r="AY380"/>
      <c r="AZ380"/>
      <c r="BA380"/>
      <c r="BB380"/>
      <c r="BC380"/>
      <c r="BD380"/>
      <c r="BE380"/>
      <c r="BF380"/>
      <c r="BG380"/>
    </row>
    <row r="381" spans="2:59" x14ac:dyDescent="0.25">
      <c r="B381" s="22"/>
      <c r="C381" s="23"/>
      <c r="E381" s="23"/>
      <c r="F381" s="24"/>
      <c r="G381" s="2"/>
      <c r="H381" s="10" t="e">
        <f>_xlfn.XLOOKUP(F381,Viloyatlar24[RegionName],Viloyatlar24[RegionId])</f>
        <v>#N/A</v>
      </c>
      <c r="I381" s="10" t="e">
        <f>_xlfn.XLOOKUP('Кўчмас мулк объектлари'!G381,Tumanlar23[DistrictName],Tumanlar23[DistrictId])</f>
        <v>#N/A</v>
      </c>
      <c r="K381" s="24"/>
      <c r="L381" s="10" t="e">
        <f>_xlfn.XLOOKUP(K381,Ташкилотлар39[Ташкилотлар],Ташкилотлар39[TashklilotID])</f>
        <v>#N/A</v>
      </c>
      <c r="M381" s="26"/>
      <c r="N381" s="26"/>
      <c r="O381" s="24"/>
      <c r="P381" s="2"/>
      <c r="Q381" s="26"/>
      <c r="R381" s="26"/>
      <c r="S381" s="26"/>
      <c r="T381" s="26"/>
      <c r="U381" s="24"/>
      <c r="V381" s="10" t="e">
        <f>_xlfn.XLOOKUP(U381,Таклифлар37[Таклифлар],Таклифлар37[TaklifID])</f>
        <v>#N/A</v>
      </c>
      <c r="W381" s="24"/>
      <c r="X381" s="23"/>
      <c r="Y381" s="7"/>
      <c r="Z381" s="26"/>
      <c r="AB381" s="23"/>
      <c r="AD381" s="2"/>
      <c r="AG381" s="23"/>
      <c r="AI381" s="26"/>
      <c r="AJ381" s="23"/>
      <c r="AM381" s="23"/>
      <c r="AO381" s="32"/>
      <c r="AP381" s="26"/>
      <c r="AR381" s="26"/>
      <c r="AS381" s="27"/>
      <c r="AT381" s="27"/>
      <c r="AU381" s="31"/>
      <c r="AV381" s="24"/>
      <c r="AW381"/>
      <c r="AX381"/>
      <c r="AY381"/>
      <c r="AZ381"/>
      <c r="BA381"/>
      <c r="BB381"/>
      <c r="BC381"/>
      <c r="BD381"/>
      <c r="BE381"/>
      <c r="BF381"/>
      <c r="BG381"/>
    </row>
    <row r="382" spans="2:59" x14ac:dyDescent="0.25">
      <c r="B382" s="22"/>
      <c r="C382" s="23"/>
      <c r="E382" s="23"/>
      <c r="F382" s="24"/>
      <c r="G382" s="2"/>
      <c r="H382" s="10" t="e">
        <f>_xlfn.XLOOKUP(F382,Viloyatlar24[RegionName],Viloyatlar24[RegionId])</f>
        <v>#N/A</v>
      </c>
      <c r="I382" s="10" t="e">
        <f>_xlfn.XLOOKUP('Кўчмас мулк объектлари'!G382,Tumanlar23[DistrictName],Tumanlar23[DistrictId])</f>
        <v>#N/A</v>
      </c>
      <c r="K382" s="24"/>
      <c r="L382" s="10" t="e">
        <f>_xlfn.XLOOKUP(K382,Ташкилотлар39[Ташкилотлар],Ташкилотлар39[TashklilotID])</f>
        <v>#N/A</v>
      </c>
      <c r="M382" s="26"/>
      <c r="N382" s="26"/>
      <c r="O382" s="24"/>
      <c r="P382" s="2"/>
      <c r="Q382" s="26"/>
      <c r="R382" s="26"/>
      <c r="S382" s="26"/>
      <c r="T382" s="26"/>
      <c r="U382" s="24"/>
      <c r="V382" s="10" t="e">
        <f>_xlfn.XLOOKUP(U382,Таклифлар37[Таклифлар],Таклифлар37[TaklifID])</f>
        <v>#N/A</v>
      </c>
      <c r="W382" s="24"/>
      <c r="X382" s="23"/>
      <c r="Y382" s="7"/>
      <c r="Z382" s="26"/>
      <c r="AB382" s="23"/>
      <c r="AD382" s="2"/>
      <c r="AG382" s="23"/>
      <c r="AI382" s="26"/>
      <c r="AJ382" s="23"/>
      <c r="AM382" s="23"/>
      <c r="AO382" s="32"/>
      <c r="AP382" s="26"/>
      <c r="AR382" s="26"/>
      <c r="AS382" s="27"/>
      <c r="AT382" s="27"/>
      <c r="AU382" s="31"/>
      <c r="AV382" s="24"/>
      <c r="AW382"/>
      <c r="AX382"/>
      <c r="AY382"/>
      <c r="AZ382"/>
      <c r="BA382"/>
      <c r="BB382"/>
      <c r="BC382"/>
      <c r="BD382"/>
      <c r="BE382"/>
      <c r="BF382"/>
      <c r="BG382"/>
    </row>
    <row r="383" spans="2:59" x14ac:dyDescent="0.25">
      <c r="B383" s="22"/>
      <c r="C383" s="23"/>
      <c r="E383" s="23"/>
      <c r="F383" s="24"/>
      <c r="G383" s="2"/>
      <c r="H383" s="10" t="e">
        <f>_xlfn.XLOOKUP(F383,Viloyatlar24[RegionName],Viloyatlar24[RegionId])</f>
        <v>#N/A</v>
      </c>
      <c r="I383" s="10" t="e">
        <f>_xlfn.XLOOKUP('Кўчмас мулк объектлари'!G383,Tumanlar23[DistrictName],Tumanlar23[DistrictId])</f>
        <v>#N/A</v>
      </c>
      <c r="K383" s="24"/>
      <c r="L383" s="10" t="e">
        <f>_xlfn.XLOOKUP(K383,Ташкилотлар39[Ташкилотлар],Ташкилотлар39[TashklilotID])</f>
        <v>#N/A</v>
      </c>
      <c r="M383" s="26"/>
      <c r="N383" s="26"/>
      <c r="O383" s="24"/>
      <c r="P383" s="2"/>
      <c r="Q383" s="26"/>
      <c r="R383" s="26"/>
      <c r="S383" s="26"/>
      <c r="T383" s="26"/>
      <c r="U383" s="24"/>
      <c r="V383" s="10" t="e">
        <f>_xlfn.XLOOKUP(U383,Таклифлар37[Таклифлар],Таклифлар37[TaklifID])</f>
        <v>#N/A</v>
      </c>
      <c r="W383" s="24"/>
      <c r="X383" s="23"/>
      <c r="Y383" s="7"/>
      <c r="Z383" s="26"/>
      <c r="AB383" s="23"/>
      <c r="AD383" s="2"/>
      <c r="AG383" s="23"/>
      <c r="AI383" s="26"/>
      <c r="AJ383" s="23"/>
      <c r="AM383" s="23"/>
      <c r="AO383" s="32"/>
      <c r="AP383" s="26"/>
      <c r="AR383" s="26"/>
      <c r="AS383" s="27"/>
      <c r="AT383" s="27"/>
      <c r="AU383" s="31"/>
      <c r="AV383" s="24"/>
      <c r="AW383"/>
      <c r="AX383"/>
      <c r="AY383"/>
      <c r="AZ383"/>
      <c r="BA383"/>
      <c r="BB383"/>
      <c r="BC383"/>
      <c r="BD383"/>
      <c r="BE383"/>
      <c r="BF383"/>
      <c r="BG383"/>
    </row>
    <row r="384" spans="2:59" x14ac:dyDescent="0.25">
      <c r="B384" s="22"/>
      <c r="C384" s="23"/>
      <c r="E384" s="23"/>
      <c r="F384" s="24"/>
      <c r="G384" s="2"/>
      <c r="H384" s="10" t="e">
        <f>_xlfn.XLOOKUP(F384,Viloyatlar24[RegionName],Viloyatlar24[RegionId])</f>
        <v>#N/A</v>
      </c>
      <c r="I384" s="10" t="e">
        <f>_xlfn.XLOOKUP('Кўчмас мулк объектлари'!G384,Tumanlar23[DistrictName],Tumanlar23[DistrictId])</f>
        <v>#N/A</v>
      </c>
      <c r="K384" s="24"/>
      <c r="L384" s="10" t="e">
        <f>_xlfn.XLOOKUP(K384,Ташкилотлар39[Ташкилотлар],Ташкилотлар39[TashklilotID])</f>
        <v>#N/A</v>
      </c>
      <c r="M384" s="26"/>
      <c r="N384" s="26"/>
      <c r="O384" s="24"/>
      <c r="P384" s="2"/>
      <c r="Q384" s="26"/>
      <c r="R384" s="26"/>
      <c r="S384" s="26"/>
      <c r="T384" s="26"/>
      <c r="U384" s="24"/>
      <c r="V384" s="10" t="e">
        <f>_xlfn.XLOOKUP(U384,Таклифлар37[Таклифлар],Таклифлар37[TaklifID])</f>
        <v>#N/A</v>
      </c>
      <c r="W384" s="24"/>
      <c r="X384" s="23"/>
      <c r="Y384" s="7"/>
      <c r="Z384" s="26"/>
      <c r="AB384" s="23"/>
      <c r="AD384" s="2"/>
      <c r="AG384" s="23"/>
      <c r="AI384" s="26"/>
      <c r="AJ384" s="23"/>
      <c r="AM384" s="23"/>
      <c r="AO384" s="32"/>
      <c r="AP384" s="26"/>
      <c r="AR384" s="26"/>
      <c r="AS384" s="27"/>
      <c r="AT384" s="27"/>
      <c r="AU384" s="31"/>
      <c r="AV384" s="24"/>
      <c r="AW384"/>
      <c r="AX384"/>
      <c r="AY384"/>
      <c r="AZ384"/>
      <c r="BA384"/>
      <c r="BB384"/>
      <c r="BC384"/>
      <c r="BD384"/>
      <c r="BE384"/>
      <c r="BF384"/>
      <c r="BG384"/>
    </row>
    <row r="385" spans="2:59" x14ac:dyDescent="0.25">
      <c r="B385" s="22"/>
      <c r="C385" s="23"/>
      <c r="E385" s="23"/>
      <c r="F385" s="24"/>
      <c r="G385" s="2"/>
      <c r="H385" s="10" t="e">
        <f>_xlfn.XLOOKUP(F385,Viloyatlar24[RegionName],Viloyatlar24[RegionId])</f>
        <v>#N/A</v>
      </c>
      <c r="I385" s="10" t="e">
        <f>_xlfn.XLOOKUP('Кўчмас мулк объектлари'!G385,Tumanlar23[DistrictName],Tumanlar23[DistrictId])</f>
        <v>#N/A</v>
      </c>
      <c r="K385" s="24"/>
      <c r="L385" s="10" t="e">
        <f>_xlfn.XLOOKUP(K385,Ташкилотлар39[Ташкилотлар],Ташкилотлар39[TashklilotID])</f>
        <v>#N/A</v>
      </c>
      <c r="M385" s="26"/>
      <c r="N385" s="26"/>
      <c r="O385" s="24"/>
      <c r="P385" s="2"/>
      <c r="Q385" s="26"/>
      <c r="R385" s="26"/>
      <c r="S385" s="26"/>
      <c r="T385" s="26"/>
      <c r="U385" s="24"/>
      <c r="V385" s="10" t="e">
        <f>_xlfn.XLOOKUP(U385,Таклифлар37[Таклифлар],Таклифлар37[TaklifID])</f>
        <v>#N/A</v>
      </c>
      <c r="W385" s="24"/>
      <c r="X385" s="23"/>
      <c r="Y385" s="7"/>
      <c r="Z385" s="26"/>
      <c r="AB385" s="23"/>
      <c r="AD385" s="2"/>
      <c r="AG385" s="23"/>
      <c r="AI385" s="26"/>
      <c r="AJ385" s="23"/>
      <c r="AM385" s="23"/>
      <c r="AO385" s="32"/>
      <c r="AP385" s="26"/>
      <c r="AR385" s="26"/>
      <c r="AS385" s="27"/>
      <c r="AT385" s="27"/>
      <c r="AU385" s="31"/>
      <c r="AV385" s="24"/>
      <c r="AW385"/>
      <c r="AX385"/>
      <c r="AY385"/>
      <c r="AZ385"/>
      <c r="BA385"/>
      <c r="BB385"/>
      <c r="BC385"/>
      <c r="BD385"/>
      <c r="BE385"/>
      <c r="BF385"/>
      <c r="BG385"/>
    </row>
    <row r="386" spans="2:59" x14ac:dyDescent="0.25">
      <c r="B386" s="22"/>
      <c r="C386" s="23"/>
      <c r="E386" s="23"/>
      <c r="F386" s="24"/>
      <c r="G386" s="2"/>
      <c r="H386" s="10" t="e">
        <f>_xlfn.XLOOKUP(F386,Viloyatlar24[RegionName],Viloyatlar24[RegionId])</f>
        <v>#N/A</v>
      </c>
      <c r="I386" s="10" t="e">
        <f>_xlfn.XLOOKUP('Кўчмас мулк объектлари'!G386,Tumanlar23[DistrictName],Tumanlar23[DistrictId])</f>
        <v>#N/A</v>
      </c>
      <c r="K386" s="24"/>
      <c r="L386" s="10" t="e">
        <f>_xlfn.XLOOKUP(K386,Ташкилотлар39[Ташкилотлар],Ташкилотлар39[TashklilotID])</f>
        <v>#N/A</v>
      </c>
      <c r="M386" s="26"/>
      <c r="N386" s="26"/>
      <c r="O386" s="24"/>
      <c r="P386" s="2"/>
      <c r="Q386" s="26"/>
      <c r="R386" s="26"/>
      <c r="S386" s="26"/>
      <c r="T386" s="26"/>
      <c r="U386" s="24"/>
      <c r="V386" s="10" t="e">
        <f>_xlfn.XLOOKUP(U386,Таклифлар37[Таклифлар],Таклифлар37[TaklifID])</f>
        <v>#N/A</v>
      </c>
      <c r="W386" s="24"/>
      <c r="X386" s="23"/>
      <c r="Y386" s="7"/>
      <c r="Z386" s="26"/>
      <c r="AB386" s="23"/>
      <c r="AD386" s="2"/>
      <c r="AG386" s="23"/>
      <c r="AI386" s="26"/>
      <c r="AJ386" s="23"/>
      <c r="AM386" s="23"/>
      <c r="AO386" s="32"/>
      <c r="AP386" s="26"/>
      <c r="AR386" s="26"/>
      <c r="AS386" s="27"/>
      <c r="AT386" s="27"/>
      <c r="AU386" s="31"/>
      <c r="AV386" s="24"/>
      <c r="AW386"/>
      <c r="AX386"/>
      <c r="AY386"/>
      <c r="AZ386"/>
      <c r="BA386"/>
      <c r="BB386"/>
      <c r="BC386"/>
      <c r="BD386"/>
      <c r="BE386"/>
      <c r="BF386"/>
      <c r="BG386"/>
    </row>
    <row r="387" spans="2:59" x14ac:dyDescent="0.25">
      <c r="B387" s="22"/>
      <c r="C387" s="23"/>
      <c r="E387" s="23"/>
      <c r="F387" s="24"/>
      <c r="G387" s="2"/>
      <c r="H387" s="10" t="e">
        <f>_xlfn.XLOOKUP(F387,Viloyatlar24[RegionName],Viloyatlar24[RegionId])</f>
        <v>#N/A</v>
      </c>
      <c r="I387" s="10" t="e">
        <f>_xlfn.XLOOKUP('Кўчмас мулк объектлари'!G387,Tumanlar23[DistrictName],Tumanlar23[DistrictId])</f>
        <v>#N/A</v>
      </c>
      <c r="K387" s="24"/>
      <c r="L387" s="10" t="e">
        <f>_xlfn.XLOOKUP(K387,Ташкилотлар39[Ташкилотлар],Ташкилотлар39[TashklilotID])</f>
        <v>#N/A</v>
      </c>
      <c r="M387" s="26"/>
      <c r="N387" s="26"/>
      <c r="O387" s="24"/>
      <c r="P387" s="2"/>
      <c r="Q387" s="26"/>
      <c r="R387" s="26"/>
      <c r="S387" s="26"/>
      <c r="T387" s="26"/>
      <c r="U387" s="24"/>
      <c r="V387" s="10" t="e">
        <f>_xlfn.XLOOKUP(U387,Таклифлар37[Таклифлар],Таклифлар37[TaklifID])</f>
        <v>#N/A</v>
      </c>
      <c r="W387" s="24"/>
      <c r="X387" s="23"/>
      <c r="Y387" s="7"/>
      <c r="Z387" s="26"/>
      <c r="AB387" s="23"/>
      <c r="AD387" s="2"/>
      <c r="AG387" s="23"/>
      <c r="AI387" s="26"/>
      <c r="AJ387" s="23"/>
      <c r="AM387" s="23"/>
      <c r="AO387" s="32"/>
      <c r="AP387" s="26"/>
      <c r="AR387" s="26"/>
      <c r="AS387" s="27"/>
      <c r="AT387" s="27"/>
      <c r="AU387" s="31"/>
      <c r="AV387" s="24"/>
      <c r="AW387"/>
      <c r="AX387"/>
      <c r="AY387"/>
      <c r="AZ387"/>
      <c r="BA387"/>
      <c r="BB387"/>
      <c r="BC387"/>
      <c r="BD387"/>
      <c r="BE387"/>
      <c r="BF387"/>
      <c r="BG387"/>
    </row>
    <row r="388" spans="2:59" x14ac:dyDescent="0.25">
      <c r="B388" s="22"/>
      <c r="C388" s="23"/>
      <c r="E388" s="23"/>
      <c r="F388" s="24"/>
      <c r="G388" s="2"/>
      <c r="H388" s="10" t="e">
        <f>_xlfn.XLOOKUP(F388,Viloyatlar24[RegionName],Viloyatlar24[RegionId])</f>
        <v>#N/A</v>
      </c>
      <c r="I388" s="10" t="e">
        <f>_xlfn.XLOOKUP('Кўчмас мулк объектлари'!G388,Tumanlar23[DistrictName],Tumanlar23[DistrictId])</f>
        <v>#N/A</v>
      </c>
      <c r="K388" s="24"/>
      <c r="L388" s="10" t="e">
        <f>_xlfn.XLOOKUP(K388,Ташкилотлар39[Ташкилотлар],Ташкилотлар39[TashklilotID])</f>
        <v>#N/A</v>
      </c>
      <c r="M388" s="26"/>
      <c r="N388" s="26"/>
      <c r="O388" s="24"/>
      <c r="P388" s="2"/>
      <c r="Q388" s="26"/>
      <c r="R388" s="26"/>
      <c r="S388" s="26"/>
      <c r="T388" s="26"/>
      <c r="U388" s="24"/>
      <c r="V388" s="10" t="e">
        <f>_xlfn.XLOOKUP(U388,Таклифлар37[Таклифлар],Таклифлар37[TaklifID])</f>
        <v>#N/A</v>
      </c>
      <c r="W388" s="24"/>
      <c r="X388" s="23"/>
      <c r="Y388" s="7"/>
      <c r="Z388" s="26"/>
      <c r="AB388" s="23"/>
      <c r="AD388" s="2"/>
      <c r="AG388" s="23"/>
      <c r="AI388" s="26"/>
      <c r="AJ388" s="23"/>
      <c r="AM388" s="23"/>
      <c r="AO388" s="32"/>
      <c r="AP388" s="26"/>
      <c r="AR388" s="26"/>
      <c r="AS388" s="27"/>
      <c r="AT388" s="27"/>
      <c r="AU388" s="31"/>
      <c r="AV388" s="24"/>
      <c r="AW388"/>
      <c r="AX388"/>
      <c r="AY388"/>
      <c r="AZ388"/>
      <c r="BA388"/>
      <c r="BB388"/>
      <c r="BC388"/>
      <c r="BD388"/>
      <c r="BE388"/>
      <c r="BF388"/>
      <c r="BG388"/>
    </row>
    <row r="389" spans="2:59" x14ac:dyDescent="0.25">
      <c r="B389" s="22"/>
      <c r="C389" s="23"/>
      <c r="E389" s="23"/>
      <c r="F389" s="24"/>
      <c r="G389" s="2"/>
      <c r="H389" s="10" t="e">
        <f>_xlfn.XLOOKUP(F389,Viloyatlar24[RegionName],Viloyatlar24[RegionId])</f>
        <v>#N/A</v>
      </c>
      <c r="I389" s="10" t="e">
        <f>_xlfn.XLOOKUP('Кўчмас мулк объектлари'!G389,Tumanlar23[DistrictName],Tumanlar23[DistrictId])</f>
        <v>#N/A</v>
      </c>
      <c r="K389" s="24"/>
      <c r="L389" s="10" t="e">
        <f>_xlfn.XLOOKUP(K389,Ташкилотлар39[Ташкилотлар],Ташкилотлар39[TashklilotID])</f>
        <v>#N/A</v>
      </c>
      <c r="M389" s="26"/>
      <c r="N389" s="26"/>
      <c r="O389" s="24"/>
      <c r="P389" s="2"/>
      <c r="Q389" s="26"/>
      <c r="R389" s="26"/>
      <c r="S389" s="26"/>
      <c r="T389" s="26"/>
      <c r="U389" s="24"/>
      <c r="V389" s="10" t="e">
        <f>_xlfn.XLOOKUP(U389,Таклифлар37[Таклифлар],Таклифлар37[TaklifID])</f>
        <v>#N/A</v>
      </c>
      <c r="W389" s="24"/>
      <c r="X389" s="23"/>
      <c r="Y389" s="7"/>
      <c r="Z389" s="26"/>
      <c r="AB389" s="23"/>
      <c r="AD389" s="2"/>
      <c r="AG389" s="23"/>
      <c r="AI389" s="26"/>
      <c r="AJ389" s="23"/>
      <c r="AM389" s="23"/>
      <c r="AO389" s="32"/>
      <c r="AP389" s="26"/>
      <c r="AR389" s="26"/>
      <c r="AS389" s="27"/>
      <c r="AT389" s="27"/>
      <c r="AU389" s="31"/>
      <c r="AV389" s="24"/>
      <c r="AW389"/>
      <c r="AX389"/>
      <c r="AY389"/>
      <c r="AZ389"/>
      <c r="BA389"/>
      <c r="BB389"/>
      <c r="BC389"/>
      <c r="BD389"/>
      <c r="BE389"/>
      <c r="BF389"/>
      <c r="BG389"/>
    </row>
    <row r="390" spans="2:59" x14ac:dyDescent="0.25">
      <c r="B390" s="22"/>
      <c r="C390" s="23"/>
      <c r="E390" s="23"/>
      <c r="F390" s="24"/>
      <c r="G390" s="2"/>
      <c r="H390" s="10" t="e">
        <f>_xlfn.XLOOKUP(F390,Viloyatlar24[RegionName],Viloyatlar24[RegionId])</f>
        <v>#N/A</v>
      </c>
      <c r="I390" s="10" t="e">
        <f>_xlfn.XLOOKUP('Кўчмас мулк объектлари'!G390,Tumanlar23[DistrictName],Tumanlar23[DistrictId])</f>
        <v>#N/A</v>
      </c>
      <c r="K390" s="24"/>
      <c r="L390" s="10" t="e">
        <f>_xlfn.XLOOKUP(K390,Ташкилотлар39[Ташкилотлар],Ташкилотлар39[TashklilotID])</f>
        <v>#N/A</v>
      </c>
      <c r="M390" s="26"/>
      <c r="N390" s="26"/>
      <c r="O390" s="24"/>
      <c r="P390" s="2"/>
      <c r="Q390" s="26"/>
      <c r="R390" s="26"/>
      <c r="S390" s="26"/>
      <c r="T390" s="26"/>
      <c r="U390" s="24"/>
      <c r="V390" s="10" t="e">
        <f>_xlfn.XLOOKUP(U390,Таклифлар37[Таклифлар],Таклифлар37[TaklifID])</f>
        <v>#N/A</v>
      </c>
      <c r="W390" s="24"/>
      <c r="X390" s="23"/>
      <c r="Y390" s="7"/>
      <c r="Z390" s="26"/>
      <c r="AB390" s="23"/>
      <c r="AD390" s="2"/>
      <c r="AG390" s="23"/>
      <c r="AI390" s="26"/>
      <c r="AJ390" s="23"/>
      <c r="AM390" s="23"/>
      <c r="AO390" s="32"/>
      <c r="AP390" s="26"/>
      <c r="AR390" s="26"/>
      <c r="AS390" s="27"/>
      <c r="AT390" s="27"/>
      <c r="AU390" s="31"/>
      <c r="AV390" s="24"/>
      <c r="AW390"/>
      <c r="AX390"/>
      <c r="AY390"/>
      <c r="AZ390"/>
      <c r="BA390"/>
      <c r="BB390"/>
      <c r="BC390"/>
      <c r="BD390"/>
      <c r="BE390"/>
      <c r="BF390"/>
      <c r="BG390"/>
    </row>
    <row r="391" spans="2:59" x14ac:dyDescent="0.25">
      <c r="B391" s="22"/>
      <c r="C391" s="23"/>
      <c r="E391" s="23"/>
      <c r="F391" s="24"/>
      <c r="G391" s="2"/>
      <c r="H391" s="10" t="e">
        <f>_xlfn.XLOOKUP(F391,Viloyatlar24[RegionName],Viloyatlar24[RegionId])</f>
        <v>#N/A</v>
      </c>
      <c r="I391" s="10" t="e">
        <f>_xlfn.XLOOKUP('Кўчмас мулк объектлари'!G391,Tumanlar23[DistrictName],Tumanlar23[DistrictId])</f>
        <v>#N/A</v>
      </c>
      <c r="K391" s="24"/>
      <c r="L391" s="10" t="e">
        <f>_xlfn.XLOOKUP(K391,Ташкилотлар39[Ташкилотлар],Ташкилотлар39[TashklilotID])</f>
        <v>#N/A</v>
      </c>
      <c r="M391" s="26"/>
      <c r="N391" s="26"/>
      <c r="O391" s="24"/>
      <c r="P391" s="2"/>
      <c r="Q391" s="26"/>
      <c r="R391" s="26"/>
      <c r="S391" s="26"/>
      <c r="T391" s="26"/>
      <c r="U391" s="24"/>
      <c r="V391" s="10" t="e">
        <f>_xlfn.XLOOKUP(U391,Таклифлар37[Таклифлар],Таклифлар37[TaklifID])</f>
        <v>#N/A</v>
      </c>
      <c r="W391" s="24"/>
      <c r="X391" s="23"/>
      <c r="Y391" s="7"/>
      <c r="Z391" s="26"/>
      <c r="AB391" s="23"/>
      <c r="AD391" s="2"/>
      <c r="AG391" s="23"/>
      <c r="AI391" s="26"/>
      <c r="AJ391" s="23"/>
      <c r="AM391" s="23"/>
      <c r="AO391" s="32"/>
      <c r="AP391" s="26"/>
      <c r="AR391" s="26"/>
      <c r="AS391" s="27"/>
      <c r="AT391" s="27"/>
      <c r="AU391" s="31"/>
      <c r="AV391" s="24"/>
      <c r="AW391"/>
      <c r="AX391"/>
      <c r="AY391"/>
      <c r="AZ391"/>
      <c r="BA391"/>
      <c r="BB391"/>
      <c r="BC391"/>
      <c r="BD391"/>
      <c r="BE391"/>
      <c r="BF391"/>
      <c r="BG391"/>
    </row>
    <row r="392" spans="2:59" x14ac:dyDescent="0.25">
      <c r="B392" s="22"/>
      <c r="C392" s="23"/>
      <c r="E392" s="23"/>
      <c r="F392" s="24"/>
      <c r="G392" s="2"/>
      <c r="H392" s="10" t="e">
        <f>_xlfn.XLOOKUP(F392,Viloyatlar24[RegionName],Viloyatlar24[RegionId])</f>
        <v>#N/A</v>
      </c>
      <c r="I392" s="10" t="e">
        <f>_xlfn.XLOOKUP('Кўчмас мулк объектлари'!G392,Tumanlar23[DistrictName],Tumanlar23[DistrictId])</f>
        <v>#N/A</v>
      </c>
      <c r="K392" s="24"/>
      <c r="L392" s="10" t="e">
        <f>_xlfn.XLOOKUP(K392,Ташкилотлар39[Ташкилотлар],Ташкилотлар39[TashklilotID])</f>
        <v>#N/A</v>
      </c>
      <c r="M392" s="26"/>
      <c r="N392" s="26"/>
      <c r="O392" s="24"/>
      <c r="P392" s="2"/>
      <c r="Q392" s="26"/>
      <c r="R392" s="26"/>
      <c r="S392" s="26"/>
      <c r="T392" s="26"/>
      <c r="U392" s="24"/>
      <c r="V392" s="10" t="e">
        <f>_xlfn.XLOOKUP(U392,Таклифлар37[Таклифлар],Таклифлар37[TaklifID])</f>
        <v>#N/A</v>
      </c>
      <c r="W392" s="24"/>
      <c r="X392" s="23"/>
      <c r="Y392" s="7"/>
      <c r="Z392" s="26"/>
      <c r="AB392" s="23"/>
      <c r="AD392" s="2"/>
      <c r="AG392" s="23"/>
      <c r="AI392" s="26"/>
      <c r="AJ392" s="23"/>
      <c r="AM392" s="23"/>
      <c r="AO392" s="32"/>
      <c r="AP392" s="26"/>
      <c r="AR392" s="26"/>
      <c r="AS392" s="27"/>
      <c r="AT392" s="27"/>
      <c r="AU392" s="31"/>
      <c r="AV392" s="24"/>
      <c r="AW392"/>
      <c r="AX392"/>
      <c r="AY392"/>
      <c r="AZ392"/>
      <c r="BA392"/>
      <c r="BB392"/>
      <c r="BC392"/>
      <c r="BD392"/>
      <c r="BE392"/>
      <c r="BF392"/>
      <c r="BG392"/>
    </row>
    <row r="393" spans="2:59" x14ac:dyDescent="0.25">
      <c r="B393" s="22"/>
      <c r="C393" s="23"/>
      <c r="E393" s="23"/>
      <c r="F393" s="24"/>
      <c r="G393" s="2"/>
      <c r="H393" s="10" t="e">
        <f>_xlfn.XLOOKUP(F393,Viloyatlar24[RegionName],Viloyatlar24[RegionId])</f>
        <v>#N/A</v>
      </c>
      <c r="I393" s="10" t="e">
        <f>_xlfn.XLOOKUP('Кўчмас мулк объектлари'!G393,Tumanlar23[DistrictName],Tumanlar23[DistrictId])</f>
        <v>#N/A</v>
      </c>
      <c r="K393" s="24"/>
      <c r="L393" s="10" t="e">
        <f>_xlfn.XLOOKUP(K393,Ташкилотлар39[Ташкилотлар],Ташкилотлар39[TashklilotID])</f>
        <v>#N/A</v>
      </c>
      <c r="M393" s="26"/>
      <c r="N393" s="26"/>
      <c r="O393" s="24"/>
      <c r="P393" s="2"/>
      <c r="Q393" s="26"/>
      <c r="R393" s="26"/>
      <c r="S393" s="26"/>
      <c r="T393" s="26"/>
      <c r="U393" s="24"/>
      <c r="V393" s="10" t="e">
        <f>_xlfn.XLOOKUP(U393,Таклифлар37[Таклифлар],Таклифлар37[TaklifID])</f>
        <v>#N/A</v>
      </c>
      <c r="W393" s="24"/>
      <c r="X393" s="23"/>
      <c r="Y393" s="7"/>
      <c r="Z393" s="26"/>
      <c r="AB393" s="23"/>
      <c r="AD393" s="2"/>
      <c r="AG393" s="23"/>
      <c r="AI393" s="26"/>
      <c r="AJ393" s="23"/>
      <c r="AM393" s="23"/>
      <c r="AO393" s="32"/>
      <c r="AP393" s="26"/>
      <c r="AR393" s="26"/>
      <c r="AS393" s="27"/>
      <c r="AT393" s="27"/>
      <c r="AU393" s="31"/>
      <c r="AV393" s="24"/>
      <c r="AW393"/>
      <c r="AX393"/>
      <c r="AY393"/>
      <c r="AZ393"/>
      <c r="BA393"/>
      <c r="BB393"/>
      <c r="BC393"/>
      <c r="BD393"/>
      <c r="BE393"/>
      <c r="BF393"/>
      <c r="BG393"/>
    </row>
    <row r="394" spans="2:59" x14ac:dyDescent="0.25">
      <c r="B394" s="22"/>
      <c r="C394" s="23"/>
      <c r="E394" s="23"/>
      <c r="F394" s="24"/>
      <c r="G394" s="2"/>
      <c r="H394" s="10" t="e">
        <f>_xlfn.XLOOKUP(F394,Viloyatlar24[RegionName],Viloyatlar24[RegionId])</f>
        <v>#N/A</v>
      </c>
      <c r="I394" s="10" t="e">
        <f>_xlfn.XLOOKUP('Кўчмас мулк объектлари'!G394,Tumanlar23[DistrictName],Tumanlar23[DistrictId])</f>
        <v>#N/A</v>
      </c>
      <c r="K394" s="24"/>
      <c r="L394" s="10" t="e">
        <f>_xlfn.XLOOKUP(K394,Ташкилотлар39[Ташкилотлар],Ташкилотлар39[TashklilotID])</f>
        <v>#N/A</v>
      </c>
      <c r="M394" s="26"/>
      <c r="N394" s="26"/>
      <c r="O394" s="24"/>
      <c r="P394" s="2"/>
      <c r="Q394" s="26"/>
      <c r="R394" s="26"/>
      <c r="S394" s="26"/>
      <c r="T394" s="26"/>
      <c r="U394" s="24"/>
      <c r="V394" s="10" t="e">
        <f>_xlfn.XLOOKUP(U394,Таклифлар37[Таклифлар],Таклифлар37[TaklifID])</f>
        <v>#N/A</v>
      </c>
      <c r="W394" s="24"/>
      <c r="X394" s="23"/>
      <c r="Y394" s="7"/>
      <c r="Z394" s="26"/>
      <c r="AB394" s="23"/>
      <c r="AD394" s="2"/>
      <c r="AG394" s="23"/>
      <c r="AI394" s="26"/>
      <c r="AJ394" s="23"/>
      <c r="AM394" s="23"/>
      <c r="AO394" s="32"/>
      <c r="AP394" s="26"/>
      <c r="AR394" s="26"/>
      <c r="AS394" s="27"/>
      <c r="AT394" s="27"/>
      <c r="AU394" s="31"/>
      <c r="AV394" s="24"/>
      <c r="AW394"/>
      <c r="AX394"/>
      <c r="AY394"/>
      <c r="AZ394"/>
      <c r="BA394"/>
      <c r="BB394"/>
      <c r="BC394"/>
      <c r="BD394"/>
      <c r="BE394"/>
      <c r="BF394"/>
      <c r="BG394"/>
    </row>
    <row r="395" spans="2:59" x14ac:dyDescent="0.25">
      <c r="B395" s="22"/>
      <c r="C395" s="23"/>
      <c r="E395" s="23"/>
      <c r="F395" s="24"/>
      <c r="G395" s="2"/>
      <c r="H395" s="10" t="e">
        <f>_xlfn.XLOOKUP(F395,Viloyatlar24[RegionName],Viloyatlar24[RegionId])</f>
        <v>#N/A</v>
      </c>
      <c r="I395" s="10" t="e">
        <f>_xlfn.XLOOKUP('Кўчмас мулк объектлари'!G395,Tumanlar23[DistrictName],Tumanlar23[DistrictId])</f>
        <v>#N/A</v>
      </c>
      <c r="K395" s="24"/>
      <c r="L395" s="10" t="e">
        <f>_xlfn.XLOOKUP(K395,Ташкилотлар39[Ташкилотлар],Ташкилотлар39[TashklilotID])</f>
        <v>#N/A</v>
      </c>
      <c r="M395" s="26"/>
      <c r="N395" s="26"/>
      <c r="O395" s="24"/>
      <c r="P395" s="2"/>
      <c r="Q395" s="26"/>
      <c r="R395" s="26"/>
      <c r="S395" s="26"/>
      <c r="T395" s="26"/>
      <c r="U395" s="24"/>
      <c r="V395" s="10" t="e">
        <f>_xlfn.XLOOKUP(U395,Таклифлар37[Таклифлар],Таклифлар37[TaklifID])</f>
        <v>#N/A</v>
      </c>
      <c r="W395" s="24"/>
      <c r="X395" s="23"/>
      <c r="Y395" s="7"/>
      <c r="Z395" s="26"/>
      <c r="AB395" s="23"/>
      <c r="AD395" s="2"/>
      <c r="AG395" s="23"/>
      <c r="AI395" s="26"/>
      <c r="AJ395" s="23"/>
      <c r="AM395" s="23"/>
      <c r="AO395" s="32"/>
      <c r="AP395" s="26"/>
      <c r="AR395" s="26"/>
      <c r="AS395" s="27"/>
      <c r="AT395" s="27"/>
      <c r="AU395" s="31"/>
      <c r="AV395" s="24"/>
      <c r="AW395"/>
      <c r="AX395"/>
      <c r="AY395"/>
      <c r="AZ395"/>
      <c r="BA395"/>
      <c r="BB395"/>
      <c r="BC395"/>
      <c r="BD395"/>
      <c r="BE395"/>
      <c r="BF395"/>
      <c r="BG395"/>
    </row>
    <row r="396" spans="2:59" x14ac:dyDescent="0.25">
      <c r="B396" s="22"/>
      <c r="C396" s="23"/>
      <c r="E396" s="23"/>
      <c r="F396" s="24"/>
      <c r="G396" s="2"/>
      <c r="H396" s="10" t="e">
        <f>_xlfn.XLOOKUP(F396,Viloyatlar24[RegionName],Viloyatlar24[RegionId])</f>
        <v>#N/A</v>
      </c>
      <c r="I396" s="10" t="e">
        <f>_xlfn.XLOOKUP('Кўчмас мулк объектлари'!G396,Tumanlar23[DistrictName],Tumanlar23[DistrictId])</f>
        <v>#N/A</v>
      </c>
      <c r="K396" s="24"/>
      <c r="L396" s="10" t="e">
        <f>_xlfn.XLOOKUP(K396,Ташкилотлар39[Ташкилотлар],Ташкилотлар39[TashklilotID])</f>
        <v>#N/A</v>
      </c>
      <c r="M396" s="26"/>
      <c r="N396" s="26"/>
      <c r="O396" s="24"/>
      <c r="P396" s="2"/>
      <c r="Q396" s="26"/>
      <c r="R396" s="26"/>
      <c r="S396" s="26"/>
      <c r="T396" s="26"/>
      <c r="U396" s="24"/>
      <c r="V396" s="10" t="e">
        <f>_xlfn.XLOOKUP(U396,Таклифлар37[Таклифлар],Таклифлар37[TaklifID])</f>
        <v>#N/A</v>
      </c>
      <c r="W396" s="24"/>
      <c r="X396" s="23"/>
      <c r="Y396" s="7"/>
      <c r="Z396" s="26"/>
      <c r="AB396" s="23"/>
      <c r="AD396" s="2"/>
      <c r="AG396" s="23"/>
      <c r="AI396" s="26"/>
      <c r="AJ396" s="23"/>
      <c r="AM396" s="23"/>
      <c r="AO396" s="32"/>
      <c r="AP396" s="26"/>
      <c r="AR396" s="26"/>
      <c r="AS396" s="27"/>
      <c r="AT396" s="27"/>
      <c r="AU396" s="31"/>
      <c r="AV396" s="24"/>
      <c r="AW396"/>
      <c r="AX396"/>
      <c r="AY396"/>
      <c r="AZ396"/>
      <c r="BA396"/>
      <c r="BB396"/>
      <c r="BC396"/>
      <c r="BD396"/>
      <c r="BE396"/>
      <c r="BF396"/>
      <c r="BG396"/>
    </row>
    <row r="397" spans="2:59" x14ac:dyDescent="0.25">
      <c r="B397" s="22"/>
      <c r="C397" s="23"/>
      <c r="E397" s="23"/>
      <c r="F397" s="24"/>
      <c r="G397" s="2"/>
      <c r="H397" s="10" t="e">
        <f>_xlfn.XLOOKUP(F397,Viloyatlar24[RegionName],Viloyatlar24[RegionId])</f>
        <v>#N/A</v>
      </c>
      <c r="I397" s="10" t="e">
        <f>_xlfn.XLOOKUP('Кўчмас мулк объектлари'!G397,Tumanlar23[DistrictName],Tumanlar23[DistrictId])</f>
        <v>#N/A</v>
      </c>
      <c r="K397" s="24"/>
      <c r="L397" s="10" t="e">
        <f>_xlfn.XLOOKUP(K397,Ташкилотлар39[Ташкилотлар],Ташкилотлар39[TashklilotID])</f>
        <v>#N/A</v>
      </c>
      <c r="M397" s="26"/>
      <c r="N397" s="26"/>
      <c r="O397" s="24"/>
      <c r="P397" s="2"/>
      <c r="Q397" s="26"/>
      <c r="R397" s="26"/>
      <c r="S397" s="26"/>
      <c r="T397" s="26"/>
      <c r="U397" s="24"/>
      <c r="V397" s="10" t="e">
        <f>_xlfn.XLOOKUP(U397,Таклифлар37[Таклифлар],Таклифлар37[TaklifID])</f>
        <v>#N/A</v>
      </c>
      <c r="W397" s="24"/>
      <c r="X397" s="23"/>
      <c r="Y397" s="7"/>
      <c r="Z397" s="26"/>
      <c r="AB397" s="23"/>
      <c r="AD397" s="2"/>
      <c r="AG397" s="23"/>
      <c r="AI397" s="26"/>
      <c r="AJ397" s="23"/>
      <c r="AM397" s="23"/>
      <c r="AO397" s="32"/>
      <c r="AP397" s="26"/>
      <c r="AR397" s="26"/>
      <c r="AS397" s="27"/>
      <c r="AT397" s="27"/>
      <c r="AU397" s="31"/>
      <c r="AV397" s="24"/>
      <c r="AW397"/>
      <c r="AX397"/>
      <c r="AY397"/>
      <c r="AZ397"/>
      <c r="BA397"/>
      <c r="BB397"/>
      <c r="BC397"/>
      <c r="BD397"/>
      <c r="BE397"/>
      <c r="BF397"/>
      <c r="BG397"/>
    </row>
    <row r="398" spans="2:59" x14ac:dyDescent="0.25">
      <c r="B398" s="22"/>
      <c r="C398" s="23"/>
      <c r="E398" s="23"/>
      <c r="F398" s="24"/>
      <c r="G398" s="2"/>
      <c r="H398" s="10" t="e">
        <f>_xlfn.XLOOKUP(F398,Viloyatlar24[RegionName],Viloyatlar24[RegionId])</f>
        <v>#N/A</v>
      </c>
      <c r="I398" s="10" t="e">
        <f>_xlfn.XLOOKUP('Кўчмас мулк объектлари'!G398,Tumanlar23[DistrictName],Tumanlar23[DistrictId])</f>
        <v>#N/A</v>
      </c>
      <c r="K398" s="24"/>
      <c r="L398" s="10" t="e">
        <f>_xlfn.XLOOKUP(K398,Ташкилотлар39[Ташкилотлар],Ташкилотлар39[TashklilotID])</f>
        <v>#N/A</v>
      </c>
      <c r="M398" s="26"/>
      <c r="N398" s="26"/>
      <c r="O398" s="24"/>
      <c r="P398" s="2"/>
      <c r="Q398" s="26"/>
      <c r="R398" s="26"/>
      <c r="S398" s="26"/>
      <c r="T398" s="26"/>
      <c r="U398" s="24"/>
      <c r="V398" s="10" t="e">
        <f>_xlfn.XLOOKUP(U398,Таклифлар37[Таклифлар],Таклифлар37[TaklifID])</f>
        <v>#N/A</v>
      </c>
      <c r="W398" s="24"/>
      <c r="X398" s="23"/>
      <c r="Y398" s="7"/>
      <c r="Z398" s="26"/>
      <c r="AB398" s="23"/>
      <c r="AD398" s="2"/>
      <c r="AG398" s="23"/>
      <c r="AI398" s="26"/>
      <c r="AJ398" s="23"/>
      <c r="AM398" s="23"/>
      <c r="AO398" s="32"/>
      <c r="AP398" s="26"/>
      <c r="AR398" s="26"/>
      <c r="AS398" s="27"/>
      <c r="AT398" s="27"/>
      <c r="AU398" s="31"/>
      <c r="AV398" s="24"/>
      <c r="AW398"/>
      <c r="AX398"/>
      <c r="AY398"/>
      <c r="AZ398"/>
      <c r="BA398"/>
      <c r="BB398"/>
      <c r="BC398"/>
      <c r="BD398"/>
      <c r="BE398"/>
      <c r="BF398"/>
      <c r="BG398"/>
    </row>
    <row r="399" spans="2:59" x14ac:dyDescent="0.25">
      <c r="B399" s="22"/>
      <c r="C399" s="23"/>
      <c r="E399" s="23"/>
      <c r="F399" s="24"/>
      <c r="G399" s="2"/>
      <c r="H399" s="10" t="e">
        <f>_xlfn.XLOOKUP(F399,Viloyatlar24[RegionName],Viloyatlar24[RegionId])</f>
        <v>#N/A</v>
      </c>
      <c r="I399" s="10" t="e">
        <f>_xlfn.XLOOKUP('Кўчмас мулк объектлари'!G399,Tumanlar23[DistrictName],Tumanlar23[DistrictId])</f>
        <v>#N/A</v>
      </c>
      <c r="K399" s="24"/>
      <c r="L399" s="10" t="e">
        <f>_xlfn.XLOOKUP(K399,Ташкилотлар39[Ташкилотлар],Ташкилотлар39[TashklilotID])</f>
        <v>#N/A</v>
      </c>
      <c r="M399" s="26"/>
      <c r="N399" s="26"/>
      <c r="O399" s="24"/>
      <c r="P399" s="2"/>
      <c r="Q399" s="26"/>
      <c r="R399" s="26"/>
      <c r="S399" s="26"/>
      <c r="T399" s="26"/>
      <c r="U399" s="24"/>
      <c r="V399" s="10" t="e">
        <f>_xlfn.XLOOKUP(U399,Таклифлар37[Таклифлар],Таклифлар37[TaklifID])</f>
        <v>#N/A</v>
      </c>
      <c r="W399" s="24"/>
      <c r="X399" s="23"/>
      <c r="Y399" s="7"/>
      <c r="Z399" s="26"/>
      <c r="AB399" s="23"/>
      <c r="AD399" s="2"/>
      <c r="AG399" s="23"/>
      <c r="AI399" s="26"/>
      <c r="AJ399" s="23"/>
      <c r="AM399" s="23"/>
      <c r="AO399" s="32"/>
      <c r="AP399" s="26"/>
      <c r="AR399" s="26"/>
      <c r="AS399" s="27"/>
      <c r="AT399" s="27"/>
      <c r="AU399" s="31"/>
      <c r="AV399" s="24"/>
      <c r="AW399"/>
      <c r="AX399"/>
      <c r="AY399"/>
      <c r="AZ399"/>
      <c r="BA399"/>
      <c r="BB399"/>
      <c r="BC399"/>
      <c r="BD399"/>
      <c r="BE399"/>
      <c r="BF399"/>
      <c r="BG399"/>
    </row>
    <row r="400" spans="2:59" x14ac:dyDescent="0.25">
      <c r="B400" s="22"/>
      <c r="C400" s="23"/>
      <c r="E400" s="23"/>
      <c r="F400" s="24"/>
      <c r="G400" s="2"/>
      <c r="H400" s="10" t="e">
        <f>_xlfn.XLOOKUP(F400,Viloyatlar24[RegionName],Viloyatlar24[RegionId])</f>
        <v>#N/A</v>
      </c>
      <c r="I400" s="10" t="e">
        <f>_xlfn.XLOOKUP('Кўчмас мулк объектлари'!G400,Tumanlar23[DistrictName],Tumanlar23[DistrictId])</f>
        <v>#N/A</v>
      </c>
      <c r="K400" s="24"/>
      <c r="L400" s="10" t="e">
        <f>_xlfn.XLOOKUP(K400,Ташкилотлар39[Ташкилотлар],Ташкилотлар39[TashklilotID])</f>
        <v>#N/A</v>
      </c>
      <c r="M400" s="26"/>
      <c r="N400" s="26"/>
      <c r="O400" s="24"/>
      <c r="P400" s="2"/>
      <c r="Q400" s="26"/>
      <c r="R400" s="26"/>
      <c r="S400" s="26"/>
      <c r="T400" s="26"/>
      <c r="U400" s="24"/>
      <c r="V400" s="10" t="e">
        <f>_xlfn.XLOOKUP(U400,Таклифлар37[Таклифлар],Таклифлар37[TaklifID])</f>
        <v>#N/A</v>
      </c>
      <c r="W400" s="24"/>
      <c r="X400" s="23"/>
      <c r="Y400" s="7"/>
      <c r="Z400" s="26"/>
      <c r="AB400" s="23"/>
      <c r="AD400" s="2"/>
      <c r="AG400" s="23"/>
      <c r="AI400" s="26"/>
      <c r="AJ400" s="23"/>
      <c r="AM400" s="23"/>
      <c r="AO400" s="32"/>
      <c r="AP400" s="26"/>
      <c r="AR400" s="26"/>
      <c r="AS400" s="27"/>
      <c r="AT400" s="27"/>
      <c r="AU400" s="31"/>
      <c r="AV400" s="24"/>
      <c r="AW400"/>
      <c r="AX400"/>
      <c r="AY400"/>
      <c r="AZ400"/>
      <c r="BA400"/>
      <c r="BB400"/>
      <c r="BC400"/>
      <c r="BD400"/>
      <c r="BE400"/>
      <c r="BF400"/>
      <c r="BG400"/>
    </row>
    <row r="401" spans="2:59" x14ac:dyDescent="0.25">
      <c r="B401" s="22"/>
      <c r="C401" s="23"/>
      <c r="E401" s="23"/>
      <c r="F401" s="24"/>
      <c r="G401" s="2"/>
      <c r="H401" s="10" t="e">
        <f>_xlfn.XLOOKUP(F401,Viloyatlar24[RegionName],Viloyatlar24[RegionId])</f>
        <v>#N/A</v>
      </c>
      <c r="I401" s="10" t="e">
        <f>_xlfn.XLOOKUP('Кўчмас мулк объектлари'!G401,Tumanlar23[DistrictName],Tumanlar23[DistrictId])</f>
        <v>#N/A</v>
      </c>
      <c r="K401" s="24"/>
      <c r="L401" s="10" t="e">
        <f>_xlfn.XLOOKUP(K401,Ташкилотлар39[Ташкилотлар],Ташкилотлар39[TashklilotID])</f>
        <v>#N/A</v>
      </c>
      <c r="M401" s="26"/>
      <c r="N401" s="26"/>
      <c r="O401" s="24"/>
      <c r="P401" s="2"/>
      <c r="Q401" s="26"/>
      <c r="R401" s="26"/>
      <c r="S401" s="26"/>
      <c r="T401" s="26"/>
      <c r="U401" s="24"/>
      <c r="V401" s="10" t="e">
        <f>_xlfn.XLOOKUP(U401,Таклифлар37[Таклифлар],Таклифлар37[TaklifID])</f>
        <v>#N/A</v>
      </c>
      <c r="W401" s="24"/>
      <c r="X401" s="23"/>
      <c r="Y401" s="7"/>
      <c r="Z401" s="26"/>
      <c r="AB401" s="23"/>
      <c r="AD401" s="2"/>
      <c r="AG401" s="23"/>
      <c r="AI401" s="26"/>
      <c r="AJ401" s="23"/>
      <c r="AM401" s="23"/>
      <c r="AO401" s="32"/>
      <c r="AP401" s="26"/>
      <c r="AR401" s="26"/>
      <c r="AS401" s="27"/>
      <c r="AT401" s="27"/>
      <c r="AU401" s="31"/>
      <c r="AV401" s="24"/>
      <c r="AW401"/>
      <c r="AX401"/>
      <c r="AY401"/>
      <c r="AZ401"/>
      <c r="BA401"/>
      <c r="BB401"/>
      <c r="BC401"/>
      <c r="BD401"/>
      <c r="BE401"/>
      <c r="BF401"/>
      <c r="BG401"/>
    </row>
    <row r="402" spans="2:59" x14ac:dyDescent="0.25">
      <c r="B402" s="22"/>
      <c r="C402" s="23"/>
      <c r="E402" s="23"/>
      <c r="F402" s="24"/>
      <c r="G402" s="2"/>
      <c r="H402" s="10" t="e">
        <f>_xlfn.XLOOKUP(F402,Viloyatlar24[RegionName],Viloyatlar24[RegionId])</f>
        <v>#N/A</v>
      </c>
      <c r="I402" s="10" t="e">
        <f>_xlfn.XLOOKUP('Кўчмас мулк объектлари'!G402,Tumanlar23[DistrictName],Tumanlar23[DistrictId])</f>
        <v>#N/A</v>
      </c>
      <c r="K402" s="24"/>
      <c r="L402" s="10" t="e">
        <f>_xlfn.XLOOKUP(K402,Ташкилотлар39[Ташкилотлар],Ташкилотлар39[TashklilotID])</f>
        <v>#N/A</v>
      </c>
      <c r="M402" s="26"/>
      <c r="N402" s="26"/>
      <c r="O402" s="24"/>
      <c r="P402" s="2"/>
      <c r="Q402" s="26"/>
      <c r="R402" s="26"/>
      <c r="S402" s="26"/>
      <c r="T402" s="26"/>
      <c r="U402" s="24"/>
      <c r="V402" s="10" t="e">
        <f>_xlfn.XLOOKUP(U402,Таклифлар37[Таклифлар],Таклифлар37[TaklifID])</f>
        <v>#N/A</v>
      </c>
      <c r="W402" s="24"/>
      <c r="X402" s="23"/>
      <c r="Y402" s="7"/>
      <c r="Z402" s="26"/>
      <c r="AB402" s="23"/>
      <c r="AD402" s="2"/>
      <c r="AG402" s="23"/>
      <c r="AI402" s="26"/>
      <c r="AJ402" s="23"/>
      <c r="AM402" s="23"/>
      <c r="AO402" s="32"/>
      <c r="AP402" s="26"/>
      <c r="AR402" s="26"/>
      <c r="AS402" s="27"/>
      <c r="AT402" s="27"/>
      <c r="AU402" s="31"/>
      <c r="AV402" s="24"/>
      <c r="AW402"/>
      <c r="AX402"/>
      <c r="AY402"/>
      <c r="AZ402"/>
      <c r="BA402"/>
      <c r="BB402"/>
      <c r="BC402"/>
      <c r="BD402"/>
      <c r="BE402"/>
      <c r="BF402"/>
      <c r="BG402"/>
    </row>
    <row r="403" spans="2:59" x14ac:dyDescent="0.25">
      <c r="B403" s="22"/>
      <c r="C403" s="23"/>
      <c r="E403" s="23"/>
      <c r="F403" s="24"/>
      <c r="G403" s="2"/>
      <c r="H403" s="10" t="e">
        <f>_xlfn.XLOOKUP(F403,Viloyatlar24[RegionName],Viloyatlar24[RegionId])</f>
        <v>#N/A</v>
      </c>
      <c r="I403" s="10" t="e">
        <f>_xlfn.XLOOKUP('Кўчмас мулк объектлари'!G403,Tumanlar23[DistrictName],Tumanlar23[DistrictId])</f>
        <v>#N/A</v>
      </c>
      <c r="K403" s="24"/>
      <c r="L403" s="10" t="e">
        <f>_xlfn.XLOOKUP(K403,Ташкилотлар39[Ташкилотлар],Ташкилотлар39[TashklilotID])</f>
        <v>#N/A</v>
      </c>
      <c r="M403" s="26"/>
      <c r="N403" s="26"/>
      <c r="O403" s="24"/>
      <c r="P403" s="2"/>
      <c r="Q403" s="26"/>
      <c r="R403" s="26"/>
      <c r="S403" s="26"/>
      <c r="T403" s="26"/>
      <c r="U403" s="24"/>
      <c r="V403" s="10" t="e">
        <f>_xlfn.XLOOKUP(U403,Таклифлар37[Таклифлар],Таклифлар37[TaklifID])</f>
        <v>#N/A</v>
      </c>
      <c r="W403" s="24"/>
      <c r="X403" s="23"/>
      <c r="Y403" s="7"/>
      <c r="Z403" s="26"/>
      <c r="AB403" s="23"/>
      <c r="AD403" s="2"/>
      <c r="AG403" s="23"/>
      <c r="AI403" s="26"/>
      <c r="AJ403" s="23"/>
      <c r="AM403" s="23"/>
      <c r="AO403" s="32"/>
      <c r="AP403" s="26"/>
      <c r="AR403" s="26"/>
      <c r="AS403" s="27"/>
      <c r="AT403" s="27"/>
      <c r="AU403" s="31"/>
      <c r="AV403" s="24"/>
      <c r="AW403"/>
      <c r="AX403"/>
      <c r="AY403"/>
      <c r="AZ403"/>
      <c r="BA403"/>
      <c r="BB403"/>
      <c r="BC403"/>
      <c r="BD403"/>
      <c r="BE403"/>
      <c r="BF403"/>
      <c r="BG403"/>
    </row>
    <row r="404" spans="2:59" x14ac:dyDescent="0.25">
      <c r="B404" s="22"/>
      <c r="C404" s="23"/>
      <c r="E404" s="23"/>
      <c r="F404" s="24"/>
      <c r="G404" s="2"/>
      <c r="H404" s="10" t="e">
        <f>_xlfn.XLOOKUP(F404,Viloyatlar24[RegionName],Viloyatlar24[RegionId])</f>
        <v>#N/A</v>
      </c>
      <c r="I404" s="10" t="e">
        <f>_xlfn.XLOOKUP('Кўчмас мулк объектлари'!G404,Tumanlar23[DistrictName],Tumanlar23[DistrictId])</f>
        <v>#N/A</v>
      </c>
      <c r="K404" s="24"/>
      <c r="L404" s="10" t="e">
        <f>_xlfn.XLOOKUP(K404,Ташкилотлар39[Ташкилотлар],Ташкилотлар39[TashklilotID])</f>
        <v>#N/A</v>
      </c>
      <c r="M404" s="26"/>
      <c r="N404" s="26"/>
      <c r="O404" s="24"/>
      <c r="P404" s="2"/>
      <c r="Q404" s="26"/>
      <c r="R404" s="26"/>
      <c r="S404" s="26"/>
      <c r="T404" s="26"/>
      <c r="U404" s="24"/>
      <c r="V404" s="10" t="e">
        <f>_xlfn.XLOOKUP(U404,Таклифлар37[Таклифлар],Таклифлар37[TaklifID])</f>
        <v>#N/A</v>
      </c>
      <c r="W404" s="24"/>
      <c r="X404" s="23"/>
      <c r="Y404" s="7"/>
      <c r="Z404" s="26"/>
      <c r="AB404" s="23"/>
      <c r="AD404" s="2"/>
      <c r="AG404" s="23"/>
      <c r="AI404" s="26"/>
      <c r="AJ404" s="23"/>
      <c r="AM404" s="23"/>
      <c r="AO404" s="32"/>
      <c r="AP404" s="26"/>
      <c r="AR404" s="26"/>
      <c r="AS404" s="27"/>
      <c r="AT404" s="27"/>
      <c r="AU404" s="31"/>
      <c r="AV404" s="24"/>
      <c r="AW404"/>
      <c r="AX404"/>
      <c r="AY404"/>
      <c r="AZ404"/>
      <c r="BA404"/>
      <c r="BB404"/>
      <c r="BC404"/>
      <c r="BD404"/>
      <c r="BE404"/>
      <c r="BF404"/>
      <c r="BG404"/>
    </row>
    <row r="405" spans="2:59" x14ac:dyDescent="0.25">
      <c r="B405" s="22"/>
      <c r="C405" s="23"/>
      <c r="E405" s="23"/>
      <c r="F405" s="24"/>
      <c r="G405" s="2"/>
      <c r="H405" s="10" t="e">
        <f>_xlfn.XLOOKUP(F405,Viloyatlar24[RegionName],Viloyatlar24[RegionId])</f>
        <v>#N/A</v>
      </c>
      <c r="I405" s="10" t="e">
        <f>_xlfn.XLOOKUP('Кўчмас мулк объектлари'!G405,Tumanlar23[DistrictName],Tumanlar23[DistrictId])</f>
        <v>#N/A</v>
      </c>
      <c r="K405" s="24"/>
      <c r="L405" s="10" t="e">
        <f>_xlfn.XLOOKUP(K405,Ташкилотлар39[Ташкилотлар],Ташкилотлар39[TashklilotID])</f>
        <v>#N/A</v>
      </c>
      <c r="M405" s="26"/>
      <c r="N405" s="26"/>
      <c r="O405" s="24"/>
      <c r="P405" s="2"/>
      <c r="Q405" s="26"/>
      <c r="R405" s="26"/>
      <c r="S405" s="26"/>
      <c r="T405" s="26"/>
      <c r="U405" s="24"/>
      <c r="V405" s="10" t="e">
        <f>_xlfn.XLOOKUP(U405,Таклифлар37[Таклифлар],Таклифлар37[TaklifID])</f>
        <v>#N/A</v>
      </c>
      <c r="W405" s="24"/>
      <c r="X405" s="23"/>
      <c r="Y405" s="7"/>
      <c r="Z405" s="26"/>
      <c r="AB405" s="23"/>
      <c r="AD405" s="2"/>
      <c r="AG405" s="23"/>
      <c r="AI405" s="26"/>
      <c r="AJ405" s="23"/>
      <c r="AM405" s="23"/>
      <c r="AO405" s="32"/>
      <c r="AP405" s="26"/>
      <c r="AR405" s="26"/>
      <c r="AS405" s="27"/>
      <c r="AT405" s="27"/>
      <c r="AU405" s="31"/>
      <c r="AV405" s="24"/>
      <c r="AW405"/>
      <c r="AX405"/>
      <c r="AY405"/>
      <c r="AZ405"/>
      <c r="BA405"/>
      <c r="BB405"/>
      <c r="BC405"/>
      <c r="BD405"/>
      <c r="BE405"/>
      <c r="BF405"/>
      <c r="BG405"/>
    </row>
    <row r="406" spans="2:59" x14ac:dyDescent="0.25">
      <c r="B406" s="22"/>
      <c r="C406" s="23"/>
      <c r="E406" s="23"/>
      <c r="F406" s="24"/>
      <c r="G406" s="2"/>
      <c r="H406" s="10" t="e">
        <f>_xlfn.XLOOKUP(F406,Viloyatlar24[RegionName],Viloyatlar24[RegionId])</f>
        <v>#N/A</v>
      </c>
      <c r="I406" s="10" t="e">
        <f>_xlfn.XLOOKUP('Кўчмас мулк объектлари'!G406,Tumanlar23[DistrictName],Tumanlar23[DistrictId])</f>
        <v>#N/A</v>
      </c>
      <c r="K406" s="24"/>
      <c r="L406" s="10" t="e">
        <f>_xlfn.XLOOKUP(K406,Ташкилотлар39[Ташкилотлар],Ташкилотлар39[TashklilotID])</f>
        <v>#N/A</v>
      </c>
      <c r="M406" s="26"/>
      <c r="N406" s="26"/>
      <c r="O406" s="24"/>
      <c r="P406" s="2"/>
      <c r="Q406" s="26"/>
      <c r="R406" s="26"/>
      <c r="S406" s="26"/>
      <c r="T406" s="26"/>
      <c r="U406" s="24"/>
      <c r="V406" s="10" t="e">
        <f>_xlfn.XLOOKUP(U406,Таклифлар37[Таклифлар],Таклифлар37[TaklifID])</f>
        <v>#N/A</v>
      </c>
      <c r="W406" s="24"/>
      <c r="X406" s="23"/>
      <c r="Y406" s="7"/>
      <c r="Z406" s="26"/>
      <c r="AB406" s="23"/>
      <c r="AD406" s="2"/>
      <c r="AG406" s="23"/>
      <c r="AI406" s="26"/>
      <c r="AJ406" s="23"/>
      <c r="AM406" s="23"/>
      <c r="AO406" s="32"/>
      <c r="AP406" s="26"/>
      <c r="AR406" s="26"/>
      <c r="AS406" s="27"/>
      <c r="AT406" s="27"/>
      <c r="AU406" s="31"/>
      <c r="AV406" s="24"/>
      <c r="AW406"/>
      <c r="AX406"/>
      <c r="AY406"/>
      <c r="AZ406"/>
      <c r="BA406"/>
      <c r="BB406"/>
      <c r="BC406"/>
      <c r="BD406"/>
      <c r="BE406"/>
      <c r="BF406"/>
      <c r="BG406"/>
    </row>
    <row r="407" spans="2:59" x14ac:dyDescent="0.25">
      <c r="B407" s="22"/>
      <c r="C407" s="23"/>
      <c r="E407" s="23"/>
      <c r="F407" s="24"/>
      <c r="G407" s="2"/>
      <c r="H407" s="10" t="e">
        <f>_xlfn.XLOOKUP(F407,Viloyatlar24[RegionName],Viloyatlar24[RegionId])</f>
        <v>#N/A</v>
      </c>
      <c r="I407" s="10" t="e">
        <f>_xlfn.XLOOKUP('Кўчмас мулк объектлари'!G407,Tumanlar23[DistrictName],Tumanlar23[DistrictId])</f>
        <v>#N/A</v>
      </c>
      <c r="K407" s="24"/>
      <c r="L407" s="10" t="e">
        <f>_xlfn.XLOOKUP(K407,Ташкилотлар39[Ташкилотлар],Ташкилотлар39[TashklilotID])</f>
        <v>#N/A</v>
      </c>
      <c r="M407" s="26"/>
      <c r="N407" s="26"/>
      <c r="O407" s="24"/>
      <c r="P407" s="2"/>
      <c r="Q407" s="26"/>
      <c r="R407" s="26"/>
      <c r="S407" s="26"/>
      <c r="T407" s="26"/>
      <c r="U407" s="24"/>
      <c r="V407" s="10" t="e">
        <f>_xlfn.XLOOKUP(U407,Таклифлар37[Таклифлар],Таклифлар37[TaklifID])</f>
        <v>#N/A</v>
      </c>
      <c r="W407" s="24"/>
      <c r="X407" s="23"/>
      <c r="Y407" s="7"/>
      <c r="Z407" s="26"/>
      <c r="AB407" s="23"/>
      <c r="AD407" s="2"/>
      <c r="AG407" s="23"/>
      <c r="AI407" s="26"/>
      <c r="AJ407" s="23"/>
      <c r="AM407" s="23"/>
      <c r="AO407" s="32"/>
      <c r="AP407" s="26"/>
      <c r="AR407" s="26"/>
      <c r="AS407" s="27"/>
      <c r="AT407" s="27"/>
      <c r="AU407" s="31"/>
      <c r="AV407" s="24"/>
      <c r="AW407"/>
      <c r="AX407"/>
      <c r="AY407"/>
      <c r="AZ407"/>
      <c r="BA407"/>
      <c r="BB407"/>
      <c r="BC407"/>
      <c r="BD407"/>
      <c r="BE407"/>
      <c r="BF407"/>
      <c r="BG407"/>
    </row>
    <row r="408" spans="2:59" x14ac:dyDescent="0.25">
      <c r="B408" s="22"/>
      <c r="C408" s="23"/>
      <c r="E408" s="23"/>
      <c r="F408" s="24"/>
      <c r="G408" s="2"/>
      <c r="H408" s="10" t="e">
        <f>_xlfn.XLOOKUP(F408,Viloyatlar24[RegionName],Viloyatlar24[RegionId])</f>
        <v>#N/A</v>
      </c>
      <c r="I408" s="10" t="e">
        <f>_xlfn.XLOOKUP('Кўчмас мулк объектлари'!G408,Tumanlar23[DistrictName],Tumanlar23[DistrictId])</f>
        <v>#N/A</v>
      </c>
      <c r="K408" s="24"/>
      <c r="L408" s="10" t="e">
        <f>_xlfn.XLOOKUP(K408,Ташкилотлар39[Ташкилотлар],Ташкилотлар39[TashklilotID])</f>
        <v>#N/A</v>
      </c>
      <c r="M408" s="26"/>
      <c r="N408" s="26"/>
      <c r="O408" s="24"/>
      <c r="P408" s="2"/>
      <c r="Q408" s="26"/>
      <c r="R408" s="26"/>
      <c r="S408" s="26"/>
      <c r="T408" s="26"/>
      <c r="U408" s="24"/>
      <c r="V408" s="10" t="e">
        <f>_xlfn.XLOOKUP(U408,Таклифлар37[Таклифлар],Таклифлар37[TaklifID])</f>
        <v>#N/A</v>
      </c>
      <c r="W408" s="24"/>
      <c r="X408" s="23"/>
      <c r="Y408" s="7"/>
      <c r="Z408" s="26"/>
      <c r="AB408" s="23"/>
      <c r="AD408" s="2"/>
      <c r="AG408" s="23"/>
      <c r="AI408" s="26"/>
      <c r="AJ408" s="23"/>
      <c r="AM408" s="23"/>
      <c r="AO408" s="32"/>
      <c r="AP408" s="26"/>
      <c r="AR408" s="26"/>
      <c r="AS408" s="27"/>
      <c r="AT408" s="27"/>
      <c r="AU408" s="31"/>
      <c r="AV408" s="24"/>
      <c r="AW408"/>
      <c r="AX408"/>
      <c r="AY408"/>
      <c r="AZ408"/>
      <c r="BA408"/>
      <c r="BB408"/>
      <c r="BC408"/>
      <c r="BD408"/>
      <c r="BE408"/>
      <c r="BF408"/>
      <c r="BG408"/>
    </row>
    <row r="409" spans="2:59" x14ac:dyDescent="0.25">
      <c r="B409" s="22"/>
      <c r="C409" s="23"/>
      <c r="E409" s="23"/>
      <c r="F409" s="24"/>
      <c r="G409" s="2"/>
      <c r="H409" s="10" t="e">
        <f>_xlfn.XLOOKUP(F409,Viloyatlar24[RegionName],Viloyatlar24[RegionId])</f>
        <v>#N/A</v>
      </c>
      <c r="I409" s="10" t="e">
        <f>_xlfn.XLOOKUP('Кўчмас мулк объектлари'!G409,Tumanlar23[DistrictName],Tumanlar23[DistrictId])</f>
        <v>#N/A</v>
      </c>
      <c r="K409" s="24"/>
      <c r="L409" s="10" t="e">
        <f>_xlfn.XLOOKUP(K409,Ташкилотлар39[Ташкилотлар],Ташкилотлар39[TashklilotID])</f>
        <v>#N/A</v>
      </c>
      <c r="M409" s="26"/>
      <c r="N409" s="26"/>
      <c r="O409" s="24"/>
      <c r="P409" s="2"/>
      <c r="Q409" s="26"/>
      <c r="R409" s="26"/>
      <c r="S409" s="26"/>
      <c r="T409" s="26"/>
      <c r="U409" s="24"/>
      <c r="V409" s="10" t="e">
        <f>_xlfn.XLOOKUP(U409,Таклифлар37[Таклифлар],Таклифлар37[TaklifID])</f>
        <v>#N/A</v>
      </c>
      <c r="W409" s="24"/>
      <c r="X409" s="23"/>
      <c r="Y409" s="7"/>
      <c r="Z409" s="26"/>
      <c r="AB409" s="23"/>
      <c r="AD409" s="2"/>
      <c r="AG409" s="23"/>
      <c r="AI409" s="26"/>
      <c r="AJ409" s="23"/>
      <c r="AM409" s="23"/>
      <c r="AO409" s="32"/>
      <c r="AP409" s="26"/>
      <c r="AR409" s="26"/>
      <c r="AS409" s="27"/>
      <c r="AT409" s="27"/>
      <c r="AU409" s="31"/>
      <c r="AV409" s="24"/>
      <c r="AW409"/>
      <c r="AX409"/>
      <c r="AY409"/>
      <c r="AZ409"/>
      <c r="BA409"/>
      <c r="BB409"/>
      <c r="BC409"/>
      <c r="BD409"/>
      <c r="BE409"/>
      <c r="BF409"/>
      <c r="BG409"/>
    </row>
    <row r="410" spans="2:59" x14ac:dyDescent="0.25">
      <c r="B410" s="22"/>
      <c r="C410" s="23"/>
      <c r="E410" s="23"/>
      <c r="F410" s="24"/>
      <c r="G410" s="2"/>
      <c r="H410" s="10" t="e">
        <f>_xlfn.XLOOKUP(F410,Viloyatlar24[RegionName],Viloyatlar24[RegionId])</f>
        <v>#N/A</v>
      </c>
      <c r="I410" s="10" t="e">
        <f>_xlfn.XLOOKUP('Кўчмас мулк объектлари'!G410,Tumanlar23[DistrictName],Tumanlar23[DistrictId])</f>
        <v>#N/A</v>
      </c>
      <c r="K410" s="24"/>
      <c r="L410" s="10" t="e">
        <f>_xlfn.XLOOKUP(K410,Ташкилотлар39[Ташкилотлар],Ташкилотлар39[TashklilotID])</f>
        <v>#N/A</v>
      </c>
      <c r="M410" s="26"/>
      <c r="N410" s="26"/>
      <c r="O410" s="24"/>
      <c r="P410" s="2"/>
      <c r="Q410" s="26"/>
      <c r="R410" s="26"/>
      <c r="S410" s="26"/>
      <c r="T410" s="26"/>
      <c r="U410" s="24"/>
      <c r="V410" s="10" t="e">
        <f>_xlfn.XLOOKUP(U410,Таклифлар37[Таклифлар],Таклифлар37[TaklifID])</f>
        <v>#N/A</v>
      </c>
      <c r="W410" s="24"/>
      <c r="X410" s="23"/>
      <c r="Y410" s="7"/>
      <c r="Z410" s="26"/>
      <c r="AB410" s="23"/>
      <c r="AD410" s="2"/>
      <c r="AG410" s="23"/>
      <c r="AI410" s="26"/>
      <c r="AJ410" s="23"/>
      <c r="AM410" s="23"/>
      <c r="AO410" s="32"/>
      <c r="AP410" s="26"/>
      <c r="AR410" s="26"/>
      <c r="AS410" s="27"/>
      <c r="AT410" s="27"/>
      <c r="AU410" s="31"/>
      <c r="AV410" s="24"/>
      <c r="AW410"/>
      <c r="AX410"/>
      <c r="AY410"/>
      <c r="AZ410"/>
      <c r="BA410"/>
      <c r="BB410"/>
      <c r="BC410"/>
      <c r="BD410"/>
      <c r="BE410"/>
      <c r="BF410"/>
      <c r="BG410"/>
    </row>
    <row r="411" spans="2:59" x14ac:dyDescent="0.25">
      <c r="B411" s="22"/>
      <c r="C411" s="23"/>
      <c r="E411" s="23"/>
      <c r="F411" s="24"/>
      <c r="G411" s="2"/>
      <c r="H411" s="10" t="e">
        <f>_xlfn.XLOOKUP(F411,Viloyatlar24[RegionName],Viloyatlar24[RegionId])</f>
        <v>#N/A</v>
      </c>
      <c r="I411" s="10" t="e">
        <f>_xlfn.XLOOKUP('Кўчмас мулк объектлари'!G411,Tumanlar23[DistrictName],Tumanlar23[DistrictId])</f>
        <v>#N/A</v>
      </c>
      <c r="K411" s="24"/>
      <c r="L411" s="10" t="e">
        <f>_xlfn.XLOOKUP(K411,Ташкилотлар39[Ташкилотлар],Ташкилотлар39[TashklilotID])</f>
        <v>#N/A</v>
      </c>
      <c r="M411" s="26"/>
      <c r="N411" s="26"/>
      <c r="O411" s="24"/>
      <c r="P411" s="2"/>
      <c r="Q411" s="26"/>
      <c r="R411" s="26"/>
      <c r="S411" s="26"/>
      <c r="T411" s="26"/>
      <c r="U411" s="24"/>
      <c r="V411" s="10" t="e">
        <f>_xlfn.XLOOKUP(U411,Таклифлар37[Таклифлар],Таклифлар37[TaklifID])</f>
        <v>#N/A</v>
      </c>
      <c r="W411" s="24"/>
      <c r="X411" s="23"/>
      <c r="Y411" s="7"/>
      <c r="Z411" s="26"/>
      <c r="AB411" s="23"/>
      <c r="AD411" s="2"/>
      <c r="AG411" s="23"/>
      <c r="AI411" s="26"/>
      <c r="AJ411" s="23"/>
      <c r="AM411" s="23"/>
      <c r="AO411" s="32"/>
      <c r="AP411" s="26"/>
      <c r="AR411" s="26"/>
      <c r="AS411" s="27"/>
      <c r="AT411" s="27"/>
      <c r="AU411" s="31"/>
      <c r="AV411" s="24"/>
      <c r="AW411"/>
      <c r="AX411"/>
      <c r="AY411"/>
      <c r="AZ411"/>
      <c r="BA411"/>
      <c r="BB411"/>
      <c r="BC411"/>
      <c r="BD411"/>
      <c r="BE411"/>
      <c r="BF411"/>
      <c r="BG411"/>
    </row>
    <row r="412" spans="2:59" x14ac:dyDescent="0.25">
      <c r="B412" s="22"/>
      <c r="C412" s="23"/>
      <c r="E412" s="23"/>
      <c r="F412" s="24"/>
      <c r="G412" s="2"/>
      <c r="H412" s="10" t="e">
        <f>_xlfn.XLOOKUP(F412,Viloyatlar24[RegionName],Viloyatlar24[RegionId])</f>
        <v>#N/A</v>
      </c>
      <c r="I412" s="10" t="e">
        <f>_xlfn.XLOOKUP('Кўчмас мулк объектлари'!G412,Tumanlar23[DistrictName],Tumanlar23[DistrictId])</f>
        <v>#N/A</v>
      </c>
      <c r="K412" s="24"/>
      <c r="L412" s="10" t="e">
        <f>_xlfn.XLOOKUP(K412,Ташкилотлар39[Ташкилотлар],Ташкилотлар39[TashklilotID])</f>
        <v>#N/A</v>
      </c>
      <c r="M412" s="26"/>
      <c r="N412" s="26"/>
      <c r="O412" s="24"/>
      <c r="P412" s="2"/>
      <c r="Q412" s="26"/>
      <c r="R412" s="26"/>
      <c r="S412" s="26"/>
      <c r="T412" s="26"/>
      <c r="U412" s="24"/>
      <c r="V412" s="10" t="e">
        <f>_xlfn.XLOOKUP(U412,Таклифлар37[Таклифлар],Таклифлар37[TaklifID])</f>
        <v>#N/A</v>
      </c>
      <c r="W412" s="24"/>
      <c r="X412" s="23"/>
      <c r="Y412" s="7"/>
      <c r="Z412" s="26"/>
      <c r="AB412" s="23"/>
      <c r="AD412" s="2"/>
      <c r="AG412" s="23"/>
      <c r="AI412" s="26"/>
      <c r="AJ412" s="23"/>
      <c r="AM412" s="23"/>
      <c r="AO412" s="32"/>
      <c r="AP412" s="26"/>
      <c r="AR412" s="26"/>
      <c r="AS412" s="27"/>
      <c r="AT412" s="27"/>
      <c r="AU412" s="31"/>
      <c r="AV412" s="24"/>
      <c r="AW412"/>
      <c r="AX412"/>
      <c r="AY412"/>
      <c r="AZ412"/>
      <c r="BA412"/>
      <c r="BB412"/>
      <c r="BC412"/>
      <c r="BD412"/>
      <c r="BE412"/>
      <c r="BF412"/>
      <c r="BG412"/>
    </row>
    <row r="413" spans="2:59" x14ac:dyDescent="0.25">
      <c r="B413" s="22"/>
      <c r="C413" s="23"/>
      <c r="E413" s="23"/>
      <c r="F413" s="24"/>
      <c r="G413" s="2"/>
      <c r="H413" s="10" t="e">
        <f>_xlfn.XLOOKUP(F413,Viloyatlar24[RegionName],Viloyatlar24[RegionId])</f>
        <v>#N/A</v>
      </c>
      <c r="I413" s="10" t="e">
        <f>_xlfn.XLOOKUP('Кўчмас мулк объектлари'!G413,Tumanlar23[DistrictName],Tumanlar23[DistrictId])</f>
        <v>#N/A</v>
      </c>
      <c r="K413" s="24"/>
      <c r="L413" s="10" t="e">
        <f>_xlfn.XLOOKUP(K413,Ташкилотлар39[Ташкилотлар],Ташкилотлар39[TashklilotID])</f>
        <v>#N/A</v>
      </c>
      <c r="M413" s="26"/>
      <c r="N413" s="26"/>
      <c r="O413" s="24"/>
      <c r="P413" s="2"/>
      <c r="Q413" s="26"/>
      <c r="R413" s="26"/>
      <c r="S413" s="26"/>
      <c r="T413" s="26"/>
      <c r="U413" s="24"/>
      <c r="V413" s="10" t="e">
        <f>_xlfn.XLOOKUP(U413,Таклифлар37[Таклифлар],Таклифлар37[TaklifID])</f>
        <v>#N/A</v>
      </c>
      <c r="W413" s="24"/>
      <c r="X413" s="23"/>
      <c r="Y413" s="7"/>
      <c r="Z413" s="26"/>
      <c r="AB413" s="23"/>
      <c r="AD413" s="2"/>
      <c r="AG413" s="23"/>
      <c r="AI413" s="26"/>
      <c r="AJ413" s="23"/>
      <c r="AM413" s="23"/>
      <c r="AO413" s="32"/>
      <c r="AP413" s="26"/>
      <c r="AR413" s="26"/>
      <c r="AS413" s="27"/>
      <c r="AT413" s="27"/>
      <c r="AU413" s="31"/>
      <c r="AV413" s="24"/>
      <c r="AW413"/>
      <c r="AX413"/>
      <c r="AY413"/>
      <c r="AZ413"/>
      <c r="BA413"/>
      <c r="BB413"/>
      <c r="BC413"/>
      <c r="BD413"/>
      <c r="BE413"/>
      <c r="BF413"/>
      <c r="BG413"/>
    </row>
    <row r="414" spans="2:59" x14ac:dyDescent="0.25">
      <c r="B414" s="22"/>
      <c r="C414" s="23"/>
      <c r="E414" s="23"/>
      <c r="F414" s="24"/>
      <c r="G414" s="2"/>
      <c r="H414" s="10" t="e">
        <f>_xlfn.XLOOKUP(F414,Viloyatlar24[RegionName],Viloyatlar24[RegionId])</f>
        <v>#N/A</v>
      </c>
      <c r="I414" s="10" t="e">
        <f>_xlfn.XLOOKUP('Кўчмас мулк объектлари'!G414,Tumanlar23[DistrictName],Tumanlar23[DistrictId])</f>
        <v>#N/A</v>
      </c>
      <c r="K414" s="24"/>
      <c r="L414" s="10" t="e">
        <f>_xlfn.XLOOKUP(K414,Ташкилотлар39[Ташкилотлар],Ташкилотлар39[TashklilotID])</f>
        <v>#N/A</v>
      </c>
      <c r="M414" s="26"/>
      <c r="N414" s="26"/>
      <c r="O414" s="24"/>
      <c r="P414" s="2"/>
      <c r="Q414" s="26"/>
      <c r="R414" s="26"/>
      <c r="S414" s="26"/>
      <c r="T414" s="26"/>
      <c r="U414" s="24"/>
      <c r="V414" s="10" t="e">
        <f>_xlfn.XLOOKUP(U414,Таклифлар37[Таклифлар],Таклифлар37[TaklifID])</f>
        <v>#N/A</v>
      </c>
      <c r="W414" s="24"/>
      <c r="X414" s="23"/>
      <c r="Y414" s="7"/>
      <c r="Z414" s="26"/>
      <c r="AB414" s="23"/>
      <c r="AD414" s="2"/>
      <c r="AG414" s="23"/>
      <c r="AI414" s="26"/>
      <c r="AJ414" s="23"/>
      <c r="AM414" s="23"/>
      <c r="AO414" s="32"/>
      <c r="AP414" s="26"/>
      <c r="AR414" s="26"/>
      <c r="AS414" s="27"/>
      <c r="AT414" s="27"/>
      <c r="AU414" s="31"/>
      <c r="AV414" s="24"/>
      <c r="AW414"/>
      <c r="AX414"/>
      <c r="AY414"/>
      <c r="AZ414"/>
      <c r="BA414"/>
      <c r="BB414"/>
      <c r="BC414"/>
      <c r="BD414"/>
      <c r="BE414"/>
      <c r="BF414"/>
      <c r="BG414"/>
    </row>
    <row r="415" spans="2:59" x14ac:dyDescent="0.25">
      <c r="B415" s="22"/>
      <c r="C415" s="23"/>
      <c r="E415" s="23"/>
      <c r="F415" s="24"/>
      <c r="G415" s="2"/>
      <c r="H415" s="10" t="e">
        <f>_xlfn.XLOOKUP(F415,Viloyatlar24[RegionName],Viloyatlar24[RegionId])</f>
        <v>#N/A</v>
      </c>
      <c r="I415" s="10" t="e">
        <f>_xlfn.XLOOKUP('Кўчмас мулк объектлари'!G415,Tumanlar23[DistrictName],Tumanlar23[DistrictId])</f>
        <v>#N/A</v>
      </c>
      <c r="K415" s="24"/>
      <c r="L415" s="10" t="e">
        <f>_xlfn.XLOOKUP(K415,Ташкилотлар39[Ташкилотлар],Ташкилотлар39[TashklilotID])</f>
        <v>#N/A</v>
      </c>
      <c r="M415" s="26"/>
      <c r="N415" s="26"/>
      <c r="O415" s="24"/>
      <c r="P415" s="2"/>
      <c r="Q415" s="26"/>
      <c r="R415" s="26"/>
      <c r="S415" s="26"/>
      <c r="T415" s="26"/>
      <c r="U415" s="24"/>
      <c r="V415" s="10" t="e">
        <f>_xlfn.XLOOKUP(U415,Таклифлар37[Таклифлар],Таклифлар37[TaklifID])</f>
        <v>#N/A</v>
      </c>
      <c r="W415" s="24"/>
      <c r="X415" s="23"/>
      <c r="Y415" s="7"/>
      <c r="Z415" s="26"/>
      <c r="AB415" s="23"/>
      <c r="AD415" s="2"/>
      <c r="AG415" s="23"/>
      <c r="AI415" s="26"/>
      <c r="AJ415" s="23"/>
      <c r="AM415" s="23"/>
      <c r="AO415" s="32"/>
      <c r="AP415" s="26"/>
      <c r="AR415" s="26"/>
      <c r="AS415" s="27"/>
      <c r="AT415" s="27"/>
      <c r="AU415" s="31"/>
      <c r="AV415" s="24"/>
      <c r="AW415"/>
      <c r="AX415"/>
      <c r="AY415"/>
      <c r="AZ415"/>
      <c r="BA415"/>
      <c r="BB415"/>
      <c r="BC415"/>
      <c r="BD415"/>
      <c r="BE415"/>
      <c r="BF415"/>
      <c r="BG415"/>
    </row>
    <row r="416" spans="2:59" x14ac:dyDescent="0.25">
      <c r="B416" s="22"/>
      <c r="C416" s="23"/>
      <c r="E416" s="23"/>
      <c r="F416" s="24"/>
      <c r="G416" s="2"/>
      <c r="H416" s="10" t="e">
        <f>_xlfn.XLOOKUP(F416,Viloyatlar24[RegionName],Viloyatlar24[RegionId])</f>
        <v>#N/A</v>
      </c>
      <c r="I416" s="10" t="e">
        <f>_xlfn.XLOOKUP('Кўчмас мулк объектлари'!G416,Tumanlar23[DistrictName],Tumanlar23[DistrictId])</f>
        <v>#N/A</v>
      </c>
      <c r="K416" s="24"/>
      <c r="L416" s="10" t="e">
        <f>_xlfn.XLOOKUP(K416,Ташкилотлар39[Ташкилотлар],Ташкилотлар39[TashklilotID])</f>
        <v>#N/A</v>
      </c>
      <c r="M416" s="26"/>
      <c r="N416" s="26"/>
      <c r="O416" s="24"/>
      <c r="P416" s="2"/>
      <c r="Q416" s="26"/>
      <c r="R416" s="26"/>
      <c r="S416" s="26"/>
      <c r="T416" s="26"/>
      <c r="U416" s="24"/>
      <c r="V416" s="10" t="e">
        <f>_xlfn.XLOOKUP(U416,Таклифлар37[Таклифлар],Таклифлар37[TaklifID])</f>
        <v>#N/A</v>
      </c>
      <c r="W416" s="24"/>
      <c r="X416" s="23"/>
      <c r="Y416" s="7"/>
      <c r="Z416" s="26"/>
      <c r="AB416" s="23"/>
      <c r="AD416" s="2"/>
      <c r="AG416" s="23"/>
      <c r="AI416" s="26"/>
      <c r="AJ416" s="23"/>
      <c r="AM416" s="23"/>
      <c r="AO416" s="32"/>
      <c r="AP416" s="26"/>
      <c r="AR416" s="26"/>
      <c r="AS416" s="27"/>
      <c r="AT416" s="27"/>
      <c r="AU416" s="31"/>
      <c r="AV416" s="24"/>
      <c r="AW416"/>
      <c r="AX416"/>
      <c r="AY416"/>
      <c r="AZ416"/>
      <c r="BA416"/>
      <c r="BB416"/>
      <c r="BC416"/>
      <c r="BD416"/>
      <c r="BE416"/>
      <c r="BF416"/>
      <c r="BG416"/>
    </row>
    <row r="417" spans="2:59" x14ac:dyDescent="0.25">
      <c r="B417" s="22"/>
      <c r="C417" s="23"/>
      <c r="E417" s="23"/>
      <c r="F417" s="24"/>
      <c r="G417" s="2"/>
      <c r="H417" s="10" t="e">
        <f>_xlfn.XLOOKUP(F417,Viloyatlar24[RegionName],Viloyatlar24[RegionId])</f>
        <v>#N/A</v>
      </c>
      <c r="I417" s="10" t="e">
        <f>_xlfn.XLOOKUP('Кўчмас мулк объектлари'!G417,Tumanlar23[DistrictName],Tumanlar23[DistrictId])</f>
        <v>#N/A</v>
      </c>
      <c r="K417" s="24"/>
      <c r="L417" s="10" t="e">
        <f>_xlfn.XLOOKUP(K417,Ташкилотлар39[Ташкилотлар],Ташкилотлар39[TashklilotID])</f>
        <v>#N/A</v>
      </c>
      <c r="M417" s="26"/>
      <c r="N417" s="26"/>
      <c r="O417" s="24"/>
      <c r="P417" s="2"/>
      <c r="Q417" s="26"/>
      <c r="R417" s="26"/>
      <c r="S417" s="26"/>
      <c r="T417" s="26"/>
      <c r="U417" s="24"/>
      <c r="V417" s="10" t="e">
        <f>_xlfn.XLOOKUP(U417,Таклифлар37[Таклифлар],Таклифлар37[TaklifID])</f>
        <v>#N/A</v>
      </c>
      <c r="W417" s="24"/>
      <c r="X417" s="23"/>
      <c r="Y417" s="7"/>
      <c r="Z417" s="26"/>
      <c r="AB417" s="23"/>
      <c r="AD417" s="2"/>
      <c r="AG417" s="23"/>
      <c r="AI417" s="26"/>
      <c r="AJ417" s="23"/>
      <c r="AM417" s="23"/>
      <c r="AO417" s="32"/>
      <c r="AP417" s="26"/>
      <c r="AR417" s="26"/>
      <c r="AS417" s="27"/>
      <c r="AT417" s="27"/>
      <c r="AU417" s="31"/>
      <c r="AV417" s="24"/>
      <c r="AW417"/>
      <c r="AX417"/>
      <c r="AY417"/>
      <c r="AZ417"/>
      <c r="BA417"/>
      <c r="BB417"/>
      <c r="BC417"/>
      <c r="BD417"/>
      <c r="BE417"/>
      <c r="BF417"/>
      <c r="BG417"/>
    </row>
    <row r="418" spans="2:59" x14ac:dyDescent="0.25">
      <c r="B418" s="22"/>
      <c r="C418" s="23"/>
      <c r="E418" s="23"/>
      <c r="F418" s="24"/>
      <c r="G418" s="2"/>
      <c r="H418" s="10" t="e">
        <f>_xlfn.XLOOKUP(F418,Viloyatlar24[RegionName],Viloyatlar24[RegionId])</f>
        <v>#N/A</v>
      </c>
      <c r="I418" s="10" t="e">
        <f>_xlfn.XLOOKUP('Кўчмас мулк объектлари'!G418,Tumanlar23[DistrictName],Tumanlar23[DistrictId])</f>
        <v>#N/A</v>
      </c>
      <c r="K418" s="24"/>
      <c r="L418" s="10" t="e">
        <f>_xlfn.XLOOKUP(K418,Ташкилотлар39[Ташкилотлар],Ташкилотлар39[TashklilotID])</f>
        <v>#N/A</v>
      </c>
      <c r="M418" s="26"/>
      <c r="N418" s="26"/>
      <c r="O418" s="24"/>
      <c r="P418" s="2"/>
      <c r="Q418" s="26"/>
      <c r="R418" s="26"/>
      <c r="S418" s="26"/>
      <c r="T418" s="26"/>
      <c r="U418" s="24"/>
      <c r="V418" s="10" t="e">
        <f>_xlfn.XLOOKUP(U418,Таклифлар37[Таклифлар],Таклифлар37[TaklifID])</f>
        <v>#N/A</v>
      </c>
      <c r="W418" s="24"/>
      <c r="X418" s="23"/>
      <c r="Y418" s="7"/>
      <c r="Z418" s="26"/>
      <c r="AB418" s="23"/>
      <c r="AD418" s="2"/>
      <c r="AG418" s="23"/>
      <c r="AI418" s="26"/>
      <c r="AJ418" s="23"/>
      <c r="AM418" s="23"/>
      <c r="AO418" s="32"/>
      <c r="AP418" s="26"/>
      <c r="AR418" s="26"/>
      <c r="AS418" s="27"/>
      <c r="AT418" s="27"/>
      <c r="AU418" s="31"/>
      <c r="AV418" s="24"/>
      <c r="AW418"/>
      <c r="AX418"/>
      <c r="AY418"/>
      <c r="AZ418"/>
      <c r="BA418"/>
      <c r="BB418"/>
      <c r="BC418"/>
      <c r="BD418"/>
      <c r="BE418"/>
      <c r="BF418"/>
      <c r="BG418"/>
    </row>
    <row r="419" spans="2:59" x14ac:dyDescent="0.25">
      <c r="B419" s="22"/>
      <c r="C419" s="23"/>
      <c r="E419" s="23"/>
      <c r="F419" s="24"/>
      <c r="G419" s="2"/>
      <c r="H419" s="10" t="e">
        <f>_xlfn.XLOOKUP(F419,Viloyatlar24[RegionName],Viloyatlar24[RegionId])</f>
        <v>#N/A</v>
      </c>
      <c r="I419" s="10" t="e">
        <f>_xlfn.XLOOKUP('Кўчмас мулк объектлари'!G419,Tumanlar23[DistrictName],Tumanlar23[DistrictId])</f>
        <v>#N/A</v>
      </c>
      <c r="K419" s="24"/>
      <c r="L419" s="10" t="e">
        <f>_xlfn.XLOOKUP(K419,Ташкилотлар39[Ташкилотлар],Ташкилотлар39[TashklilotID])</f>
        <v>#N/A</v>
      </c>
      <c r="M419" s="26"/>
      <c r="N419" s="26"/>
      <c r="O419" s="24"/>
      <c r="P419" s="2"/>
      <c r="Q419" s="26"/>
      <c r="R419" s="26"/>
      <c r="S419" s="26"/>
      <c r="T419" s="26"/>
      <c r="U419" s="24"/>
      <c r="V419" s="10" t="e">
        <f>_xlfn.XLOOKUP(U419,Таклифлар37[Таклифлар],Таклифлар37[TaklifID])</f>
        <v>#N/A</v>
      </c>
      <c r="W419" s="24"/>
      <c r="X419" s="23"/>
      <c r="Y419" s="7"/>
      <c r="Z419" s="26"/>
      <c r="AB419" s="23"/>
      <c r="AD419" s="2"/>
      <c r="AG419" s="23"/>
      <c r="AI419" s="26"/>
      <c r="AJ419" s="23"/>
      <c r="AM419" s="23"/>
      <c r="AO419" s="32"/>
      <c r="AP419" s="26"/>
      <c r="AR419" s="26"/>
      <c r="AS419" s="27"/>
      <c r="AT419" s="27"/>
      <c r="AU419" s="31"/>
      <c r="AV419" s="24"/>
      <c r="AW419"/>
      <c r="AX419"/>
      <c r="AY419"/>
      <c r="AZ419"/>
      <c r="BA419"/>
      <c r="BB419"/>
      <c r="BC419"/>
      <c r="BD419"/>
      <c r="BE419"/>
      <c r="BF419"/>
      <c r="BG419"/>
    </row>
    <row r="420" spans="2:59" x14ac:dyDescent="0.25">
      <c r="B420" s="22"/>
      <c r="C420" s="23"/>
      <c r="E420" s="23"/>
      <c r="F420" s="24"/>
      <c r="G420" s="2"/>
      <c r="H420" s="10" t="e">
        <f>_xlfn.XLOOKUP(F420,Viloyatlar24[RegionName],Viloyatlar24[RegionId])</f>
        <v>#N/A</v>
      </c>
      <c r="I420" s="10" t="e">
        <f>_xlfn.XLOOKUP('Кўчмас мулк объектлари'!G420,Tumanlar23[DistrictName],Tumanlar23[DistrictId])</f>
        <v>#N/A</v>
      </c>
      <c r="K420" s="24"/>
      <c r="L420" s="10" t="e">
        <f>_xlfn.XLOOKUP(K420,Ташкилотлар39[Ташкилотлар],Ташкилотлар39[TashklilotID])</f>
        <v>#N/A</v>
      </c>
      <c r="M420" s="26"/>
      <c r="N420" s="26"/>
      <c r="O420" s="24"/>
      <c r="P420" s="2"/>
      <c r="Q420" s="26"/>
      <c r="R420" s="26"/>
      <c r="S420" s="26"/>
      <c r="T420" s="26"/>
      <c r="U420" s="24"/>
      <c r="V420" s="10" t="e">
        <f>_xlfn.XLOOKUP(U420,Таклифлар37[Таклифлар],Таклифлар37[TaklifID])</f>
        <v>#N/A</v>
      </c>
      <c r="W420" s="24"/>
      <c r="X420" s="23"/>
      <c r="Y420" s="7"/>
      <c r="Z420" s="26"/>
      <c r="AB420" s="23"/>
      <c r="AD420" s="2"/>
      <c r="AG420" s="23"/>
      <c r="AI420" s="26"/>
      <c r="AJ420" s="23"/>
      <c r="AM420" s="23"/>
      <c r="AO420" s="32"/>
      <c r="AP420" s="26"/>
      <c r="AR420" s="26"/>
      <c r="AS420" s="27"/>
      <c r="AT420" s="27"/>
      <c r="AU420" s="31"/>
      <c r="AV420" s="24"/>
      <c r="AW420"/>
      <c r="AX420"/>
      <c r="AY420"/>
      <c r="AZ420"/>
      <c r="BA420"/>
      <c r="BB420"/>
      <c r="BC420"/>
      <c r="BD420"/>
      <c r="BE420"/>
      <c r="BF420"/>
      <c r="BG420"/>
    </row>
    <row r="421" spans="2:59" x14ac:dyDescent="0.25">
      <c r="B421" s="22"/>
      <c r="C421" s="23"/>
      <c r="E421" s="23"/>
      <c r="F421" s="24"/>
      <c r="G421" s="2"/>
      <c r="H421" s="10" t="e">
        <f>_xlfn.XLOOKUP(F421,Viloyatlar24[RegionName],Viloyatlar24[RegionId])</f>
        <v>#N/A</v>
      </c>
      <c r="I421" s="10" t="e">
        <f>_xlfn.XLOOKUP('Кўчмас мулк объектлари'!G421,Tumanlar23[DistrictName],Tumanlar23[DistrictId])</f>
        <v>#N/A</v>
      </c>
      <c r="K421" s="24"/>
      <c r="L421" s="10" t="e">
        <f>_xlfn.XLOOKUP(K421,Ташкилотлар39[Ташкилотлар],Ташкилотлар39[TashklilotID])</f>
        <v>#N/A</v>
      </c>
      <c r="M421" s="26"/>
      <c r="N421" s="26"/>
      <c r="O421" s="24"/>
      <c r="P421" s="2"/>
      <c r="Q421" s="26"/>
      <c r="R421" s="26"/>
      <c r="S421" s="26"/>
      <c r="T421" s="26"/>
      <c r="U421" s="24"/>
      <c r="V421" s="10" t="e">
        <f>_xlfn.XLOOKUP(U421,Таклифлар37[Таклифлар],Таклифлар37[TaklifID])</f>
        <v>#N/A</v>
      </c>
      <c r="W421" s="24"/>
      <c r="X421" s="23"/>
      <c r="Y421" s="7"/>
      <c r="Z421" s="26"/>
      <c r="AB421" s="23"/>
      <c r="AD421" s="2"/>
      <c r="AG421" s="23"/>
      <c r="AI421" s="26"/>
      <c r="AJ421" s="23"/>
      <c r="AM421" s="23"/>
      <c r="AO421" s="32"/>
      <c r="AP421" s="26"/>
      <c r="AR421" s="26"/>
      <c r="AS421" s="27"/>
      <c r="AT421" s="27"/>
      <c r="AU421" s="31"/>
      <c r="AV421" s="24"/>
      <c r="AW421"/>
      <c r="AX421"/>
      <c r="AY421"/>
      <c r="AZ421"/>
      <c r="BA421"/>
      <c r="BB421"/>
      <c r="BC421"/>
      <c r="BD421"/>
      <c r="BE421"/>
      <c r="BF421"/>
      <c r="BG421"/>
    </row>
    <row r="422" spans="2:59" x14ac:dyDescent="0.25">
      <c r="B422" s="22"/>
      <c r="C422" s="23"/>
      <c r="E422" s="23"/>
      <c r="F422" s="24"/>
      <c r="G422" s="2"/>
      <c r="H422" s="10" t="e">
        <f>_xlfn.XLOOKUP(F422,Viloyatlar24[RegionName],Viloyatlar24[RegionId])</f>
        <v>#N/A</v>
      </c>
      <c r="I422" s="10" t="e">
        <f>_xlfn.XLOOKUP('Кўчмас мулк объектлари'!G422,Tumanlar23[DistrictName],Tumanlar23[DistrictId])</f>
        <v>#N/A</v>
      </c>
      <c r="K422" s="24"/>
      <c r="L422" s="10" t="e">
        <f>_xlfn.XLOOKUP(K422,Ташкилотлар39[Ташкилотлар],Ташкилотлар39[TashklilotID])</f>
        <v>#N/A</v>
      </c>
      <c r="M422" s="26"/>
      <c r="N422" s="26"/>
      <c r="O422" s="24"/>
      <c r="P422" s="2"/>
      <c r="Q422" s="26"/>
      <c r="R422" s="26"/>
      <c r="S422" s="26"/>
      <c r="T422" s="26"/>
      <c r="U422" s="24"/>
      <c r="V422" s="10" t="e">
        <f>_xlfn.XLOOKUP(U422,Таклифлар37[Таклифлар],Таклифлар37[TaklifID])</f>
        <v>#N/A</v>
      </c>
      <c r="W422" s="24"/>
      <c r="X422" s="23"/>
      <c r="Y422" s="7"/>
      <c r="Z422" s="26"/>
      <c r="AB422" s="23"/>
      <c r="AD422" s="2"/>
      <c r="AG422" s="23"/>
      <c r="AI422" s="26"/>
      <c r="AJ422" s="23"/>
      <c r="AM422" s="23"/>
      <c r="AO422" s="32"/>
      <c r="AP422" s="26"/>
      <c r="AR422" s="26"/>
      <c r="AS422" s="27"/>
      <c r="AT422" s="27"/>
      <c r="AU422" s="31"/>
      <c r="AV422" s="24"/>
      <c r="AW422"/>
      <c r="AX422"/>
      <c r="AY422"/>
      <c r="AZ422"/>
      <c r="BA422"/>
      <c r="BB422"/>
      <c r="BC422"/>
      <c r="BD422"/>
      <c r="BE422"/>
      <c r="BF422"/>
      <c r="BG422"/>
    </row>
    <row r="423" spans="2:59" x14ac:dyDescent="0.25">
      <c r="B423" s="22"/>
      <c r="C423" s="23"/>
      <c r="E423" s="23"/>
      <c r="F423" s="24"/>
      <c r="G423" s="2"/>
      <c r="H423" s="10" t="e">
        <f>_xlfn.XLOOKUP(F423,Viloyatlar24[RegionName],Viloyatlar24[RegionId])</f>
        <v>#N/A</v>
      </c>
      <c r="I423" s="10" t="e">
        <f>_xlfn.XLOOKUP('Кўчмас мулк объектлари'!G423,Tumanlar23[DistrictName],Tumanlar23[DistrictId])</f>
        <v>#N/A</v>
      </c>
      <c r="K423" s="24"/>
      <c r="L423" s="10" t="e">
        <f>_xlfn.XLOOKUP(K423,Ташкилотлар39[Ташкилотлар],Ташкилотлар39[TashklilotID])</f>
        <v>#N/A</v>
      </c>
      <c r="M423" s="26"/>
      <c r="N423" s="26"/>
      <c r="O423" s="24"/>
      <c r="P423" s="2"/>
      <c r="Q423" s="26"/>
      <c r="R423" s="26"/>
      <c r="S423" s="26"/>
      <c r="T423" s="26"/>
      <c r="U423" s="24"/>
      <c r="V423" s="10" t="e">
        <f>_xlfn.XLOOKUP(U423,Таклифлар37[Таклифлар],Таклифлар37[TaklifID])</f>
        <v>#N/A</v>
      </c>
      <c r="W423" s="24"/>
      <c r="X423" s="23"/>
      <c r="Y423" s="7"/>
      <c r="Z423" s="26"/>
      <c r="AB423" s="23"/>
      <c r="AD423" s="2"/>
      <c r="AG423" s="23"/>
      <c r="AI423" s="26"/>
      <c r="AJ423" s="23"/>
      <c r="AM423" s="23"/>
      <c r="AO423" s="32"/>
      <c r="AP423" s="26"/>
      <c r="AR423" s="26"/>
      <c r="AS423" s="27"/>
      <c r="AT423" s="27"/>
      <c r="AU423" s="31"/>
      <c r="AV423" s="24"/>
      <c r="AW423"/>
      <c r="AX423"/>
      <c r="AY423"/>
      <c r="AZ423"/>
      <c r="BA423"/>
      <c r="BB423"/>
      <c r="BC423"/>
      <c r="BD423"/>
      <c r="BE423"/>
      <c r="BF423"/>
      <c r="BG423"/>
    </row>
    <row r="424" spans="2:59" x14ac:dyDescent="0.25">
      <c r="B424" s="22"/>
      <c r="C424" s="23"/>
      <c r="E424" s="23"/>
      <c r="F424" s="24"/>
      <c r="G424" s="2"/>
      <c r="H424" s="10" t="e">
        <f>_xlfn.XLOOKUP(F424,Viloyatlar24[RegionName],Viloyatlar24[RegionId])</f>
        <v>#N/A</v>
      </c>
      <c r="I424" s="10" t="e">
        <f>_xlfn.XLOOKUP('Кўчмас мулк объектлари'!G424,Tumanlar23[DistrictName],Tumanlar23[DistrictId])</f>
        <v>#N/A</v>
      </c>
      <c r="K424" s="24"/>
      <c r="L424" s="10" t="e">
        <f>_xlfn.XLOOKUP(K424,Ташкилотлар39[Ташкилотлар],Ташкилотлар39[TashklilotID])</f>
        <v>#N/A</v>
      </c>
      <c r="M424" s="26"/>
      <c r="N424" s="26"/>
      <c r="O424" s="24"/>
      <c r="P424" s="2"/>
      <c r="Q424" s="26"/>
      <c r="R424" s="26"/>
      <c r="S424" s="26"/>
      <c r="T424" s="26"/>
      <c r="U424" s="24"/>
      <c r="V424" s="10" t="e">
        <f>_xlfn.XLOOKUP(U424,Таклифлар37[Таклифлар],Таклифлар37[TaklifID])</f>
        <v>#N/A</v>
      </c>
      <c r="W424" s="24"/>
      <c r="X424" s="23"/>
      <c r="Y424" s="7"/>
      <c r="Z424" s="26"/>
      <c r="AB424" s="23"/>
      <c r="AD424" s="2"/>
      <c r="AG424" s="23"/>
      <c r="AI424" s="26"/>
      <c r="AJ424" s="23"/>
      <c r="AM424" s="23"/>
      <c r="AO424" s="32"/>
      <c r="AP424" s="26"/>
      <c r="AR424" s="26"/>
      <c r="AS424" s="27"/>
      <c r="AT424" s="27"/>
      <c r="AU424" s="31"/>
      <c r="AV424" s="24"/>
      <c r="AW424"/>
      <c r="AX424"/>
      <c r="AY424"/>
      <c r="AZ424"/>
      <c r="BA424"/>
      <c r="BB424"/>
      <c r="BC424"/>
      <c r="BD424"/>
      <c r="BE424"/>
      <c r="BF424"/>
      <c r="BG424"/>
    </row>
    <row r="425" spans="2:59" x14ac:dyDescent="0.25">
      <c r="B425" s="22"/>
      <c r="C425" s="23"/>
      <c r="E425" s="23"/>
      <c r="F425" s="24"/>
      <c r="G425" s="2"/>
      <c r="H425" s="10" t="e">
        <f>_xlfn.XLOOKUP(F425,Viloyatlar24[RegionName],Viloyatlar24[RegionId])</f>
        <v>#N/A</v>
      </c>
      <c r="I425" s="10" t="e">
        <f>_xlfn.XLOOKUP('Кўчмас мулк объектлари'!G425,Tumanlar23[DistrictName],Tumanlar23[DistrictId])</f>
        <v>#N/A</v>
      </c>
      <c r="K425" s="24"/>
      <c r="L425" s="10" t="e">
        <f>_xlfn.XLOOKUP(K425,Ташкилотлар39[Ташкилотлар],Ташкилотлар39[TashklilotID])</f>
        <v>#N/A</v>
      </c>
      <c r="M425" s="26"/>
      <c r="N425" s="26"/>
      <c r="O425" s="24"/>
      <c r="P425" s="2"/>
      <c r="Q425" s="26"/>
      <c r="R425" s="26"/>
      <c r="S425" s="26"/>
      <c r="T425" s="26"/>
      <c r="U425" s="24"/>
      <c r="V425" s="10" t="e">
        <f>_xlfn.XLOOKUP(U425,Таклифлар37[Таклифлар],Таклифлар37[TaklifID])</f>
        <v>#N/A</v>
      </c>
      <c r="W425" s="24"/>
      <c r="X425" s="23"/>
      <c r="Y425" s="7"/>
      <c r="Z425" s="26"/>
      <c r="AB425" s="23"/>
      <c r="AD425" s="2"/>
      <c r="AG425" s="23"/>
      <c r="AI425" s="26"/>
      <c r="AJ425" s="23"/>
      <c r="AM425" s="23"/>
      <c r="AO425" s="32"/>
      <c r="AP425" s="26"/>
      <c r="AR425" s="26"/>
      <c r="AS425" s="27"/>
      <c r="AT425" s="27"/>
      <c r="AU425" s="31"/>
      <c r="AV425" s="24"/>
      <c r="AW425"/>
      <c r="AX425"/>
      <c r="AY425"/>
      <c r="AZ425"/>
      <c r="BA425"/>
      <c r="BB425"/>
      <c r="BC425"/>
      <c r="BD425"/>
      <c r="BE425"/>
      <c r="BF425"/>
      <c r="BG425"/>
    </row>
    <row r="426" spans="2:59" x14ac:dyDescent="0.25">
      <c r="B426" s="22"/>
      <c r="C426" s="23"/>
      <c r="E426" s="23"/>
      <c r="F426" s="24"/>
      <c r="G426" s="2"/>
      <c r="H426" s="10" t="e">
        <f>_xlfn.XLOOKUP(F426,Viloyatlar24[RegionName],Viloyatlar24[RegionId])</f>
        <v>#N/A</v>
      </c>
      <c r="I426" s="10" t="e">
        <f>_xlfn.XLOOKUP('Кўчмас мулк объектлари'!G426,Tumanlar23[DistrictName],Tumanlar23[DistrictId])</f>
        <v>#N/A</v>
      </c>
      <c r="K426" s="24"/>
      <c r="L426" s="10" t="e">
        <f>_xlfn.XLOOKUP(K426,Ташкилотлар39[Ташкилотлар],Ташкилотлар39[TashklilotID])</f>
        <v>#N/A</v>
      </c>
      <c r="M426" s="26"/>
      <c r="N426" s="26"/>
      <c r="O426" s="24"/>
      <c r="P426" s="2"/>
      <c r="Q426" s="26"/>
      <c r="R426" s="26"/>
      <c r="S426" s="26"/>
      <c r="T426" s="26"/>
      <c r="U426" s="24"/>
      <c r="V426" s="10" t="e">
        <f>_xlfn.XLOOKUP(U426,Таклифлар37[Таклифлар],Таклифлар37[TaklifID])</f>
        <v>#N/A</v>
      </c>
      <c r="W426" s="24"/>
      <c r="X426" s="23"/>
      <c r="Y426" s="7"/>
      <c r="Z426" s="26"/>
      <c r="AB426" s="23"/>
      <c r="AD426" s="2"/>
      <c r="AG426" s="23"/>
      <c r="AI426" s="26"/>
      <c r="AJ426" s="23"/>
      <c r="AM426" s="23"/>
      <c r="AO426" s="32"/>
      <c r="AP426" s="26"/>
      <c r="AR426" s="26"/>
      <c r="AS426" s="27"/>
      <c r="AT426" s="27"/>
      <c r="AU426" s="31"/>
      <c r="AV426" s="24"/>
      <c r="AW426"/>
      <c r="AX426"/>
      <c r="AY426"/>
      <c r="AZ426"/>
      <c r="BA426"/>
      <c r="BB426"/>
      <c r="BC426"/>
      <c r="BD426"/>
      <c r="BE426"/>
      <c r="BF426"/>
      <c r="BG426"/>
    </row>
    <row r="427" spans="2:59" x14ac:dyDescent="0.25">
      <c r="B427" s="22"/>
      <c r="C427" s="23"/>
      <c r="E427" s="23"/>
      <c r="F427" s="24"/>
      <c r="G427" s="2"/>
      <c r="H427" s="10" t="e">
        <f>_xlfn.XLOOKUP(F427,Viloyatlar24[RegionName],Viloyatlar24[RegionId])</f>
        <v>#N/A</v>
      </c>
      <c r="I427" s="10" t="e">
        <f>_xlfn.XLOOKUP('Кўчмас мулк объектлари'!G427,Tumanlar23[DistrictName],Tumanlar23[DistrictId])</f>
        <v>#N/A</v>
      </c>
      <c r="K427" s="24"/>
      <c r="L427" s="10" t="e">
        <f>_xlfn.XLOOKUP(K427,Ташкилотлар39[Ташкилотлар],Ташкилотлар39[TashklilotID])</f>
        <v>#N/A</v>
      </c>
      <c r="M427" s="26"/>
      <c r="N427" s="26"/>
      <c r="O427" s="24"/>
      <c r="P427" s="2"/>
      <c r="Q427" s="26"/>
      <c r="R427" s="26"/>
      <c r="S427" s="26"/>
      <c r="T427" s="26"/>
      <c r="U427" s="24"/>
      <c r="V427" s="10" t="e">
        <f>_xlfn.XLOOKUP(U427,Таклифлар37[Таклифлар],Таклифлар37[TaklifID])</f>
        <v>#N/A</v>
      </c>
      <c r="W427" s="24"/>
      <c r="X427" s="23"/>
      <c r="Y427" s="7"/>
      <c r="Z427" s="26"/>
      <c r="AB427" s="23"/>
      <c r="AD427" s="2"/>
      <c r="AG427" s="23"/>
      <c r="AI427" s="26"/>
      <c r="AJ427" s="23"/>
      <c r="AM427" s="23"/>
      <c r="AO427" s="32"/>
      <c r="AP427" s="26"/>
      <c r="AR427" s="26"/>
      <c r="AS427" s="27"/>
      <c r="AT427" s="27"/>
      <c r="AU427" s="31"/>
      <c r="AV427" s="24"/>
      <c r="AW427"/>
      <c r="AX427"/>
      <c r="AY427"/>
      <c r="AZ427"/>
      <c r="BA427"/>
      <c r="BB427"/>
      <c r="BC427"/>
      <c r="BD427"/>
      <c r="BE427"/>
      <c r="BF427"/>
      <c r="BG427"/>
    </row>
    <row r="428" spans="2:59" x14ac:dyDescent="0.25">
      <c r="B428" s="22"/>
      <c r="C428" s="23"/>
      <c r="E428" s="23"/>
      <c r="F428" s="24"/>
      <c r="G428" s="2"/>
      <c r="H428" s="10" t="e">
        <f>_xlfn.XLOOKUP(F428,Viloyatlar24[RegionName],Viloyatlar24[RegionId])</f>
        <v>#N/A</v>
      </c>
      <c r="I428" s="10" t="e">
        <f>_xlfn.XLOOKUP('Кўчмас мулк объектлари'!G428,Tumanlar23[DistrictName],Tumanlar23[DistrictId])</f>
        <v>#N/A</v>
      </c>
      <c r="K428" s="24"/>
      <c r="L428" s="10" t="e">
        <f>_xlfn.XLOOKUP(K428,Ташкилотлар39[Ташкилотлар],Ташкилотлар39[TashklilotID])</f>
        <v>#N/A</v>
      </c>
      <c r="M428" s="26"/>
      <c r="N428" s="26"/>
      <c r="O428" s="24"/>
      <c r="P428" s="2"/>
      <c r="Q428" s="26"/>
      <c r="R428" s="26"/>
      <c r="S428" s="26"/>
      <c r="T428" s="26"/>
      <c r="U428" s="24"/>
      <c r="V428" s="10" t="e">
        <f>_xlfn.XLOOKUP(U428,Таклифлар37[Таклифлар],Таклифлар37[TaklifID])</f>
        <v>#N/A</v>
      </c>
      <c r="W428" s="24"/>
      <c r="X428" s="23"/>
      <c r="Y428" s="7"/>
      <c r="Z428" s="26"/>
      <c r="AB428" s="23"/>
      <c r="AD428" s="2"/>
      <c r="AG428" s="23"/>
      <c r="AI428" s="26"/>
      <c r="AJ428" s="23"/>
      <c r="AM428" s="23"/>
      <c r="AO428" s="32"/>
      <c r="AP428" s="26"/>
      <c r="AR428" s="26"/>
      <c r="AS428" s="27"/>
      <c r="AT428" s="27"/>
      <c r="AU428" s="31"/>
      <c r="AV428" s="24"/>
      <c r="AW428"/>
      <c r="AX428"/>
      <c r="AY428"/>
      <c r="AZ428"/>
      <c r="BA428"/>
      <c r="BB428"/>
      <c r="BC428"/>
      <c r="BD428"/>
      <c r="BE428"/>
      <c r="BF428"/>
      <c r="BG428"/>
    </row>
    <row r="429" spans="2:59" x14ac:dyDescent="0.25">
      <c r="B429" s="22"/>
      <c r="C429" s="23"/>
      <c r="E429" s="23"/>
      <c r="F429" s="24"/>
      <c r="G429" s="2"/>
      <c r="H429" s="10" t="e">
        <f>_xlfn.XLOOKUP(F429,Viloyatlar24[RegionName],Viloyatlar24[RegionId])</f>
        <v>#N/A</v>
      </c>
      <c r="I429" s="10" t="e">
        <f>_xlfn.XLOOKUP('Кўчмас мулк объектлари'!G429,Tumanlar23[DistrictName],Tumanlar23[DistrictId])</f>
        <v>#N/A</v>
      </c>
      <c r="K429" s="24"/>
      <c r="L429" s="10" t="e">
        <f>_xlfn.XLOOKUP(K429,Ташкилотлар39[Ташкилотлар],Ташкилотлар39[TashklilotID])</f>
        <v>#N/A</v>
      </c>
      <c r="M429" s="26"/>
      <c r="N429" s="26"/>
      <c r="O429" s="24"/>
      <c r="P429" s="2"/>
      <c r="Q429" s="26"/>
      <c r="R429" s="26"/>
      <c r="S429" s="26"/>
      <c r="T429" s="26"/>
      <c r="U429" s="24"/>
      <c r="V429" s="10" t="e">
        <f>_xlfn.XLOOKUP(U429,Таклифлар37[Таклифлар],Таклифлар37[TaklifID])</f>
        <v>#N/A</v>
      </c>
      <c r="W429" s="24"/>
      <c r="X429" s="23"/>
      <c r="Y429" s="7"/>
      <c r="Z429" s="26"/>
      <c r="AB429" s="23"/>
      <c r="AD429" s="2"/>
      <c r="AG429" s="23"/>
      <c r="AI429" s="26"/>
      <c r="AJ429" s="23"/>
      <c r="AM429" s="23"/>
      <c r="AO429" s="32"/>
      <c r="AP429" s="26"/>
      <c r="AR429" s="26"/>
      <c r="AS429" s="27"/>
      <c r="AT429" s="27"/>
      <c r="AU429" s="31"/>
      <c r="AV429" s="24"/>
      <c r="AW429"/>
      <c r="AX429"/>
      <c r="AY429"/>
      <c r="AZ429"/>
      <c r="BA429"/>
      <c r="BB429"/>
      <c r="BC429"/>
      <c r="BD429"/>
      <c r="BE429"/>
      <c r="BF429"/>
      <c r="BG429"/>
    </row>
    <row r="430" spans="2:59" x14ac:dyDescent="0.25">
      <c r="B430" s="22"/>
      <c r="C430" s="23"/>
      <c r="E430" s="23"/>
      <c r="F430" s="24"/>
      <c r="G430" s="2"/>
      <c r="H430" s="10" t="e">
        <f>_xlfn.XLOOKUP(F430,Viloyatlar24[RegionName],Viloyatlar24[RegionId])</f>
        <v>#N/A</v>
      </c>
      <c r="I430" s="10" t="e">
        <f>_xlfn.XLOOKUP('Кўчмас мулк объектлари'!G430,Tumanlar23[DistrictName],Tumanlar23[DistrictId])</f>
        <v>#N/A</v>
      </c>
      <c r="K430" s="24"/>
      <c r="L430" s="10" t="e">
        <f>_xlfn.XLOOKUP(K430,Ташкилотлар39[Ташкилотлар],Ташкилотлар39[TashklilotID])</f>
        <v>#N/A</v>
      </c>
      <c r="M430" s="26"/>
      <c r="N430" s="26"/>
      <c r="O430" s="24"/>
      <c r="P430" s="2"/>
      <c r="Q430" s="26"/>
      <c r="R430" s="26"/>
      <c r="S430" s="26"/>
      <c r="T430" s="26"/>
      <c r="U430" s="24"/>
      <c r="V430" s="10" t="e">
        <f>_xlfn.XLOOKUP(U430,Таклифлар37[Таклифлар],Таклифлар37[TaklifID])</f>
        <v>#N/A</v>
      </c>
      <c r="W430" s="24"/>
      <c r="X430" s="23"/>
      <c r="Y430" s="7"/>
      <c r="Z430" s="26"/>
      <c r="AB430" s="23"/>
      <c r="AD430" s="2"/>
      <c r="AG430" s="23"/>
      <c r="AI430" s="26"/>
      <c r="AJ430" s="23"/>
      <c r="AM430" s="23"/>
      <c r="AO430" s="32"/>
      <c r="AP430" s="26"/>
      <c r="AR430" s="26"/>
      <c r="AS430" s="27"/>
      <c r="AT430" s="27"/>
      <c r="AU430" s="31"/>
      <c r="AV430" s="24"/>
      <c r="AW430"/>
      <c r="AX430"/>
      <c r="AY430"/>
      <c r="AZ430"/>
      <c r="BA430"/>
      <c r="BB430"/>
      <c r="BC430"/>
      <c r="BD430"/>
      <c r="BE430"/>
      <c r="BF430"/>
      <c r="BG430"/>
    </row>
    <row r="431" spans="2:59" x14ac:dyDescent="0.25">
      <c r="B431" s="22"/>
      <c r="C431" s="23"/>
      <c r="E431" s="23"/>
      <c r="F431" s="24"/>
      <c r="G431" s="2"/>
      <c r="H431" s="10" t="e">
        <f>_xlfn.XLOOKUP(F431,Viloyatlar24[RegionName],Viloyatlar24[RegionId])</f>
        <v>#N/A</v>
      </c>
      <c r="I431" s="10" t="e">
        <f>_xlfn.XLOOKUP('Кўчмас мулк объектлари'!G431,Tumanlar23[DistrictName],Tumanlar23[DistrictId])</f>
        <v>#N/A</v>
      </c>
      <c r="K431" s="24"/>
      <c r="L431" s="10" t="e">
        <f>_xlfn.XLOOKUP(K431,Ташкилотлар39[Ташкилотлар],Ташкилотлар39[TashklilotID])</f>
        <v>#N/A</v>
      </c>
      <c r="M431" s="26"/>
      <c r="N431" s="26"/>
      <c r="O431" s="24"/>
      <c r="P431" s="2"/>
      <c r="Q431" s="26"/>
      <c r="R431" s="26"/>
      <c r="S431" s="26"/>
      <c r="T431" s="26"/>
      <c r="U431" s="24"/>
      <c r="V431" s="10" t="e">
        <f>_xlfn.XLOOKUP(U431,Таклифлар37[Таклифлар],Таклифлар37[TaklifID])</f>
        <v>#N/A</v>
      </c>
      <c r="W431" s="24"/>
      <c r="X431" s="23"/>
      <c r="Y431" s="7"/>
      <c r="Z431" s="26"/>
      <c r="AB431" s="23"/>
      <c r="AD431" s="2"/>
      <c r="AG431" s="23"/>
      <c r="AI431" s="26"/>
      <c r="AJ431" s="23"/>
      <c r="AM431" s="23"/>
      <c r="AO431" s="32"/>
      <c r="AP431" s="26"/>
      <c r="AR431" s="26"/>
      <c r="AS431" s="27"/>
      <c r="AT431" s="27"/>
      <c r="AU431" s="31"/>
      <c r="AV431" s="24"/>
      <c r="AW431"/>
      <c r="AX431"/>
      <c r="AY431"/>
      <c r="AZ431"/>
      <c r="BA431"/>
      <c r="BB431"/>
      <c r="BC431"/>
      <c r="BD431"/>
      <c r="BE431"/>
      <c r="BF431"/>
      <c r="BG431"/>
    </row>
    <row r="432" spans="2:59" x14ac:dyDescent="0.25">
      <c r="B432" s="22"/>
      <c r="C432" s="23"/>
      <c r="E432" s="23"/>
      <c r="F432" s="24"/>
      <c r="G432" s="2"/>
      <c r="H432" s="10" t="e">
        <f>_xlfn.XLOOKUP(F432,Viloyatlar24[RegionName],Viloyatlar24[RegionId])</f>
        <v>#N/A</v>
      </c>
      <c r="I432" s="10" t="e">
        <f>_xlfn.XLOOKUP('Кўчмас мулк объектлари'!G432,Tumanlar23[DistrictName],Tumanlar23[DistrictId])</f>
        <v>#N/A</v>
      </c>
      <c r="K432" s="24"/>
      <c r="L432" s="10" t="e">
        <f>_xlfn.XLOOKUP(K432,Ташкилотлар39[Ташкилотлар],Ташкилотлар39[TashklilotID])</f>
        <v>#N/A</v>
      </c>
      <c r="M432" s="26"/>
      <c r="N432" s="26"/>
      <c r="O432" s="24"/>
      <c r="P432" s="2"/>
      <c r="Q432" s="26"/>
      <c r="R432" s="26"/>
      <c r="S432" s="26"/>
      <c r="T432" s="26"/>
      <c r="U432" s="24"/>
      <c r="V432" s="10" t="e">
        <f>_xlfn.XLOOKUP(U432,Таклифлар37[Таклифлар],Таклифлар37[TaklifID])</f>
        <v>#N/A</v>
      </c>
      <c r="W432" s="24"/>
      <c r="X432" s="23"/>
      <c r="Y432" s="7"/>
      <c r="Z432" s="26"/>
      <c r="AB432" s="23"/>
      <c r="AD432" s="2"/>
      <c r="AG432" s="23"/>
      <c r="AI432" s="26"/>
      <c r="AJ432" s="23"/>
      <c r="AM432" s="23"/>
      <c r="AO432" s="32"/>
      <c r="AP432" s="26"/>
      <c r="AR432" s="26"/>
      <c r="AS432" s="27"/>
      <c r="AT432" s="27"/>
      <c r="AU432" s="31"/>
      <c r="AV432" s="24"/>
      <c r="AW432"/>
      <c r="AX432"/>
      <c r="AY432"/>
      <c r="AZ432"/>
      <c r="BA432"/>
      <c r="BB432"/>
      <c r="BC432"/>
      <c r="BD432"/>
      <c r="BE432"/>
      <c r="BF432"/>
      <c r="BG432"/>
    </row>
    <row r="433" spans="2:59" x14ac:dyDescent="0.25">
      <c r="B433" s="22"/>
      <c r="C433" s="23"/>
      <c r="E433" s="23"/>
      <c r="F433" s="24"/>
      <c r="G433" s="2"/>
      <c r="H433" s="10" t="e">
        <f>_xlfn.XLOOKUP(F433,Viloyatlar24[RegionName],Viloyatlar24[RegionId])</f>
        <v>#N/A</v>
      </c>
      <c r="I433" s="10" t="e">
        <f>_xlfn.XLOOKUP('Кўчмас мулк объектлари'!G433,Tumanlar23[DistrictName],Tumanlar23[DistrictId])</f>
        <v>#N/A</v>
      </c>
      <c r="K433" s="24"/>
      <c r="L433" s="10" t="e">
        <f>_xlfn.XLOOKUP(K433,Ташкилотлар39[Ташкилотлар],Ташкилотлар39[TashklilotID])</f>
        <v>#N/A</v>
      </c>
      <c r="M433" s="26"/>
      <c r="N433" s="26"/>
      <c r="O433" s="24"/>
      <c r="P433" s="2"/>
      <c r="Q433" s="26"/>
      <c r="R433" s="26"/>
      <c r="S433" s="26"/>
      <c r="T433" s="26"/>
      <c r="U433" s="24"/>
      <c r="V433" s="10" t="e">
        <f>_xlfn.XLOOKUP(U433,Таклифлар37[Таклифлар],Таклифлар37[TaklifID])</f>
        <v>#N/A</v>
      </c>
      <c r="W433" s="24"/>
      <c r="X433" s="23"/>
      <c r="Y433" s="7"/>
      <c r="Z433" s="26"/>
      <c r="AB433" s="23"/>
      <c r="AD433" s="2"/>
      <c r="AG433" s="23"/>
      <c r="AI433" s="26"/>
      <c r="AJ433" s="23"/>
      <c r="AM433" s="23"/>
      <c r="AO433" s="32"/>
      <c r="AP433" s="26"/>
      <c r="AR433" s="26"/>
      <c r="AS433" s="27"/>
      <c r="AT433" s="27"/>
      <c r="AU433" s="31"/>
      <c r="AV433" s="24"/>
      <c r="AW433"/>
      <c r="AX433"/>
      <c r="AY433"/>
      <c r="AZ433"/>
      <c r="BA433"/>
      <c r="BB433"/>
      <c r="BC433"/>
      <c r="BD433"/>
      <c r="BE433"/>
      <c r="BF433"/>
      <c r="BG433"/>
    </row>
    <row r="434" spans="2:59" x14ac:dyDescent="0.25">
      <c r="B434" s="22"/>
      <c r="C434" s="23"/>
      <c r="E434" s="23"/>
      <c r="F434" s="24"/>
      <c r="G434" s="2"/>
      <c r="H434" s="10" t="e">
        <f>_xlfn.XLOOKUP(F434,Viloyatlar24[RegionName],Viloyatlar24[RegionId])</f>
        <v>#N/A</v>
      </c>
      <c r="I434" s="10" t="e">
        <f>_xlfn.XLOOKUP('Кўчмас мулк объектлари'!G434,Tumanlar23[DistrictName],Tumanlar23[DistrictId])</f>
        <v>#N/A</v>
      </c>
      <c r="K434" s="24"/>
      <c r="L434" s="10" t="e">
        <f>_xlfn.XLOOKUP(K434,Ташкилотлар39[Ташкилотлар],Ташкилотлар39[TashklilotID])</f>
        <v>#N/A</v>
      </c>
      <c r="M434" s="26"/>
      <c r="N434" s="26"/>
      <c r="O434" s="24"/>
      <c r="P434" s="2"/>
      <c r="Q434" s="26"/>
      <c r="R434" s="26"/>
      <c r="S434" s="26"/>
      <c r="T434" s="26"/>
      <c r="U434" s="24"/>
      <c r="V434" s="10" t="e">
        <f>_xlfn.XLOOKUP(U434,Таклифлар37[Таклифлар],Таклифлар37[TaklifID])</f>
        <v>#N/A</v>
      </c>
      <c r="W434" s="24"/>
      <c r="X434" s="23"/>
      <c r="Y434" s="7"/>
      <c r="Z434" s="26"/>
      <c r="AB434" s="23"/>
      <c r="AD434" s="2"/>
      <c r="AG434" s="23"/>
      <c r="AI434" s="26"/>
      <c r="AJ434" s="23"/>
      <c r="AM434" s="23"/>
      <c r="AO434" s="32"/>
      <c r="AP434" s="26"/>
      <c r="AR434" s="26"/>
      <c r="AS434" s="27"/>
      <c r="AT434" s="27"/>
      <c r="AU434" s="31"/>
      <c r="AV434" s="24"/>
      <c r="AW434"/>
      <c r="AX434"/>
      <c r="AY434"/>
      <c r="AZ434"/>
      <c r="BA434"/>
      <c r="BB434"/>
      <c r="BC434"/>
      <c r="BD434"/>
      <c r="BE434"/>
      <c r="BF434"/>
      <c r="BG434"/>
    </row>
    <row r="435" spans="2:59" x14ac:dyDescent="0.25">
      <c r="B435" s="22"/>
      <c r="C435" s="23"/>
      <c r="E435" s="23"/>
      <c r="F435" s="24"/>
      <c r="G435" s="2"/>
      <c r="H435" s="10" t="e">
        <f>_xlfn.XLOOKUP(F435,Viloyatlar24[RegionName],Viloyatlar24[RegionId])</f>
        <v>#N/A</v>
      </c>
      <c r="I435" s="10" t="e">
        <f>_xlfn.XLOOKUP('Кўчмас мулк объектлари'!G435,Tumanlar23[DistrictName],Tumanlar23[DistrictId])</f>
        <v>#N/A</v>
      </c>
      <c r="K435" s="24"/>
      <c r="L435" s="10" t="e">
        <f>_xlfn.XLOOKUP(K435,Ташкилотлар39[Ташкилотлар],Ташкилотлар39[TashklilotID])</f>
        <v>#N/A</v>
      </c>
      <c r="M435" s="26"/>
      <c r="N435" s="26"/>
      <c r="O435" s="24"/>
      <c r="P435" s="2"/>
      <c r="Q435" s="26"/>
      <c r="R435" s="26"/>
      <c r="S435" s="26"/>
      <c r="T435" s="26"/>
      <c r="U435" s="24"/>
      <c r="V435" s="10" t="e">
        <f>_xlfn.XLOOKUP(U435,Таклифлар37[Таклифлар],Таклифлар37[TaklifID])</f>
        <v>#N/A</v>
      </c>
      <c r="W435" s="24"/>
      <c r="X435" s="23"/>
      <c r="Y435" s="7"/>
      <c r="Z435" s="26"/>
      <c r="AB435" s="23"/>
      <c r="AD435" s="2"/>
      <c r="AG435" s="23"/>
      <c r="AI435" s="26"/>
      <c r="AJ435" s="23"/>
      <c r="AM435" s="23"/>
      <c r="AO435" s="32"/>
      <c r="AP435" s="26"/>
      <c r="AR435" s="26"/>
      <c r="AS435" s="27"/>
      <c r="AT435" s="27"/>
      <c r="AU435" s="31"/>
      <c r="AV435" s="24"/>
      <c r="AW435"/>
      <c r="AX435"/>
      <c r="AY435"/>
      <c r="AZ435"/>
      <c r="BA435"/>
      <c r="BB435"/>
      <c r="BC435"/>
      <c r="BD435"/>
      <c r="BE435"/>
      <c r="BF435"/>
      <c r="BG435"/>
    </row>
    <row r="436" spans="2:59" x14ac:dyDescent="0.25">
      <c r="B436" s="22"/>
      <c r="C436" s="23"/>
      <c r="E436" s="23"/>
      <c r="F436" s="24"/>
      <c r="G436" s="2"/>
      <c r="H436" s="10" t="e">
        <f>_xlfn.XLOOKUP(F436,Viloyatlar24[RegionName],Viloyatlar24[RegionId])</f>
        <v>#N/A</v>
      </c>
      <c r="I436" s="10" t="e">
        <f>_xlfn.XLOOKUP('Кўчмас мулк объектлари'!G436,Tumanlar23[DistrictName],Tumanlar23[DistrictId])</f>
        <v>#N/A</v>
      </c>
      <c r="K436" s="24"/>
      <c r="L436" s="10" t="e">
        <f>_xlfn.XLOOKUP(K436,Ташкилотлар39[Ташкилотлар],Ташкилотлар39[TashklilotID])</f>
        <v>#N/A</v>
      </c>
      <c r="M436" s="26"/>
      <c r="N436" s="26"/>
      <c r="O436" s="24"/>
      <c r="P436" s="2"/>
      <c r="Q436" s="26"/>
      <c r="R436" s="26"/>
      <c r="S436" s="26"/>
      <c r="T436" s="26"/>
      <c r="U436" s="24"/>
      <c r="V436" s="10" t="e">
        <f>_xlfn.XLOOKUP(U436,Таклифлар37[Таклифлар],Таклифлар37[TaklifID])</f>
        <v>#N/A</v>
      </c>
      <c r="W436" s="24"/>
      <c r="X436" s="23"/>
      <c r="Y436" s="7"/>
      <c r="Z436" s="26"/>
      <c r="AB436" s="23"/>
      <c r="AD436" s="2"/>
      <c r="AG436" s="23"/>
      <c r="AI436" s="26"/>
      <c r="AJ436" s="23"/>
      <c r="AM436" s="23"/>
      <c r="AO436" s="32"/>
      <c r="AP436" s="26"/>
      <c r="AR436" s="26"/>
      <c r="AS436" s="27"/>
      <c r="AT436" s="27"/>
      <c r="AU436" s="31"/>
      <c r="AV436" s="24"/>
      <c r="AW436"/>
      <c r="AX436"/>
      <c r="AY436"/>
      <c r="AZ436"/>
      <c r="BA436"/>
      <c r="BB436"/>
      <c r="BC436"/>
      <c r="BD436"/>
      <c r="BE436"/>
      <c r="BF436"/>
      <c r="BG436"/>
    </row>
    <row r="437" spans="2:59" x14ac:dyDescent="0.25">
      <c r="B437" s="22"/>
      <c r="C437" s="23"/>
      <c r="E437" s="23"/>
      <c r="F437" s="24"/>
      <c r="G437" s="2"/>
      <c r="H437" s="10" t="e">
        <f>_xlfn.XLOOKUP(F437,Viloyatlar24[RegionName],Viloyatlar24[RegionId])</f>
        <v>#N/A</v>
      </c>
      <c r="I437" s="10" t="e">
        <f>_xlfn.XLOOKUP('Кўчмас мулк объектлари'!G437,Tumanlar23[DistrictName],Tumanlar23[DistrictId])</f>
        <v>#N/A</v>
      </c>
      <c r="K437" s="24"/>
      <c r="L437" s="10" t="e">
        <f>_xlfn.XLOOKUP(K437,Ташкилотлар39[Ташкилотлар],Ташкилотлар39[TashklilotID])</f>
        <v>#N/A</v>
      </c>
      <c r="M437" s="26"/>
      <c r="N437" s="26"/>
      <c r="O437" s="24"/>
      <c r="P437" s="2"/>
      <c r="Q437" s="26"/>
      <c r="R437" s="26"/>
      <c r="S437" s="26"/>
      <c r="T437" s="26"/>
      <c r="U437" s="24"/>
      <c r="V437" s="10" t="e">
        <f>_xlfn.XLOOKUP(U437,Таклифлар37[Таклифлар],Таклифлар37[TaklifID])</f>
        <v>#N/A</v>
      </c>
      <c r="W437" s="24"/>
      <c r="X437" s="23"/>
      <c r="Y437" s="7"/>
      <c r="Z437" s="26"/>
      <c r="AB437" s="23"/>
      <c r="AD437" s="2"/>
      <c r="AG437" s="23"/>
      <c r="AI437" s="26"/>
      <c r="AJ437" s="23"/>
      <c r="AM437" s="23"/>
      <c r="AO437" s="32"/>
      <c r="AP437" s="26"/>
      <c r="AR437" s="26"/>
      <c r="AS437" s="27"/>
      <c r="AT437" s="27"/>
      <c r="AU437" s="31"/>
      <c r="AV437" s="24"/>
      <c r="AW437"/>
      <c r="AX437"/>
      <c r="AY437"/>
      <c r="AZ437"/>
      <c r="BA437"/>
      <c r="BB437"/>
      <c r="BC437"/>
      <c r="BD437"/>
      <c r="BE437"/>
      <c r="BF437"/>
      <c r="BG437"/>
    </row>
    <row r="438" spans="2:59" x14ac:dyDescent="0.25">
      <c r="B438" s="22"/>
      <c r="C438" s="23"/>
      <c r="E438" s="23"/>
      <c r="F438" s="24"/>
      <c r="G438" s="2"/>
      <c r="H438" s="10" t="e">
        <f>_xlfn.XLOOKUP(F438,Viloyatlar24[RegionName],Viloyatlar24[RegionId])</f>
        <v>#N/A</v>
      </c>
      <c r="I438" s="10" t="e">
        <f>_xlfn.XLOOKUP('Кўчмас мулк объектлари'!G438,Tumanlar23[DistrictName],Tumanlar23[DistrictId])</f>
        <v>#N/A</v>
      </c>
      <c r="K438" s="24"/>
      <c r="L438" s="10" t="e">
        <f>_xlfn.XLOOKUP(K438,Ташкилотлар39[Ташкилотлар],Ташкилотлар39[TashklilotID])</f>
        <v>#N/A</v>
      </c>
      <c r="M438" s="26"/>
      <c r="N438" s="26"/>
      <c r="O438" s="24"/>
      <c r="P438" s="2"/>
      <c r="Q438" s="26"/>
      <c r="R438" s="26"/>
      <c r="S438" s="26"/>
      <c r="T438" s="26"/>
      <c r="U438" s="24"/>
      <c r="V438" s="10" t="e">
        <f>_xlfn.XLOOKUP(U438,Таклифлар37[Таклифлар],Таклифлар37[TaklifID])</f>
        <v>#N/A</v>
      </c>
      <c r="W438" s="24"/>
      <c r="X438" s="23"/>
      <c r="Y438" s="7"/>
      <c r="Z438" s="26"/>
      <c r="AB438" s="23"/>
      <c r="AD438" s="2"/>
      <c r="AG438" s="23"/>
      <c r="AI438" s="26"/>
      <c r="AJ438" s="23"/>
      <c r="AM438" s="23"/>
      <c r="AO438" s="32"/>
      <c r="AP438" s="26"/>
      <c r="AR438" s="26"/>
      <c r="AS438" s="27"/>
      <c r="AT438" s="27"/>
      <c r="AU438" s="31"/>
      <c r="AV438" s="24"/>
      <c r="AW438"/>
      <c r="AX438"/>
      <c r="AY438"/>
      <c r="AZ438"/>
      <c r="BA438"/>
      <c r="BB438"/>
      <c r="BC438"/>
      <c r="BD438"/>
      <c r="BE438"/>
      <c r="BF438"/>
      <c r="BG438"/>
    </row>
    <row r="439" spans="2:59" x14ac:dyDescent="0.25">
      <c r="B439" s="22"/>
      <c r="C439" s="23"/>
      <c r="E439" s="23"/>
      <c r="F439" s="24"/>
      <c r="G439" s="2"/>
      <c r="H439" s="10" t="e">
        <f>_xlfn.XLOOKUP(F439,Viloyatlar24[RegionName],Viloyatlar24[RegionId])</f>
        <v>#N/A</v>
      </c>
      <c r="I439" s="10" t="e">
        <f>_xlfn.XLOOKUP('Кўчмас мулк объектлари'!G439,Tumanlar23[DistrictName],Tumanlar23[DistrictId])</f>
        <v>#N/A</v>
      </c>
      <c r="K439" s="24"/>
      <c r="L439" s="10" t="e">
        <f>_xlfn.XLOOKUP(K439,Ташкилотлар39[Ташкилотлар],Ташкилотлар39[TashklilotID])</f>
        <v>#N/A</v>
      </c>
      <c r="M439" s="26"/>
      <c r="N439" s="26"/>
      <c r="O439" s="24"/>
      <c r="P439" s="2"/>
      <c r="Q439" s="26"/>
      <c r="R439" s="26"/>
      <c r="S439" s="26"/>
      <c r="T439" s="26"/>
      <c r="U439" s="24"/>
      <c r="V439" s="10" t="e">
        <f>_xlfn.XLOOKUP(U439,Таклифлар37[Таклифлар],Таклифлар37[TaklifID])</f>
        <v>#N/A</v>
      </c>
      <c r="W439" s="24"/>
      <c r="X439" s="23"/>
      <c r="Y439" s="7"/>
      <c r="Z439" s="26"/>
      <c r="AB439" s="23"/>
      <c r="AD439" s="2"/>
      <c r="AG439" s="23"/>
      <c r="AI439" s="26"/>
      <c r="AJ439" s="23"/>
      <c r="AM439" s="23"/>
      <c r="AO439" s="32"/>
      <c r="AP439" s="26"/>
      <c r="AR439" s="26"/>
      <c r="AS439" s="27"/>
      <c r="AT439" s="27"/>
      <c r="AU439" s="31"/>
      <c r="AV439" s="24"/>
      <c r="AW439"/>
      <c r="AX439"/>
      <c r="AY439"/>
      <c r="AZ439"/>
      <c r="BA439"/>
      <c r="BB439"/>
      <c r="BC439"/>
      <c r="BD439"/>
      <c r="BE439"/>
      <c r="BF439"/>
      <c r="BG439"/>
    </row>
    <row r="440" spans="2:59" x14ac:dyDescent="0.25">
      <c r="B440" s="22"/>
      <c r="C440" s="23"/>
      <c r="E440" s="23"/>
      <c r="F440" s="24"/>
      <c r="G440" s="2"/>
      <c r="H440" s="10" t="e">
        <f>_xlfn.XLOOKUP(F440,Viloyatlar24[RegionName],Viloyatlar24[RegionId])</f>
        <v>#N/A</v>
      </c>
      <c r="I440" s="10" t="e">
        <f>_xlfn.XLOOKUP('Кўчмас мулк объектлари'!G440,Tumanlar23[DistrictName],Tumanlar23[DistrictId])</f>
        <v>#N/A</v>
      </c>
      <c r="K440" s="24"/>
      <c r="L440" s="10" t="e">
        <f>_xlfn.XLOOKUP(K440,Ташкилотлар39[Ташкилотлар],Ташкилотлар39[TashklilotID])</f>
        <v>#N/A</v>
      </c>
      <c r="M440" s="26"/>
      <c r="N440" s="26"/>
      <c r="O440" s="24"/>
      <c r="P440" s="2"/>
      <c r="Q440" s="26"/>
      <c r="R440" s="26"/>
      <c r="S440" s="26"/>
      <c r="T440" s="26"/>
      <c r="U440" s="24"/>
      <c r="V440" s="10" t="e">
        <f>_xlfn.XLOOKUP(U440,Таклифлар37[Таклифлар],Таклифлар37[TaklifID])</f>
        <v>#N/A</v>
      </c>
      <c r="W440" s="24"/>
      <c r="X440" s="23"/>
      <c r="Y440" s="7"/>
      <c r="Z440" s="26"/>
      <c r="AB440" s="23"/>
      <c r="AD440" s="2"/>
      <c r="AG440" s="23"/>
      <c r="AI440" s="26"/>
      <c r="AJ440" s="23"/>
      <c r="AM440" s="23"/>
      <c r="AO440" s="32"/>
      <c r="AP440" s="26"/>
      <c r="AR440" s="26"/>
      <c r="AS440" s="27"/>
      <c r="AT440" s="27"/>
      <c r="AU440" s="31"/>
      <c r="AV440" s="24"/>
      <c r="AW440"/>
      <c r="AX440"/>
      <c r="AY440"/>
      <c r="AZ440"/>
      <c r="BA440"/>
      <c r="BB440"/>
      <c r="BC440"/>
      <c r="BD440"/>
      <c r="BE440"/>
      <c r="BF440"/>
      <c r="BG440"/>
    </row>
    <row r="441" spans="2:59" x14ac:dyDescent="0.25">
      <c r="B441" s="22"/>
      <c r="C441" s="23"/>
      <c r="E441" s="23"/>
      <c r="F441" s="24"/>
      <c r="G441" s="2"/>
      <c r="H441" s="10" t="e">
        <f>_xlfn.XLOOKUP(F441,Viloyatlar24[RegionName],Viloyatlar24[RegionId])</f>
        <v>#N/A</v>
      </c>
      <c r="I441" s="10" t="e">
        <f>_xlfn.XLOOKUP('Кўчмас мулк объектлари'!G441,Tumanlar23[DistrictName],Tumanlar23[DistrictId])</f>
        <v>#N/A</v>
      </c>
      <c r="K441" s="24"/>
      <c r="L441" s="10" t="e">
        <f>_xlfn.XLOOKUP(K441,Ташкилотлар39[Ташкилотлар],Ташкилотлар39[TashklilotID])</f>
        <v>#N/A</v>
      </c>
      <c r="M441" s="26"/>
      <c r="N441" s="26"/>
      <c r="O441" s="24"/>
      <c r="P441" s="2"/>
      <c r="Q441" s="26"/>
      <c r="R441" s="26"/>
      <c r="S441" s="26"/>
      <c r="T441" s="26"/>
      <c r="U441" s="24"/>
      <c r="V441" s="10" t="e">
        <f>_xlfn.XLOOKUP(U441,Таклифлар37[Таклифлар],Таклифлар37[TaklifID])</f>
        <v>#N/A</v>
      </c>
      <c r="W441" s="24"/>
      <c r="X441" s="23"/>
      <c r="Y441" s="7"/>
      <c r="Z441" s="26"/>
      <c r="AB441" s="23"/>
      <c r="AD441" s="2"/>
      <c r="AG441" s="23"/>
      <c r="AI441" s="26"/>
      <c r="AJ441" s="23"/>
      <c r="AM441" s="23"/>
      <c r="AO441" s="32"/>
      <c r="AP441" s="26"/>
      <c r="AR441" s="26"/>
      <c r="AS441" s="27"/>
      <c r="AT441" s="27"/>
      <c r="AU441" s="31"/>
      <c r="AV441" s="24"/>
      <c r="AW441"/>
      <c r="AX441"/>
      <c r="AY441"/>
      <c r="AZ441"/>
      <c r="BA441"/>
      <c r="BB441"/>
      <c r="BC441"/>
      <c r="BD441"/>
      <c r="BE441"/>
      <c r="BF441"/>
      <c r="BG441"/>
    </row>
    <row r="442" spans="2:59" x14ac:dyDescent="0.25">
      <c r="B442" s="22"/>
      <c r="C442" s="23"/>
      <c r="E442" s="23"/>
      <c r="F442" s="24"/>
      <c r="G442" s="2"/>
      <c r="H442" s="10" t="e">
        <f>_xlfn.XLOOKUP(F442,Viloyatlar24[RegionName],Viloyatlar24[RegionId])</f>
        <v>#N/A</v>
      </c>
      <c r="I442" s="10" t="e">
        <f>_xlfn.XLOOKUP('Кўчмас мулк объектлари'!G442,Tumanlar23[DistrictName],Tumanlar23[DistrictId])</f>
        <v>#N/A</v>
      </c>
      <c r="K442" s="24"/>
      <c r="L442" s="10" t="e">
        <f>_xlfn.XLOOKUP(K442,Ташкилотлар39[Ташкилотлар],Ташкилотлар39[TashklilotID])</f>
        <v>#N/A</v>
      </c>
      <c r="M442" s="26"/>
      <c r="N442" s="26"/>
      <c r="O442" s="24"/>
      <c r="P442" s="2"/>
      <c r="Q442" s="26"/>
      <c r="R442" s="26"/>
      <c r="S442" s="26"/>
      <c r="T442" s="26"/>
      <c r="U442" s="24"/>
      <c r="V442" s="10" t="e">
        <f>_xlfn.XLOOKUP(U442,Таклифлар37[Таклифлар],Таклифлар37[TaklifID])</f>
        <v>#N/A</v>
      </c>
      <c r="W442" s="24"/>
      <c r="X442" s="23"/>
      <c r="Y442" s="7"/>
      <c r="Z442" s="26"/>
      <c r="AB442" s="23"/>
      <c r="AD442" s="2"/>
      <c r="AG442" s="23"/>
      <c r="AI442" s="26"/>
      <c r="AJ442" s="23"/>
      <c r="AM442" s="23"/>
      <c r="AO442" s="32"/>
      <c r="AP442" s="26"/>
      <c r="AR442" s="26"/>
      <c r="AS442" s="27"/>
      <c r="AT442" s="27"/>
      <c r="AU442" s="31"/>
      <c r="AV442" s="24"/>
      <c r="AW442"/>
      <c r="AX442"/>
      <c r="AY442"/>
      <c r="AZ442"/>
      <c r="BA442"/>
      <c r="BB442"/>
      <c r="BC442"/>
      <c r="BD442"/>
      <c r="BE442"/>
      <c r="BF442"/>
      <c r="BG442"/>
    </row>
    <row r="443" spans="2:59" x14ac:dyDescent="0.25">
      <c r="B443" s="22"/>
      <c r="C443" s="23"/>
      <c r="E443" s="23"/>
      <c r="F443" s="24"/>
      <c r="G443" s="2"/>
      <c r="H443" s="10" t="e">
        <f>_xlfn.XLOOKUP(F443,Viloyatlar24[RegionName],Viloyatlar24[RegionId])</f>
        <v>#N/A</v>
      </c>
      <c r="I443" s="10" t="e">
        <f>_xlfn.XLOOKUP('Кўчмас мулк объектлари'!G443,Tumanlar23[DistrictName],Tumanlar23[DistrictId])</f>
        <v>#N/A</v>
      </c>
      <c r="K443" s="24"/>
      <c r="L443" s="10" t="e">
        <f>_xlfn.XLOOKUP(K443,Ташкилотлар39[Ташкилотлар],Ташкилотлар39[TashklilotID])</f>
        <v>#N/A</v>
      </c>
      <c r="M443" s="26"/>
      <c r="N443" s="26"/>
      <c r="O443" s="24"/>
      <c r="P443" s="2"/>
      <c r="Q443" s="26"/>
      <c r="R443" s="26"/>
      <c r="S443" s="26"/>
      <c r="T443" s="26"/>
      <c r="U443" s="24"/>
      <c r="V443" s="10" t="e">
        <f>_xlfn.XLOOKUP(U443,Таклифлар37[Таклифлар],Таклифлар37[TaklifID])</f>
        <v>#N/A</v>
      </c>
      <c r="W443" s="24"/>
      <c r="X443" s="23"/>
      <c r="Y443" s="7"/>
      <c r="Z443" s="26"/>
      <c r="AB443" s="23"/>
      <c r="AD443" s="2"/>
      <c r="AG443" s="23"/>
      <c r="AI443" s="26"/>
      <c r="AJ443" s="23"/>
      <c r="AM443" s="23"/>
      <c r="AO443" s="32"/>
      <c r="AP443" s="26"/>
      <c r="AR443" s="26"/>
      <c r="AS443" s="27"/>
      <c r="AT443" s="27"/>
      <c r="AU443" s="31"/>
      <c r="AV443" s="24"/>
      <c r="AW443"/>
      <c r="AX443"/>
      <c r="AY443"/>
      <c r="AZ443"/>
      <c r="BA443"/>
      <c r="BB443"/>
      <c r="BC443"/>
      <c r="BD443"/>
      <c r="BE443"/>
      <c r="BF443"/>
      <c r="BG443"/>
    </row>
    <row r="444" spans="2:59" x14ac:dyDescent="0.25">
      <c r="B444" s="22"/>
      <c r="C444" s="23"/>
      <c r="E444" s="23"/>
      <c r="F444" s="24"/>
      <c r="G444" s="2"/>
      <c r="H444" s="10" t="e">
        <f>_xlfn.XLOOKUP(F444,Viloyatlar24[RegionName],Viloyatlar24[RegionId])</f>
        <v>#N/A</v>
      </c>
      <c r="I444" s="10" t="e">
        <f>_xlfn.XLOOKUP('Кўчмас мулк объектлари'!G444,Tumanlar23[DistrictName],Tumanlar23[DistrictId])</f>
        <v>#N/A</v>
      </c>
      <c r="K444" s="24"/>
      <c r="L444" s="10" t="e">
        <f>_xlfn.XLOOKUP(K444,Ташкилотлар39[Ташкилотлар],Ташкилотлар39[TashklilotID])</f>
        <v>#N/A</v>
      </c>
      <c r="M444" s="26"/>
      <c r="N444" s="26"/>
      <c r="O444" s="24"/>
      <c r="P444" s="2"/>
      <c r="Q444" s="26"/>
      <c r="R444" s="26"/>
      <c r="S444" s="26"/>
      <c r="T444" s="26"/>
      <c r="U444" s="24"/>
      <c r="V444" s="10" t="e">
        <f>_xlfn.XLOOKUP(U444,Таклифлар37[Таклифлар],Таклифлар37[TaklifID])</f>
        <v>#N/A</v>
      </c>
      <c r="W444" s="24"/>
      <c r="X444" s="23"/>
      <c r="Y444" s="7"/>
      <c r="Z444" s="26"/>
      <c r="AB444" s="23"/>
      <c r="AD444" s="2"/>
      <c r="AG444" s="23"/>
      <c r="AI444" s="26"/>
      <c r="AJ444" s="23"/>
      <c r="AM444" s="23"/>
      <c r="AO444" s="32"/>
      <c r="AP444" s="26"/>
      <c r="AR444" s="26"/>
      <c r="AS444" s="27"/>
      <c r="AT444" s="27"/>
      <c r="AU444" s="31"/>
      <c r="AV444" s="24"/>
      <c r="AW444"/>
      <c r="AX444"/>
      <c r="AY444"/>
      <c r="AZ444"/>
      <c r="BA444"/>
      <c r="BB444"/>
      <c r="BC444"/>
      <c r="BD444"/>
      <c r="BE444"/>
      <c r="BF444"/>
      <c r="BG444"/>
    </row>
    <row r="445" spans="2:59" x14ac:dyDescent="0.25">
      <c r="B445" s="22"/>
      <c r="C445" s="23"/>
      <c r="E445" s="23"/>
      <c r="F445" s="24"/>
      <c r="G445" s="2"/>
      <c r="H445" s="10" t="e">
        <f>_xlfn.XLOOKUP(F445,Viloyatlar24[RegionName],Viloyatlar24[RegionId])</f>
        <v>#N/A</v>
      </c>
      <c r="I445" s="10" t="e">
        <f>_xlfn.XLOOKUP('Кўчмас мулк объектлари'!G445,Tumanlar23[DistrictName],Tumanlar23[DistrictId])</f>
        <v>#N/A</v>
      </c>
      <c r="K445" s="24"/>
      <c r="L445" s="10" t="e">
        <f>_xlfn.XLOOKUP(K445,Ташкилотлар39[Ташкилотлар],Ташкилотлар39[TashklilotID])</f>
        <v>#N/A</v>
      </c>
      <c r="M445" s="26"/>
      <c r="N445" s="26"/>
      <c r="O445" s="24"/>
      <c r="P445" s="2"/>
      <c r="Q445" s="26"/>
      <c r="R445" s="26"/>
      <c r="S445" s="26"/>
      <c r="T445" s="26"/>
      <c r="U445" s="24"/>
      <c r="V445" s="10" t="e">
        <f>_xlfn.XLOOKUP(U445,Таклифлар37[Таклифлар],Таклифлар37[TaklifID])</f>
        <v>#N/A</v>
      </c>
      <c r="W445" s="24"/>
      <c r="X445" s="23"/>
      <c r="Y445" s="7"/>
      <c r="Z445" s="26"/>
      <c r="AB445" s="23"/>
      <c r="AD445" s="2"/>
      <c r="AG445" s="23"/>
      <c r="AI445" s="26"/>
      <c r="AJ445" s="23"/>
      <c r="AM445" s="23"/>
      <c r="AO445" s="32"/>
      <c r="AP445" s="26"/>
      <c r="AR445" s="26"/>
      <c r="AS445" s="27"/>
      <c r="AT445" s="27"/>
      <c r="AU445" s="31"/>
      <c r="AV445" s="24"/>
      <c r="AW445"/>
      <c r="AX445"/>
      <c r="AY445"/>
      <c r="AZ445"/>
      <c r="BA445"/>
      <c r="BB445"/>
      <c r="BC445"/>
      <c r="BD445"/>
      <c r="BE445"/>
      <c r="BF445"/>
      <c r="BG445"/>
    </row>
    <row r="446" spans="2:59" x14ac:dyDescent="0.25">
      <c r="B446" s="22"/>
      <c r="C446" s="23"/>
      <c r="E446" s="23"/>
      <c r="F446" s="24"/>
      <c r="G446" s="2"/>
      <c r="H446" s="10" t="e">
        <f>_xlfn.XLOOKUP(F446,Viloyatlar24[RegionName],Viloyatlar24[RegionId])</f>
        <v>#N/A</v>
      </c>
      <c r="I446" s="10" t="e">
        <f>_xlfn.XLOOKUP('Кўчмас мулк объектлари'!G446,Tumanlar23[DistrictName],Tumanlar23[DistrictId])</f>
        <v>#N/A</v>
      </c>
      <c r="K446" s="24"/>
      <c r="L446" s="10" t="e">
        <f>_xlfn.XLOOKUP(K446,Ташкилотлар39[Ташкилотлар],Ташкилотлар39[TashklilotID])</f>
        <v>#N/A</v>
      </c>
      <c r="M446" s="26"/>
      <c r="N446" s="26"/>
      <c r="O446" s="24"/>
      <c r="P446" s="2"/>
      <c r="Q446" s="26"/>
      <c r="R446" s="26"/>
      <c r="S446" s="26"/>
      <c r="T446" s="26"/>
      <c r="U446" s="24"/>
      <c r="V446" s="10" t="e">
        <f>_xlfn.XLOOKUP(U446,Таклифлар37[Таклифлар],Таклифлар37[TaklifID])</f>
        <v>#N/A</v>
      </c>
      <c r="W446" s="24"/>
      <c r="X446" s="23"/>
      <c r="Y446" s="7"/>
      <c r="Z446" s="26"/>
      <c r="AB446" s="23"/>
      <c r="AD446" s="2"/>
      <c r="AG446" s="23"/>
      <c r="AI446" s="26"/>
      <c r="AJ446" s="23"/>
      <c r="AM446" s="23"/>
      <c r="AO446" s="32"/>
      <c r="AP446" s="26"/>
      <c r="AR446" s="26"/>
      <c r="AS446" s="27"/>
      <c r="AT446" s="27"/>
      <c r="AU446" s="31"/>
      <c r="AV446" s="24"/>
      <c r="AW446"/>
      <c r="AX446"/>
      <c r="AY446"/>
      <c r="AZ446"/>
      <c r="BA446"/>
      <c r="BB446"/>
      <c r="BC446"/>
      <c r="BD446"/>
      <c r="BE446"/>
      <c r="BF446"/>
      <c r="BG446"/>
    </row>
    <row r="447" spans="2:59" x14ac:dyDescent="0.25">
      <c r="B447" s="22"/>
      <c r="C447" s="23"/>
      <c r="E447" s="23"/>
      <c r="F447" s="24"/>
      <c r="G447" s="2"/>
      <c r="H447" s="10" t="e">
        <f>_xlfn.XLOOKUP(F447,Viloyatlar24[RegionName],Viloyatlar24[RegionId])</f>
        <v>#N/A</v>
      </c>
      <c r="I447" s="10" t="e">
        <f>_xlfn.XLOOKUP('Кўчмас мулк объектлари'!G447,Tumanlar23[DistrictName],Tumanlar23[DistrictId])</f>
        <v>#N/A</v>
      </c>
      <c r="K447" s="24"/>
      <c r="L447" s="10" t="e">
        <f>_xlfn.XLOOKUP(K447,Ташкилотлар39[Ташкилотлар],Ташкилотлар39[TashklilotID])</f>
        <v>#N/A</v>
      </c>
      <c r="M447" s="26"/>
      <c r="N447" s="26"/>
      <c r="O447" s="24"/>
      <c r="P447" s="2"/>
      <c r="Q447" s="26"/>
      <c r="R447" s="26"/>
      <c r="S447" s="26"/>
      <c r="T447" s="26"/>
      <c r="U447" s="24"/>
      <c r="V447" s="10" t="e">
        <f>_xlfn.XLOOKUP(U447,Таклифлар37[Таклифлар],Таклифлар37[TaklifID])</f>
        <v>#N/A</v>
      </c>
      <c r="W447" s="24"/>
      <c r="X447" s="23"/>
      <c r="Y447" s="7"/>
      <c r="Z447" s="26"/>
      <c r="AB447" s="23"/>
      <c r="AD447" s="2"/>
      <c r="AG447" s="23"/>
      <c r="AI447" s="26"/>
      <c r="AJ447" s="23"/>
      <c r="AM447" s="23"/>
      <c r="AO447" s="32"/>
      <c r="AP447" s="26"/>
      <c r="AR447" s="26"/>
      <c r="AS447" s="27"/>
      <c r="AT447" s="27"/>
      <c r="AU447" s="31"/>
      <c r="AV447" s="24"/>
      <c r="AW447"/>
      <c r="AX447"/>
      <c r="AY447"/>
      <c r="AZ447"/>
      <c r="BA447"/>
      <c r="BB447"/>
      <c r="BC447"/>
      <c r="BD447"/>
      <c r="BE447"/>
      <c r="BF447"/>
      <c r="BG447"/>
    </row>
    <row r="448" spans="2:59" x14ac:dyDescent="0.25">
      <c r="B448" s="22"/>
      <c r="C448" s="23"/>
      <c r="E448" s="23"/>
      <c r="F448" s="24"/>
      <c r="G448" s="2"/>
      <c r="H448" s="10" t="e">
        <f>_xlfn.XLOOKUP(F448,Viloyatlar24[RegionName],Viloyatlar24[RegionId])</f>
        <v>#N/A</v>
      </c>
      <c r="I448" s="10" t="e">
        <f>_xlfn.XLOOKUP('Кўчмас мулк объектлари'!G448,Tumanlar23[DistrictName],Tumanlar23[DistrictId])</f>
        <v>#N/A</v>
      </c>
      <c r="K448" s="24"/>
      <c r="L448" s="10" t="e">
        <f>_xlfn.XLOOKUP(K448,Ташкилотлар39[Ташкилотлар],Ташкилотлар39[TashklilotID])</f>
        <v>#N/A</v>
      </c>
      <c r="M448" s="26"/>
      <c r="N448" s="26"/>
      <c r="O448" s="24"/>
      <c r="P448" s="2"/>
      <c r="Q448" s="26"/>
      <c r="R448" s="26"/>
      <c r="S448" s="26"/>
      <c r="T448" s="26"/>
      <c r="U448" s="24"/>
      <c r="V448" s="10" t="e">
        <f>_xlfn.XLOOKUP(U448,Таклифлар37[Таклифлар],Таклифлар37[TaklifID])</f>
        <v>#N/A</v>
      </c>
      <c r="W448" s="24"/>
      <c r="X448" s="23"/>
      <c r="Y448" s="7"/>
      <c r="Z448" s="26"/>
      <c r="AB448" s="23"/>
      <c r="AD448" s="2"/>
      <c r="AG448" s="23"/>
      <c r="AI448" s="26"/>
      <c r="AJ448" s="23"/>
      <c r="AM448" s="23"/>
      <c r="AO448" s="32"/>
      <c r="AP448" s="26"/>
      <c r="AR448" s="26"/>
      <c r="AS448" s="27"/>
      <c r="AT448" s="27"/>
      <c r="AU448" s="31"/>
      <c r="AV448" s="24"/>
      <c r="AW448"/>
      <c r="AX448"/>
      <c r="AY448"/>
      <c r="AZ448"/>
      <c r="BA448"/>
      <c r="BB448"/>
      <c r="BC448"/>
      <c r="BD448"/>
      <c r="BE448"/>
      <c r="BF448"/>
      <c r="BG448"/>
    </row>
    <row r="449" spans="2:59" x14ac:dyDescent="0.25">
      <c r="B449" s="22"/>
      <c r="C449" s="23"/>
      <c r="E449" s="23"/>
      <c r="F449" s="24"/>
      <c r="G449" s="2"/>
      <c r="H449" s="10" t="e">
        <f>_xlfn.XLOOKUP(F449,Viloyatlar24[RegionName],Viloyatlar24[RegionId])</f>
        <v>#N/A</v>
      </c>
      <c r="I449" s="10" t="e">
        <f>_xlfn.XLOOKUP('Кўчмас мулк объектлари'!G449,Tumanlar23[DistrictName],Tumanlar23[DistrictId])</f>
        <v>#N/A</v>
      </c>
      <c r="K449" s="24"/>
      <c r="L449" s="10" t="e">
        <f>_xlfn.XLOOKUP(K449,Ташкилотлар39[Ташкилотлар],Ташкилотлар39[TashklilotID])</f>
        <v>#N/A</v>
      </c>
      <c r="M449" s="26"/>
      <c r="N449" s="26"/>
      <c r="O449" s="24"/>
      <c r="P449" s="2"/>
      <c r="Q449" s="26"/>
      <c r="R449" s="26"/>
      <c r="S449" s="26"/>
      <c r="T449" s="26"/>
      <c r="U449" s="24"/>
      <c r="V449" s="10" t="e">
        <f>_xlfn.XLOOKUP(U449,Таклифлар37[Таклифлар],Таклифлар37[TaklifID])</f>
        <v>#N/A</v>
      </c>
      <c r="W449" s="24"/>
      <c r="X449" s="23"/>
      <c r="Y449" s="7"/>
      <c r="Z449" s="26"/>
      <c r="AB449" s="23"/>
      <c r="AD449" s="2"/>
      <c r="AG449" s="23"/>
      <c r="AI449" s="26"/>
      <c r="AJ449" s="23"/>
      <c r="AM449" s="23"/>
      <c r="AO449" s="32"/>
      <c r="AP449" s="26"/>
      <c r="AR449" s="26"/>
      <c r="AS449" s="27"/>
      <c r="AT449" s="27"/>
      <c r="AU449" s="31"/>
      <c r="AV449" s="24"/>
      <c r="AW449"/>
      <c r="AX449"/>
      <c r="AY449"/>
      <c r="AZ449"/>
      <c r="BA449"/>
      <c r="BB449"/>
      <c r="BC449"/>
      <c r="BD449"/>
      <c r="BE449"/>
      <c r="BF449"/>
      <c r="BG449"/>
    </row>
    <row r="450" spans="2:59" x14ac:dyDescent="0.25">
      <c r="B450" s="22"/>
      <c r="C450" s="23"/>
      <c r="E450" s="23"/>
      <c r="F450" s="24"/>
      <c r="G450" s="2"/>
      <c r="H450" s="10" t="e">
        <f>_xlfn.XLOOKUP(F450,Viloyatlar24[RegionName],Viloyatlar24[RegionId])</f>
        <v>#N/A</v>
      </c>
      <c r="I450" s="10" t="e">
        <f>_xlfn.XLOOKUP('Кўчмас мулк объектлари'!G450,Tumanlar23[DistrictName],Tumanlar23[DistrictId])</f>
        <v>#N/A</v>
      </c>
      <c r="K450" s="24"/>
      <c r="L450" s="10" t="e">
        <f>_xlfn.XLOOKUP(K450,Ташкилотлар39[Ташкилотлар],Ташкилотлар39[TashklilotID])</f>
        <v>#N/A</v>
      </c>
      <c r="M450" s="26"/>
      <c r="N450" s="26"/>
      <c r="O450" s="24"/>
      <c r="P450" s="2"/>
      <c r="Q450" s="26"/>
      <c r="R450" s="26"/>
      <c r="S450" s="26"/>
      <c r="T450" s="26"/>
      <c r="U450" s="24"/>
      <c r="V450" s="10" t="e">
        <f>_xlfn.XLOOKUP(U450,Таклифлар37[Таклифлар],Таклифлар37[TaklifID])</f>
        <v>#N/A</v>
      </c>
      <c r="W450" s="24"/>
      <c r="X450" s="23"/>
      <c r="Y450" s="7"/>
      <c r="Z450" s="26"/>
      <c r="AB450" s="23"/>
      <c r="AD450" s="2"/>
      <c r="AG450" s="23"/>
      <c r="AI450" s="26"/>
      <c r="AJ450" s="23"/>
      <c r="AM450" s="23"/>
      <c r="AO450" s="32"/>
      <c r="AP450" s="26"/>
      <c r="AR450" s="26"/>
      <c r="AS450" s="27"/>
      <c r="AT450" s="27"/>
      <c r="AU450" s="31"/>
      <c r="AV450" s="24"/>
      <c r="AW450"/>
      <c r="AX450"/>
      <c r="AY450"/>
      <c r="AZ450"/>
      <c r="BA450"/>
      <c r="BB450"/>
      <c r="BC450"/>
      <c r="BD450"/>
      <c r="BE450"/>
      <c r="BF450"/>
      <c r="BG450"/>
    </row>
    <row r="451" spans="2:59" x14ac:dyDescent="0.25">
      <c r="B451" s="22"/>
      <c r="C451" s="23"/>
      <c r="E451" s="23"/>
      <c r="F451" s="24"/>
      <c r="G451" s="2"/>
      <c r="H451" s="10" t="e">
        <f>_xlfn.XLOOKUP(F451,Viloyatlar24[RegionName],Viloyatlar24[RegionId])</f>
        <v>#N/A</v>
      </c>
      <c r="I451" s="10" t="e">
        <f>_xlfn.XLOOKUP('Кўчмас мулк объектлари'!G451,Tumanlar23[DistrictName],Tumanlar23[DistrictId])</f>
        <v>#N/A</v>
      </c>
      <c r="K451" s="24"/>
      <c r="L451" s="10" t="e">
        <f>_xlfn.XLOOKUP(K451,Ташкилотлар39[Ташкилотлар],Ташкилотлар39[TashklilotID])</f>
        <v>#N/A</v>
      </c>
      <c r="M451" s="26"/>
      <c r="N451" s="26"/>
      <c r="O451" s="24"/>
      <c r="P451" s="2"/>
      <c r="Q451" s="26"/>
      <c r="R451" s="26"/>
      <c r="S451" s="26"/>
      <c r="T451" s="26"/>
      <c r="U451" s="24"/>
      <c r="V451" s="10" t="e">
        <f>_xlfn.XLOOKUP(U451,Таклифлар37[Таклифлар],Таклифлар37[TaklifID])</f>
        <v>#N/A</v>
      </c>
      <c r="W451" s="24"/>
      <c r="X451" s="23"/>
      <c r="Y451" s="7"/>
      <c r="Z451" s="26"/>
      <c r="AB451" s="23"/>
      <c r="AD451" s="2"/>
      <c r="AG451" s="23"/>
      <c r="AI451" s="26"/>
      <c r="AJ451" s="23"/>
      <c r="AM451" s="23"/>
      <c r="AO451" s="32"/>
      <c r="AP451" s="26"/>
      <c r="AR451" s="26"/>
      <c r="AS451" s="27"/>
      <c r="AT451" s="27"/>
      <c r="AU451" s="31"/>
      <c r="AV451" s="24"/>
      <c r="AW451"/>
      <c r="AX451"/>
      <c r="AY451"/>
      <c r="AZ451"/>
      <c r="BA451"/>
      <c r="BB451"/>
      <c r="BC451"/>
      <c r="BD451"/>
      <c r="BE451"/>
      <c r="BF451"/>
      <c r="BG451"/>
    </row>
    <row r="452" spans="2:59" x14ac:dyDescent="0.25">
      <c r="B452" s="22"/>
      <c r="C452" s="23"/>
      <c r="E452" s="23"/>
      <c r="F452" s="24"/>
      <c r="G452" s="2"/>
      <c r="H452" s="10" t="e">
        <f>_xlfn.XLOOKUP(F452,Viloyatlar24[RegionName],Viloyatlar24[RegionId])</f>
        <v>#N/A</v>
      </c>
      <c r="I452" s="10" t="e">
        <f>_xlfn.XLOOKUP('Кўчмас мулк объектлари'!G452,Tumanlar23[DistrictName],Tumanlar23[DistrictId])</f>
        <v>#N/A</v>
      </c>
      <c r="K452" s="24"/>
      <c r="L452" s="10" t="e">
        <f>_xlfn.XLOOKUP(K452,Ташкилотлар39[Ташкилотлар],Ташкилотлар39[TashklilotID])</f>
        <v>#N/A</v>
      </c>
      <c r="M452" s="26"/>
      <c r="N452" s="26"/>
      <c r="O452" s="24"/>
      <c r="P452" s="2"/>
      <c r="Q452" s="26"/>
      <c r="R452" s="26"/>
      <c r="S452" s="26"/>
      <c r="T452" s="26"/>
      <c r="U452" s="24"/>
      <c r="V452" s="10" t="e">
        <f>_xlfn.XLOOKUP(U452,Таклифлар37[Таклифлар],Таклифлар37[TaklifID])</f>
        <v>#N/A</v>
      </c>
      <c r="W452" s="24"/>
      <c r="X452" s="23"/>
      <c r="Y452" s="7"/>
      <c r="Z452" s="26"/>
      <c r="AB452" s="23"/>
      <c r="AD452" s="2"/>
      <c r="AG452" s="23"/>
      <c r="AI452" s="26"/>
      <c r="AJ452" s="23"/>
      <c r="AM452" s="23"/>
      <c r="AO452" s="32"/>
      <c r="AP452" s="26"/>
      <c r="AR452" s="26"/>
      <c r="AS452" s="27"/>
      <c r="AT452" s="27"/>
      <c r="AU452" s="31"/>
      <c r="AV452" s="24"/>
      <c r="AW452"/>
      <c r="AX452"/>
      <c r="AY452"/>
      <c r="AZ452"/>
      <c r="BA452"/>
      <c r="BB452"/>
      <c r="BC452"/>
      <c r="BD452"/>
      <c r="BE452"/>
      <c r="BF452"/>
      <c r="BG452"/>
    </row>
    <row r="453" spans="2:59" x14ac:dyDescent="0.25">
      <c r="B453" s="22"/>
      <c r="C453" s="23"/>
      <c r="E453" s="23"/>
      <c r="F453" s="24"/>
      <c r="G453" s="2"/>
      <c r="H453" s="10" t="e">
        <f>_xlfn.XLOOKUP(F453,Viloyatlar24[RegionName],Viloyatlar24[RegionId])</f>
        <v>#N/A</v>
      </c>
      <c r="I453" s="10" t="e">
        <f>_xlfn.XLOOKUP('Кўчмас мулк объектлари'!G453,Tumanlar23[DistrictName],Tumanlar23[DistrictId])</f>
        <v>#N/A</v>
      </c>
      <c r="K453" s="24"/>
      <c r="L453" s="10" t="e">
        <f>_xlfn.XLOOKUP(K453,Ташкилотлар39[Ташкилотлар],Ташкилотлар39[TashklilotID])</f>
        <v>#N/A</v>
      </c>
      <c r="M453" s="26"/>
      <c r="N453" s="26"/>
      <c r="O453" s="24"/>
      <c r="P453" s="2"/>
      <c r="Q453" s="26"/>
      <c r="R453" s="26"/>
      <c r="S453" s="26"/>
      <c r="T453" s="26"/>
      <c r="U453" s="24"/>
      <c r="V453" s="10" t="e">
        <f>_xlfn.XLOOKUP(U453,Таклифлар37[Таклифлар],Таклифлар37[TaklifID])</f>
        <v>#N/A</v>
      </c>
      <c r="W453" s="24"/>
      <c r="X453" s="23"/>
      <c r="Y453" s="7"/>
      <c r="Z453" s="26"/>
      <c r="AB453" s="23"/>
      <c r="AD453" s="2"/>
      <c r="AG453" s="23"/>
      <c r="AI453" s="26"/>
      <c r="AJ453" s="23"/>
      <c r="AM453" s="23"/>
      <c r="AO453" s="32"/>
      <c r="AP453" s="26"/>
      <c r="AR453" s="26"/>
      <c r="AS453" s="27"/>
      <c r="AT453" s="27"/>
      <c r="AU453" s="31"/>
      <c r="AV453" s="24"/>
      <c r="AW453"/>
      <c r="AX453"/>
      <c r="AY453"/>
      <c r="AZ453"/>
      <c r="BA453"/>
      <c r="BB453"/>
      <c r="BC453"/>
      <c r="BD453"/>
      <c r="BE453"/>
      <c r="BF453"/>
      <c r="BG453"/>
    </row>
    <row r="454" spans="2:59" x14ac:dyDescent="0.25">
      <c r="B454" s="22"/>
      <c r="C454" s="23"/>
      <c r="E454" s="23"/>
      <c r="F454" s="24"/>
      <c r="G454" s="2"/>
      <c r="H454" s="10" t="e">
        <f>_xlfn.XLOOKUP(F454,Viloyatlar24[RegionName],Viloyatlar24[RegionId])</f>
        <v>#N/A</v>
      </c>
      <c r="I454" s="10" t="e">
        <f>_xlfn.XLOOKUP('Кўчмас мулк объектлари'!G454,Tumanlar23[DistrictName],Tumanlar23[DistrictId])</f>
        <v>#N/A</v>
      </c>
      <c r="K454" s="24"/>
      <c r="L454" s="10" t="e">
        <f>_xlfn.XLOOKUP(K454,Ташкилотлар39[Ташкилотлар],Ташкилотлар39[TashklilotID])</f>
        <v>#N/A</v>
      </c>
      <c r="M454" s="26"/>
      <c r="N454" s="26"/>
      <c r="O454" s="24"/>
      <c r="P454" s="2"/>
      <c r="Q454" s="26"/>
      <c r="R454" s="26"/>
      <c r="S454" s="26"/>
      <c r="T454" s="26"/>
      <c r="U454" s="24"/>
      <c r="V454" s="10" t="e">
        <f>_xlfn.XLOOKUP(U454,Таклифлар37[Таклифлар],Таклифлар37[TaklifID])</f>
        <v>#N/A</v>
      </c>
      <c r="W454" s="24"/>
      <c r="X454" s="23"/>
      <c r="Y454" s="7"/>
      <c r="Z454" s="26"/>
      <c r="AB454" s="23"/>
      <c r="AD454" s="2"/>
      <c r="AG454" s="23"/>
      <c r="AI454" s="26"/>
      <c r="AJ454" s="23"/>
      <c r="AM454" s="23"/>
      <c r="AO454" s="32"/>
      <c r="AP454" s="26"/>
      <c r="AR454" s="26"/>
      <c r="AS454" s="27"/>
      <c r="AT454" s="27"/>
      <c r="AU454" s="31"/>
      <c r="AV454" s="24"/>
      <c r="AW454"/>
      <c r="AX454"/>
      <c r="AY454"/>
      <c r="AZ454"/>
      <c r="BA454"/>
      <c r="BB454"/>
      <c r="BC454"/>
      <c r="BD454"/>
      <c r="BE454"/>
      <c r="BF454"/>
      <c r="BG454"/>
    </row>
    <row r="455" spans="2:59" x14ac:dyDescent="0.25">
      <c r="B455" s="22"/>
      <c r="C455" s="23"/>
      <c r="E455" s="23"/>
      <c r="F455" s="24"/>
      <c r="G455" s="2"/>
      <c r="H455" s="10" t="e">
        <f>_xlfn.XLOOKUP(F455,Viloyatlar24[RegionName],Viloyatlar24[RegionId])</f>
        <v>#N/A</v>
      </c>
      <c r="I455" s="10" t="e">
        <f>_xlfn.XLOOKUP('Кўчмас мулк объектлари'!G455,Tumanlar23[DistrictName],Tumanlar23[DistrictId])</f>
        <v>#N/A</v>
      </c>
      <c r="K455" s="24"/>
      <c r="L455" s="10" t="e">
        <f>_xlfn.XLOOKUP(K455,Ташкилотлар39[Ташкилотлар],Ташкилотлар39[TashklilotID])</f>
        <v>#N/A</v>
      </c>
      <c r="M455" s="26"/>
      <c r="N455" s="26"/>
      <c r="O455" s="24"/>
      <c r="P455" s="2"/>
      <c r="Q455" s="26"/>
      <c r="R455" s="26"/>
      <c r="S455" s="26"/>
      <c r="T455" s="26"/>
      <c r="U455" s="24"/>
      <c r="V455" s="10" t="e">
        <f>_xlfn.XLOOKUP(U455,Таклифлар37[Таклифлар],Таклифлар37[TaklifID])</f>
        <v>#N/A</v>
      </c>
      <c r="W455" s="24"/>
      <c r="X455" s="23"/>
      <c r="Y455" s="7"/>
      <c r="Z455" s="26"/>
      <c r="AB455" s="23"/>
      <c r="AD455" s="2"/>
      <c r="AG455" s="23"/>
      <c r="AI455" s="26"/>
      <c r="AJ455" s="23"/>
      <c r="AM455" s="23"/>
      <c r="AO455" s="32"/>
      <c r="AP455" s="26"/>
      <c r="AR455" s="26"/>
      <c r="AS455" s="27"/>
      <c r="AT455" s="27"/>
      <c r="AU455" s="31"/>
      <c r="AV455" s="24"/>
      <c r="AW455"/>
      <c r="AX455"/>
      <c r="AY455"/>
      <c r="AZ455"/>
      <c r="BA455"/>
      <c r="BB455"/>
      <c r="BC455"/>
      <c r="BD455"/>
      <c r="BE455"/>
      <c r="BF455"/>
      <c r="BG455"/>
    </row>
    <row r="456" spans="2:59" x14ac:dyDescent="0.25">
      <c r="B456" s="22"/>
      <c r="C456" s="23"/>
      <c r="E456" s="23"/>
      <c r="F456" s="24"/>
      <c r="G456" s="2"/>
      <c r="H456" s="10" t="e">
        <f>_xlfn.XLOOKUP(F456,Viloyatlar24[RegionName],Viloyatlar24[RegionId])</f>
        <v>#N/A</v>
      </c>
      <c r="I456" s="10" t="e">
        <f>_xlfn.XLOOKUP('Кўчмас мулк объектлари'!G456,Tumanlar23[DistrictName],Tumanlar23[DistrictId])</f>
        <v>#N/A</v>
      </c>
      <c r="K456" s="24"/>
      <c r="L456" s="10" t="e">
        <f>_xlfn.XLOOKUP(K456,Ташкилотлар39[Ташкилотлар],Ташкилотлар39[TashklilotID])</f>
        <v>#N/A</v>
      </c>
      <c r="M456" s="26"/>
      <c r="N456" s="26"/>
      <c r="O456" s="24"/>
      <c r="P456" s="2"/>
      <c r="Q456" s="26"/>
      <c r="R456" s="26"/>
      <c r="S456" s="26"/>
      <c r="T456" s="26"/>
      <c r="U456" s="24"/>
      <c r="V456" s="10" t="e">
        <f>_xlfn.XLOOKUP(U456,Таклифлар37[Таклифлар],Таклифлар37[TaklifID])</f>
        <v>#N/A</v>
      </c>
      <c r="W456" s="24"/>
      <c r="X456" s="23"/>
      <c r="Y456" s="7"/>
      <c r="Z456" s="26"/>
      <c r="AB456" s="23"/>
      <c r="AD456" s="2"/>
      <c r="AG456" s="23"/>
      <c r="AI456" s="26"/>
      <c r="AJ456" s="23"/>
      <c r="AM456" s="23"/>
      <c r="AO456" s="32"/>
      <c r="AP456" s="26"/>
      <c r="AR456" s="26"/>
      <c r="AS456" s="27"/>
      <c r="AT456" s="27"/>
      <c r="AU456" s="31"/>
      <c r="AV456" s="24"/>
      <c r="AW456"/>
      <c r="AX456"/>
      <c r="AY456"/>
      <c r="AZ456"/>
      <c r="BA456"/>
      <c r="BB456"/>
      <c r="BC456"/>
      <c r="BD456"/>
      <c r="BE456"/>
      <c r="BF456"/>
      <c r="BG456"/>
    </row>
    <row r="457" spans="2:59" x14ac:dyDescent="0.25">
      <c r="B457" s="22"/>
      <c r="C457" s="23"/>
      <c r="E457" s="23"/>
      <c r="F457" s="24"/>
      <c r="G457" s="2"/>
      <c r="H457" s="10" t="e">
        <f>_xlfn.XLOOKUP(F457,Viloyatlar24[RegionName],Viloyatlar24[RegionId])</f>
        <v>#N/A</v>
      </c>
      <c r="I457" s="10" t="e">
        <f>_xlfn.XLOOKUP('Кўчмас мулк объектлари'!G457,Tumanlar23[DistrictName],Tumanlar23[DistrictId])</f>
        <v>#N/A</v>
      </c>
      <c r="K457" s="24"/>
      <c r="L457" s="10" t="e">
        <f>_xlfn.XLOOKUP(K457,Ташкилотлар39[Ташкилотлар],Ташкилотлар39[TashklilotID])</f>
        <v>#N/A</v>
      </c>
      <c r="M457" s="26"/>
      <c r="N457" s="26"/>
      <c r="O457" s="24"/>
      <c r="P457" s="2"/>
      <c r="Q457" s="26"/>
      <c r="R457" s="26"/>
      <c r="S457" s="26"/>
      <c r="T457" s="26"/>
      <c r="U457" s="24"/>
      <c r="V457" s="10" t="e">
        <f>_xlfn.XLOOKUP(U457,Таклифлар37[Таклифлар],Таклифлар37[TaklifID])</f>
        <v>#N/A</v>
      </c>
      <c r="W457" s="24"/>
      <c r="X457" s="23"/>
      <c r="Y457" s="7"/>
      <c r="Z457" s="26"/>
      <c r="AB457" s="23"/>
      <c r="AD457" s="2"/>
      <c r="AG457" s="23"/>
      <c r="AI457" s="26"/>
      <c r="AJ457" s="23"/>
      <c r="AM457" s="23"/>
      <c r="AO457" s="32"/>
      <c r="AP457" s="26"/>
      <c r="AR457" s="26"/>
      <c r="AS457" s="27"/>
      <c r="AT457" s="27"/>
      <c r="AU457" s="31"/>
      <c r="AV457" s="24"/>
      <c r="AW457"/>
      <c r="AX457"/>
      <c r="AY457"/>
      <c r="AZ457"/>
      <c r="BA457"/>
      <c r="BB457"/>
      <c r="BC457"/>
      <c r="BD457"/>
      <c r="BE457"/>
      <c r="BF457"/>
      <c r="BG457"/>
    </row>
    <row r="458" spans="2:59" x14ac:dyDescent="0.25">
      <c r="B458" s="22"/>
      <c r="C458" s="23"/>
      <c r="E458" s="23"/>
      <c r="F458" s="24"/>
      <c r="G458" s="2"/>
      <c r="H458" s="10" t="e">
        <f>_xlfn.XLOOKUP(F458,Viloyatlar24[RegionName],Viloyatlar24[RegionId])</f>
        <v>#N/A</v>
      </c>
      <c r="I458" s="10" t="e">
        <f>_xlfn.XLOOKUP('Кўчмас мулк объектлари'!G458,Tumanlar23[DistrictName],Tumanlar23[DistrictId])</f>
        <v>#N/A</v>
      </c>
      <c r="K458" s="24"/>
      <c r="L458" s="10" t="e">
        <f>_xlfn.XLOOKUP(K458,Ташкилотлар39[Ташкилотлар],Ташкилотлар39[TashklilotID])</f>
        <v>#N/A</v>
      </c>
      <c r="M458" s="26"/>
      <c r="N458" s="26"/>
      <c r="O458" s="24"/>
      <c r="P458" s="2"/>
      <c r="Q458" s="26"/>
      <c r="R458" s="26"/>
      <c r="S458" s="26"/>
      <c r="T458" s="26"/>
      <c r="U458" s="24"/>
      <c r="V458" s="10" t="e">
        <f>_xlfn.XLOOKUP(U458,Таклифлар37[Таклифлар],Таклифлар37[TaklifID])</f>
        <v>#N/A</v>
      </c>
      <c r="W458" s="24"/>
      <c r="X458" s="23"/>
      <c r="Y458" s="7"/>
      <c r="Z458" s="26"/>
      <c r="AB458" s="23"/>
      <c r="AD458" s="2"/>
      <c r="AG458" s="23"/>
      <c r="AI458" s="26"/>
      <c r="AJ458" s="23"/>
      <c r="AM458" s="23"/>
      <c r="AO458" s="32"/>
      <c r="AP458" s="26"/>
      <c r="AR458" s="26"/>
      <c r="AS458" s="27"/>
      <c r="AT458" s="27"/>
      <c r="AU458" s="31"/>
      <c r="AV458" s="24"/>
      <c r="AW458"/>
      <c r="AX458"/>
      <c r="AY458"/>
      <c r="AZ458"/>
      <c r="BA458"/>
      <c r="BB458"/>
      <c r="BC458"/>
      <c r="BD458"/>
      <c r="BE458"/>
      <c r="BF458"/>
      <c r="BG458"/>
    </row>
    <row r="459" spans="2:59" x14ac:dyDescent="0.25">
      <c r="B459" s="22"/>
      <c r="C459" s="23"/>
      <c r="E459" s="23"/>
      <c r="F459" s="24"/>
      <c r="G459" s="2"/>
      <c r="H459" s="10" t="e">
        <f>_xlfn.XLOOKUP(F459,Viloyatlar24[RegionName],Viloyatlar24[RegionId])</f>
        <v>#N/A</v>
      </c>
      <c r="I459" s="10" t="e">
        <f>_xlfn.XLOOKUP('Кўчмас мулк объектлари'!G459,Tumanlar23[DistrictName],Tumanlar23[DistrictId])</f>
        <v>#N/A</v>
      </c>
      <c r="K459" s="24"/>
      <c r="L459" s="10" t="e">
        <f>_xlfn.XLOOKUP(K459,Ташкилотлар39[Ташкилотлар],Ташкилотлар39[TashklilotID])</f>
        <v>#N/A</v>
      </c>
      <c r="M459" s="26"/>
      <c r="N459" s="26"/>
      <c r="O459" s="24"/>
      <c r="P459" s="2"/>
      <c r="Q459" s="26"/>
      <c r="R459" s="26"/>
      <c r="S459" s="26"/>
      <c r="T459" s="26"/>
      <c r="U459" s="24"/>
      <c r="V459" s="10" t="e">
        <f>_xlfn.XLOOKUP(U459,Таклифлар37[Таклифлар],Таклифлар37[TaklifID])</f>
        <v>#N/A</v>
      </c>
      <c r="W459" s="24"/>
      <c r="X459" s="23"/>
      <c r="Y459" s="7"/>
      <c r="Z459" s="26"/>
      <c r="AB459" s="23"/>
      <c r="AD459" s="2"/>
      <c r="AG459" s="23"/>
      <c r="AI459" s="26"/>
      <c r="AJ459" s="23"/>
      <c r="AM459" s="23"/>
      <c r="AO459" s="32"/>
      <c r="AP459" s="26"/>
      <c r="AR459" s="26"/>
      <c r="AS459" s="27"/>
      <c r="AT459" s="27"/>
      <c r="AU459" s="31"/>
      <c r="AV459" s="24"/>
      <c r="AW459"/>
      <c r="AX459"/>
      <c r="AY459"/>
      <c r="AZ459"/>
      <c r="BA459"/>
      <c r="BB459"/>
      <c r="BC459"/>
      <c r="BD459"/>
      <c r="BE459"/>
      <c r="BF459"/>
      <c r="BG459"/>
    </row>
    <row r="460" spans="2:59" x14ac:dyDescent="0.25">
      <c r="B460" s="22"/>
      <c r="C460" s="23"/>
      <c r="E460" s="23"/>
      <c r="F460" s="24"/>
      <c r="G460" s="2"/>
      <c r="H460" s="10" t="e">
        <f>_xlfn.XLOOKUP(F460,Viloyatlar24[RegionName],Viloyatlar24[RegionId])</f>
        <v>#N/A</v>
      </c>
      <c r="I460" s="10" t="e">
        <f>_xlfn.XLOOKUP('Кўчмас мулк объектлари'!G460,Tumanlar23[DistrictName],Tumanlar23[DistrictId])</f>
        <v>#N/A</v>
      </c>
      <c r="K460" s="24"/>
      <c r="L460" s="10" t="e">
        <f>_xlfn.XLOOKUP(K460,Ташкилотлар39[Ташкилотлар],Ташкилотлар39[TashklilotID])</f>
        <v>#N/A</v>
      </c>
      <c r="M460" s="26"/>
      <c r="N460" s="26"/>
      <c r="O460" s="24"/>
      <c r="P460" s="2"/>
      <c r="Q460" s="26"/>
      <c r="R460" s="26"/>
      <c r="S460" s="26"/>
      <c r="T460" s="26"/>
      <c r="U460" s="24"/>
      <c r="V460" s="10" t="e">
        <f>_xlfn.XLOOKUP(U460,Таклифлар37[Таклифлар],Таклифлар37[TaklifID])</f>
        <v>#N/A</v>
      </c>
      <c r="W460" s="24"/>
      <c r="X460" s="23"/>
      <c r="Y460" s="7"/>
      <c r="Z460" s="26"/>
      <c r="AB460" s="23"/>
      <c r="AD460" s="2"/>
      <c r="AG460" s="23"/>
      <c r="AI460" s="26"/>
      <c r="AJ460" s="23"/>
      <c r="AM460" s="23"/>
      <c r="AO460" s="32"/>
      <c r="AP460" s="26"/>
      <c r="AR460" s="26"/>
      <c r="AS460" s="27"/>
      <c r="AT460" s="27"/>
      <c r="AU460" s="31"/>
      <c r="AV460" s="24"/>
      <c r="AW460"/>
      <c r="AX460"/>
      <c r="AY460"/>
      <c r="AZ460"/>
      <c r="BA460"/>
      <c r="BB460"/>
      <c r="BC460"/>
      <c r="BD460"/>
      <c r="BE460"/>
      <c r="BF460"/>
      <c r="BG460"/>
    </row>
    <row r="461" spans="2:59" x14ac:dyDescent="0.25">
      <c r="B461" s="22"/>
      <c r="C461" s="23"/>
      <c r="E461" s="23"/>
      <c r="F461" s="24"/>
      <c r="G461" s="2"/>
      <c r="H461" s="10" t="e">
        <f>_xlfn.XLOOKUP(F461,Viloyatlar24[RegionName],Viloyatlar24[RegionId])</f>
        <v>#N/A</v>
      </c>
      <c r="I461" s="10" t="e">
        <f>_xlfn.XLOOKUP('Кўчмас мулк объектлари'!G461,Tumanlar23[DistrictName],Tumanlar23[DistrictId])</f>
        <v>#N/A</v>
      </c>
      <c r="K461" s="24"/>
      <c r="L461" s="10" t="e">
        <f>_xlfn.XLOOKUP(K461,Ташкилотлар39[Ташкилотлар],Ташкилотлар39[TashklilotID])</f>
        <v>#N/A</v>
      </c>
      <c r="M461" s="26"/>
      <c r="N461" s="26"/>
      <c r="O461" s="24"/>
      <c r="P461" s="2"/>
      <c r="Q461" s="26"/>
      <c r="R461" s="26"/>
      <c r="S461" s="26"/>
      <c r="T461" s="26"/>
      <c r="U461" s="24"/>
      <c r="V461" s="10" t="e">
        <f>_xlfn.XLOOKUP(U461,Таклифлар37[Таклифлар],Таклифлар37[TaklifID])</f>
        <v>#N/A</v>
      </c>
      <c r="W461" s="24"/>
      <c r="X461" s="23"/>
      <c r="Y461" s="7"/>
      <c r="Z461" s="26"/>
      <c r="AB461" s="23"/>
      <c r="AD461" s="2"/>
      <c r="AG461" s="23"/>
      <c r="AI461" s="26"/>
      <c r="AJ461" s="23"/>
      <c r="AM461" s="23"/>
      <c r="AO461" s="32"/>
      <c r="AP461" s="26"/>
      <c r="AR461" s="26"/>
      <c r="AS461" s="27"/>
      <c r="AT461" s="27"/>
      <c r="AU461" s="31"/>
      <c r="AV461" s="24"/>
      <c r="AW461"/>
      <c r="AX461"/>
      <c r="AY461"/>
      <c r="AZ461"/>
      <c r="BA461"/>
      <c r="BB461"/>
      <c r="BC461"/>
      <c r="BD461"/>
      <c r="BE461"/>
      <c r="BF461"/>
      <c r="BG461"/>
    </row>
    <row r="462" spans="2:59" x14ac:dyDescent="0.25">
      <c r="B462" s="22"/>
      <c r="C462" s="23"/>
      <c r="E462" s="23"/>
      <c r="F462" s="24"/>
      <c r="G462" s="2"/>
      <c r="H462" s="10" t="e">
        <f>_xlfn.XLOOKUP(F462,Viloyatlar24[RegionName],Viloyatlar24[RegionId])</f>
        <v>#N/A</v>
      </c>
      <c r="I462" s="10" t="e">
        <f>_xlfn.XLOOKUP('Кўчмас мулк объектлари'!G462,Tumanlar23[DistrictName],Tumanlar23[DistrictId])</f>
        <v>#N/A</v>
      </c>
      <c r="K462" s="24"/>
      <c r="L462" s="10" t="e">
        <f>_xlfn.XLOOKUP(K462,Ташкилотлар39[Ташкилотлар],Ташкилотлар39[TashklilotID])</f>
        <v>#N/A</v>
      </c>
      <c r="M462" s="26"/>
      <c r="N462" s="26"/>
      <c r="O462" s="24"/>
      <c r="P462" s="2"/>
      <c r="Q462" s="26"/>
      <c r="R462" s="26"/>
      <c r="S462" s="26"/>
      <c r="T462" s="26"/>
      <c r="U462" s="24"/>
      <c r="V462" s="10" t="e">
        <f>_xlfn.XLOOKUP(U462,Таклифлар37[Таклифлар],Таклифлар37[TaklifID])</f>
        <v>#N/A</v>
      </c>
      <c r="W462" s="24"/>
      <c r="X462" s="23"/>
      <c r="Y462" s="7"/>
      <c r="Z462" s="26"/>
      <c r="AB462" s="23"/>
      <c r="AD462" s="2"/>
      <c r="AG462" s="23"/>
      <c r="AI462" s="26"/>
      <c r="AJ462" s="23"/>
      <c r="AM462" s="23"/>
      <c r="AO462" s="32"/>
      <c r="AP462" s="26"/>
      <c r="AR462" s="26"/>
      <c r="AS462" s="27"/>
      <c r="AT462" s="27"/>
      <c r="AU462" s="31"/>
      <c r="AV462" s="24"/>
      <c r="AW462"/>
      <c r="AX462"/>
      <c r="AY462"/>
      <c r="AZ462"/>
      <c r="BA462"/>
      <c r="BB462"/>
      <c r="BC462"/>
      <c r="BD462"/>
      <c r="BE462"/>
      <c r="BF462"/>
      <c r="BG462"/>
    </row>
    <row r="463" spans="2:59" x14ac:dyDescent="0.25">
      <c r="B463" s="22"/>
      <c r="C463" s="23"/>
      <c r="E463" s="23"/>
      <c r="F463" s="24"/>
      <c r="G463" s="2"/>
      <c r="H463" s="10" t="e">
        <f>_xlfn.XLOOKUP(F463,Viloyatlar24[RegionName],Viloyatlar24[RegionId])</f>
        <v>#N/A</v>
      </c>
      <c r="I463" s="10" t="e">
        <f>_xlfn.XLOOKUP('Кўчмас мулк объектлари'!G463,Tumanlar23[DistrictName],Tumanlar23[DistrictId])</f>
        <v>#N/A</v>
      </c>
      <c r="K463" s="24"/>
      <c r="L463" s="10" t="e">
        <f>_xlfn.XLOOKUP(K463,Ташкилотлар39[Ташкилотлар],Ташкилотлар39[TashklilotID])</f>
        <v>#N/A</v>
      </c>
      <c r="M463" s="26"/>
      <c r="N463" s="26"/>
      <c r="O463" s="24"/>
      <c r="P463" s="2"/>
      <c r="Q463" s="26"/>
      <c r="R463" s="26"/>
      <c r="S463" s="26"/>
      <c r="T463" s="26"/>
      <c r="U463" s="24"/>
      <c r="V463" s="10" t="e">
        <f>_xlfn.XLOOKUP(U463,Таклифлар37[Таклифлар],Таклифлар37[TaklifID])</f>
        <v>#N/A</v>
      </c>
      <c r="W463" s="24"/>
      <c r="X463" s="23"/>
      <c r="Y463" s="7"/>
      <c r="Z463" s="26"/>
      <c r="AB463" s="23"/>
      <c r="AD463" s="2"/>
      <c r="AG463" s="23"/>
      <c r="AI463" s="26"/>
      <c r="AJ463" s="23"/>
      <c r="AM463" s="23"/>
      <c r="AO463" s="32"/>
      <c r="AP463" s="26"/>
      <c r="AR463" s="26"/>
      <c r="AS463" s="27"/>
      <c r="AT463" s="27"/>
      <c r="AU463" s="31"/>
      <c r="AV463" s="24"/>
      <c r="AW463"/>
      <c r="AX463"/>
      <c r="AY463"/>
      <c r="AZ463"/>
      <c r="BA463"/>
      <c r="BB463"/>
      <c r="BC463"/>
      <c r="BD463"/>
      <c r="BE463"/>
      <c r="BF463"/>
      <c r="BG463"/>
    </row>
    <row r="464" spans="2:59" x14ac:dyDescent="0.25">
      <c r="B464" s="22"/>
      <c r="C464" s="23"/>
      <c r="E464" s="23"/>
      <c r="F464" s="24"/>
      <c r="G464" s="2"/>
      <c r="H464" s="10" t="e">
        <f>_xlfn.XLOOKUP(F464,Viloyatlar24[RegionName],Viloyatlar24[RegionId])</f>
        <v>#N/A</v>
      </c>
      <c r="I464" s="10" t="e">
        <f>_xlfn.XLOOKUP('Кўчмас мулк объектлари'!G464,Tumanlar23[DistrictName],Tumanlar23[DistrictId])</f>
        <v>#N/A</v>
      </c>
      <c r="K464" s="24"/>
      <c r="L464" s="10" t="e">
        <f>_xlfn.XLOOKUP(K464,Ташкилотлар39[Ташкилотлар],Ташкилотлар39[TashklilotID])</f>
        <v>#N/A</v>
      </c>
      <c r="M464" s="26"/>
      <c r="N464" s="26"/>
      <c r="O464" s="24"/>
      <c r="P464" s="2"/>
      <c r="Q464" s="26"/>
      <c r="R464" s="26"/>
      <c r="S464" s="26"/>
      <c r="T464" s="26"/>
      <c r="U464" s="24"/>
      <c r="V464" s="10" t="e">
        <f>_xlfn.XLOOKUP(U464,Таклифлар37[Таклифлар],Таклифлар37[TaklifID])</f>
        <v>#N/A</v>
      </c>
      <c r="W464" s="24"/>
      <c r="X464" s="23"/>
      <c r="Y464" s="7"/>
      <c r="Z464" s="26"/>
      <c r="AB464" s="23"/>
      <c r="AD464" s="2"/>
      <c r="AG464" s="23"/>
      <c r="AI464" s="26"/>
      <c r="AJ464" s="23"/>
      <c r="AM464" s="23"/>
      <c r="AO464" s="32"/>
      <c r="AP464" s="26"/>
      <c r="AR464" s="26"/>
      <c r="AS464" s="27"/>
      <c r="AT464" s="27"/>
      <c r="AU464" s="31"/>
      <c r="AV464" s="24"/>
      <c r="AW464"/>
      <c r="AX464"/>
      <c r="AY464"/>
      <c r="AZ464"/>
      <c r="BA464"/>
      <c r="BB464"/>
      <c r="BC464"/>
      <c r="BD464"/>
      <c r="BE464"/>
      <c r="BF464"/>
      <c r="BG464"/>
    </row>
    <row r="465" spans="2:59" x14ac:dyDescent="0.25">
      <c r="B465" s="22"/>
      <c r="C465" s="23"/>
      <c r="E465" s="23"/>
      <c r="F465" s="24"/>
      <c r="G465" s="2"/>
      <c r="H465" s="10" t="e">
        <f>_xlfn.XLOOKUP(F465,Viloyatlar24[RegionName],Viloyatlar24[RegionId])</f>
        <v>#N/A</v>
      </c>
      <c r="I465" s="10" t="e">
        <f>_xlfn.XLOOKUP('Кўчмас мулк объектлари'!G465,Tumanlar23[DistrictName],Tumanlar23[DistrictId])</f>
        <v>#N/A</v>
      </c>
      <c r="K465" s="24"/>
      <c r="L465" s="10" t="e">
        <f>_xlfn.XLOOKUP(K465,Ташкилотлар39[Ташкилотлар],Ташкилотлар39[TashklilotID])</f>
        <v>#N/A</v>
      </c>
      <c r="M465" s="26"/>
      <c r="N465" s="26"/>
      <c r="O465" s="24"/>
      <c r="P465" s="2"/>
      <c r="Q465" s="26"/>
      <c r="R465" s="26"/>
      <c r="S465" s="26"/>
      <c r="T465" s="26"/>
      <c r="U465" s="24"/>
      <c r="V465" s="10" t="e">
        <f>_xlfn.XLOOKUP(U465,Таклифлар37[Таклифлар],Таклифлар37[TaklifID])</f>
        <v>#N/A</v>
      </c>
      <c r="W465" s="24"/>
      <c r="X465" s="23"/>
      <c r="Y465" s="7"/>
      <c r="Z465" s="26"/>
      <c r="AB465" s="23"/>
      <c r="AD465" s="2"/>
      <c r="AG465" s="23"/>
      <c r="AI465" s="26"/>
      <c r="AJ465" s="23"/>
      <c r="AM465" s="23"/>
      <c r="AO465" s="32"/>
      <c r="AP465" s="26"/>
      <c r="AR465" s="26"/>
      <c r="AS465" s="27"/>
      <c r="AT465" s="27"/>
      <c r="AU465" s="31"/>
      <c r="AV465" s="24"/>
      <c r="AW465"/>
      <c r="AX465"/>
      <c r="AY465"/>
      <c r="AZ465"/>
      <c r="BA465"/>
      <c r="BB465"/>
      <c r="BC465"/>
      <c r="BD465"/>
      <c r="BE465"/>
      <c r="BF465"/>
      <c r="BG465"/>
    </row>
    <row r="466" spans="2:59" x14ac:dyDescent="0.25">
      <c r="B466" s="22"/>
      <c r="C466" s="23"/>
      <c r="E466" s="23"/>
      <c r="F466" s="24"/>
      <c r="G466" s="2"/>
      <c r="H466" s="10" t="e">
        <f>_xlfn.XLOOKUP(F466,Viloyatlar24[RegionName],Viloyatlar24[RegionId])</f>
        <v>#N/A</v>
      </c>
      <c r="I466" s="10" t="e">
        <f>_xlfn.XLOOKUP('Кўчмас мулк объектлари'!G466,Tumanlar23[DistrictName],Tumanlar23[DistrictId])</f>
        <v>#N/A</v>
      </c>
      <c r="K466" s="24"/>
      <c r="L466" s="10" t="e">
        <f>_xlfn.XLOOKUP(K466,Ташкилотлар39[Ташкилотлар],Ташкилотлар39[TashklilotID])</f>
        <v>#N/A</v>
      </c>
      <c r="M466" s="26"/>
      <c r="N466" s="26"/>
      <c r="O466" s="24"/>
      <c r="P466" s="2"/>
      <c r="Q466" s="26"/>
      <c r="R466" s="26"/>
      <c r="S466" s="26"/>
      <c r="T466" s="26"/>
      <c r="U466" s="24"/>
      <c r="V466" s="10" t="e">
        <f>_xlfn.XLOOKUP(U466,Таклифлар37[Таклифлар],Таклифлар37[TaklifID])</f>
        <v>#N/A</v>
      </c>
      <c r="W466" s="24"/>
      <c r="X466" s="23"/>
      <c r="Y466" s="7"/>
      <c r="Z466" s="26"/>
      <c r="AB466" s="23"/>
      <c r="AD466" s="2"/>
      <c r="AG466" s="23"/>
      <c r="AI466" s="26"/>
      <c r="AJ466" s="23"/>
      <c r="AM466" s="23"/>
      <c r="AO466" s="32"/>
      <c r="AP466" s="26"/>
      <c r="AR466" s="26"/>
      <c r="AS466" s="27"/>
      <c r="AT466" s="27"/>
      <c r="AU466" s="31"/>
      <c r="AV466" s="24"/>
      <c r="AW466"/>
      <c r="AX466"/>
      <c r="AY466"/>
      <c r="AZ466"/>
      <c r="BA466"/>
      <c r="BB466"/>
      <c r="BC466"/>
      <c r="BD466"/>
      <c r="BE466"/>
      <c r="BF466"/>
      <c r="BG466"/>
    </row>
    <row r="467" spans="2:59" x14ac:dyDescent="0.25">
      <c r="B467" s="22"/>
      <c r="C467" s="23"/>
      <c r="E467" s="23"/>
      <c r="F467" s="24"/>
      <c r="G467" s="2"/>
      <c r="H467" s="10" t="e">
        <f>_xlfn.XLOOKUP(F467,Viloyatlar24[RegionName],Viloyatlar24[RegionId])</f>
        <v>#N/A</v>
      </c>
      <c r="I467" s="10" t="e">
        <f>_xlfn.XLOOKUP('Кўчмас мулк объектлари'!G467,Tumanlar23[DistrictName],Tumanlar23[DistrictId])</f>
        <v>#N/A</v>
      </c>
      <c r="K467" s="24"/>
      <c r="L467" s="10" t="e">
        <f>_xlfn.XLOOKUP(K467,Ташкилотлар39[Ташкилотлар],Ташкилотлар39[TashklilotID])</f>
        <v>#N/A</v>
      </c>
      <c r="M467" s="26"/>
      <c r="N467" s="26"/>
      <c r="O467" s="24"/>
      <c r="P467" s="2"/>
      <c r="Q467" s="26"/>
      <c r="R467" s="26"/>
      <c r="S467" s="26"/>
      <c r="T467" s="26"/>
      <c r="U467" s="24"/>
      <c r="V467" s="10" t="e">
        <f>_xlfn.XLOOKUP(U467,Таклифлар37[Таклифлар],Таклифлар37[TaklifID])</f>
        <v>#N/A</v>
      </c>
      <c r="W467" s="24"/>
      <c r="X467" s="23"/>
      <c r="Y467" s="7"/>
      <c r="Z467" s="26"/>
      <c r="AB467" s="23"/>
      <c r="AD467" s="2"/>
      <c r="AG467" s="23"/>
      <c r="AI467" s="26"/>
      <c r="AJ467" s="23"/>
      <c r="AM467" s="23"/>
      <c r="AO467" s="32"/>
      <c r="AP467" s="26"/>
      <c r="AR467" s="26"/>
      <c r="AS467" s="27"/>
      <c r="AT467" s="27"/>
      <c r="AU467" s="31"/>
      <c r="AV467" s="24"/>
      <c r="AW467"/>
      <c r="AX467"/>
      <c r="AY467"/>
      <c r="AZ467"/>
      <c r="BA467"/>
      <c r="BB467"/>
      <c r="BC467"/>
      <c r="BD467"/>
      <c r="BE467"/>
      <c r="BF467"/>
      <c r="BG467"/>
    </row>
    <row r="468" spans="2:59" x14ac:dyDescent="0.25">
      <c r="B468" s="22"/>
      <c r="C468" s="23"/>
      <c r="E468" s="23"/>
      <c r="F468" s="24"/>
      <c r="G468" s="2"/>
      <c r="H468" s="10" t="e">
        <f>_xlfn.XLOOKUP(F468,Viloyatlar24[RegionName],Viloyatlar24[RegionId])</f>
        <v>#N/A</v>
      </c>
      <c r="I468" s="10" t="e">
        <f>_xlfn.XLOOKUP('Кўчмас мулк объектлари'!G468,Tumanlar23[DistrictName],Tumanlar23[DistrictId])</f>
        <v>#N/A</v>
      </c>
      <c r="K468" s="24"/>
      <c r="L468" s="10" t="e">
        <f>_xlfn.XLOOKUP(K468,Ташкилотлар39[Ташкилотлар],Ташкилотлар39[TashklilotID])</f>
        <v>#N/A</v>
      </c>
      <c r="M468" s="26"/>
      <c r="N468" s="26"/>
      <c r="O468" s="24"/>
      <c r="P468" s="2"/>
      <c r="Q468" s="26"/>
      <c r="R468" s="26"/>
      <c r="S468" s="26"/>
      <c r="T468" s="26"/>
      <c r="U468" s="24"/>
      <c r="V468" s="10" t="e">
        <f>_xlfn.XLOOKUP(U468,Таклифлар37[Таклифлар],Таклифлар37[TaklifID])</f>
        <v>#N/A</v>
      </c>
      <c r="W468" s="24"/>
      <c r="X468" s="23"/>
      <c r="Y468" s="7"/>
      <c r="Z468" s="26"/>
      <c r="AB468" s="23"/>
      <c r="AD468" s="2"/>
      <c r="AG468" s="23"/>
      <c r="AI468" s="26"/>
      <c r="AJ468" s="23"/>
      <c r="AM468" s="23"/>
      <c r="AO468" s="32"/>
      <c r="AP468" s="26"/>
      <c r="AR468" s="26"/>
      <c r="AS468" s="27"/>
      <c r="AT468" s="27"/>
      <c r="AU468" s="31"/>
      <c r="AV468" s="24"/>
      <c r="AW468"/>
      <c r="AX468"/>
      <c r="AY468"/>
      <c r="AZ468"/>
      <c r="BA468"/>
      <c r="BB468"/>
      <c r="BC468"/>
      <c r="BD468"/>
      <c r="BE468"/>
      <c r="BF468"/>
      <c r="BG468"/>
    </row>
    <row r="469" spans="2:59" x14ac:dyDescent="0.25">
      <c r="B469" s="22"/>
      <c r="C469" s="23"/>
      <c r="E469" s="23"/>
      <c r="F469" s="24"/>
      <c r="G469" s="2"/>
      <c r="H469" s="10" t="e">
        <f>_xlfn.XLOOKUP(F469,Viloyatlar24[RegionName],Viloyatlar24[RegionId])</f>
        <v>#N/A</v>
      </c>
      <c r="I469" s="10" t="e">
        <f>_xlfn.XLOOKUP('Кўчмас мулк объектлари'!G469,Tumanlar23[DistrictName],Tumanlar23[DistrictId])</f>
        <v>#N/A</v>
      </c>
      <c r="K469" s="24"/>
      <c r="L469" s="10" t="e">
        <f>_xlfn.XLOOKUP(K469,Ташкилотлар39[Ташкилотлар],Ташкилотлар39[TashklilotID])</f>
        <v>#N/A</v>
      </c>
      <c r="M469" s="26"/>
      <c r="N469" s="26"/>
      <c r="O469" s="24"/>
      <c r="P469" s="2"/>
      <c r="Q469" s="26"/>
      <c r="R469" s="26"/>
      <c r="S469" s="26"/>
      <c r="T469" s="26"/>
      <c r="U469" s="24"/>
      <c r="V469" s="10" t="e">
        <f>_xlfn.XLOOKUP(U469,Таклифлар37[Таклифлар],Таклифлар37[TaklifID])</f>
        <v>#N/A</v>
      </c>
      <c r="W469" s="24"/>
      <c r="X469" s="23"/>
      <c r="Y469" s="7"/>
      <c r="Z469" s="26"/>
      <c r="AB469" s="23"/>
      <c r="AD469" s="2"/>
      <c r="AG469" s="23"/>
      <c r="AI469" s="26"/>
      <c r="AJ469" s="23"/>
      <c r="AM469" s="23"/>
      <c r="AO469" s="32"/>
      <c r="AP469" s="26"/>
      <c r="AR469" s="26"/>
      <c r="AS469" s="27"/>
      <c r="AT469" s="27"/>
      <c r="AU469" s="31"/>
      <c r="AV469" s="24"/>
      <c r="AW469"/>
      <c r="AX469"/>
      <c r="AY469"/>
      <c r="AZ469"/>
      <c r="BA469"/>
      <c r="BB469"/>
      <c r="BC469"/>
      <c r="BD469"/>
      <c r="BE469"/>
      <c r="BF469"/>
      <c r="BG469"/>
    </row>
    <row r="470" spans="2:59" x14ac:dyDescent="0.25">
      <c r="B470" s="22"/>
      <c r="C470" s="23"/>
      <c r="E470" s="23"/>
      <c r="F470" s="24"/>
      <c r="G470" s="2"/>
      <c r="H470" s="10" t="e">
        <f>_xlfn.XLOOKUP(F470,Viloyatlar24[RegionName],Viloyatlar24[RegionId])</f>
        <v>#N/A</v>
      </c>
      <c r="I470" s="10" t="e">
        <f>_xlfn.XLOOKUP('Кўчмас мулк объектлари'!G470,Tumanlar23[DistrictName],Tumanlar23[DistrictId])</f>
        <v>#N/A</v>
      </c>
      <c r="K470" s="24"/>
      <c r="L470" s="10" t="e">
        <f>_xlfn.XLOOKUP(K470,Ташкилотлар39[Ташкилотлар],Ташкилотлар39[TashklilotID])</f>
        <v>#N/A</v>
      </c>
      <c r="M470" s="26"/>
      <c r="N470" s="26"/>
      <c r="O470" s="24"/>
      <c r="P470" s="2"/>
      <c r="Q470" s="26"/>
      <c r="R470" s="26"/>
      <c r="S470" s="26"/>
      <c r="T470" s="26"/>
      <c r="U470" s="24"/>
      <c r="V470" s="10" t="e">
        <f>_xlfn.XLOOKUP(U470,Таклифлар37[Таклифлар],Таклифлар37[TaklifID])</f>
        <v>#N/A</v>
      </c>
      <c r="W470" s="24"/>
      <c r="X470" s="23"/>
      <c r="Y470" s="7"/>
      <c r="Z470" s="26"/>
      <c r="AB470" s="23"/>
      <c r="AD470" s="2"/>
      <c r="AG470" s="23"/>
      <c r="AI470" s="26"/>
      <c r="AJ470" s="23"/>
      <c r="AM470" s="23"/>
      <c r="AO470" s="32"/>
      <c r="AP470" s="26"/>
      <c r="AR470" s="26"/>
      <c r="AS470" s="27"/>
      <c r="AT470" s="27"/>
      <c r="AU470" s="31"/>
      <c r="AV470" s="24"/>
      <c r="AW470"/>
      <c r="AX470"/>
      <c r="AY470"/>
      <c r="AZ470"/>
      <c r="BA470"/>
      <c r="BB470"/>
      <c r="BC470"/>
      <c r="BD470"/>
      <c r="BE470"/>
      <c r="BF470"/>
      <c r="BG470"/>
    </row>
    <row r="471" spans="2:59" x14ac:dyDescent="0.25">
      <c r="B471" s="22"/>
      <c r="C471" s="23"/>
      <c r="E471" s="23"/>
      <c r="F471" s="24"/>
      <c r="G471" s="2"/>
      <c r="H471" s="10" t="e">
        <f>_xlfn.XLOOKUP(F471,Viloyatlar24[RegionName],Viloyatlar24[RegionId])</f>
        <v>#N/A</v>
      </c>
      <c r="I471" s="10" t="e">
        <f>_xlfn.XLOOKUP('Кўчмас мулк объектлари'!G471,Tumanlar23[DistrictName],Tumanlar23[DistrictId])</f>
        <v>#N/A</v>
      </c>
      <c r="K471" s="24"/>
      <c r="L471" s="10" t="e">
        <f>_xlfn.XLOOKUP(K471,Ташкилотлар39[Ташкилотлар],Ташкилотлар39[TashklilotID])</f>
        <v>#N/A</v>
      </c>
      <c r="M471" s="26"/>
      <c r="N471" s="26"/>
      <c r="O471" s="24"/>
      <c r="P471" s="2"/>
      <c r="Q471" s="26"/>
      <c r="R471" s="26"/>
      <c r="S471" s="26"/>
      <c r="T471" s="26"/>
      <c r="U471" s="24"/>
      <c r="V471" s="10" t="e">
        <f>_xlfn.XLOOKUP(U471,Таклифлар37[Таклифлар],Таклифлар37[TaklifID])</f>
        <v>#N/A</v>
      </c>
      <c r="W471" s="24"/>
      <c r="X471" s="23"/>
      <c r="Y471" s="7"/>
      <c r="Z471" s="26"/>
      <c r="AB471" s="23"/>
      <c r="AD471" s="2"/>
      <c r="AG471" s="23"/>
      <c r="AI471" s="26"/>
      <c r="AJ471" s="23"/>
      <c r="AM471" s="23"/>
      <c r="AO471" s="32"/>
      <c r="AP471" s="26"/>
      <c r="AR471" s="26"/>
      <c r="AS471" s="27"/>
      <c r="AT471" s="27"/>
      <c r="AU471" s="31"/>
      <c r="AV471" s="24"/>
      <c r="AW471"/>
      <c r="AX471"/>
      <c r="AY471"/>
      <c r="AZ471"/>
      <c r="BA471"/>
      <c r="BB471"/>
      <c r="BC471"/>
      <c r="BD471"/>
      <c r="BE471"/>
      <c r="BF471"/>
      <c r="BG471"/>
    </row>
    <row r="472" spans="2:59" x14ac:dyDescent="0.25">
      <c r="B472" s="22"/>
      <c r="C472" s="23"/>
      <c r="E472" s="23"/>
      <c r="F472" s="24"/>
      <c r="G472" s="2"/>
      <c r="H472" s="10" t="e">
        <f>_xlfn.XLOOKUP(F472,Viloyatlar24[RegionName],Viloyatlar24[RegionId])</f>
        <v>#N/A</v>
      </c>
      <c r="I472" s="10" t="e">
        <f>_xlfn.XLOOKUP('Кўчмас мулк объектлари'!G472,Tumanlar23[DistrictName],Tumanlar23[DistrictId])</f>
        <v>#N/A</v>
      </c>
      <c r="K472" s="24"/>
      <c r="L472" s="10" t="e">
        <f>_xlfn.XLOOKUP(K472,Ташкилотлар39[Ташкилотлар],Ташкилотлар39[TashklilotID])</f>
        <v>#N/A</v>
      </c>
      <c r="M472" s="26"/>
      <c r="N472" s="26"/>
      <c r="O472" s="24"/>
      <c r="P472" s="2"/>
      <c r="Q472" s="26"/>
      <c r="R472" s="26"/>
      <c r="S472" s="26"/>
      <c r="T472" s="26"/>
      <c r="U472" s="24"/>
      <c r="V472" s="10" t="e">
        <f>_xlfn.XLOOKUP(U472,Таклифлар37[Таклифлар],Таклифлар37[TaklifID])</f>
        <v>#N/A</v>
      </c>
      <c r="W472" s="24"/>
      <c r="X472" s="23"/>
      <c r="Y472" s="7"/>
      <c r="Z472" s="26"/>
      <c r="AB472" s="23"/>
      <c r="AD472" s="2"/>
      <c r="AG472" s="23"/>
      <c r="AI472" s="26"/>
      <c r="AJ472" s="23"/>
      <c r="AM472" s="23"/>
      <c r="AO472" s="32"/>
      <c r="AP472" s="26"/>
      <c r="AR472" s="26"/>
      <c r="AS472" s="27"/>
      <c r="AT472" s="27"/>
      <c r="AU472" s="31"/>
      <c r="AV472" s="24"/>
      <c r="AW472"/>
      <c r="AX472"/>
      <c r="AY472"/>
      <c r="AZ472"/>
      <c r="BA472"/>
      <c r="BB472"/>
      <c r="BC472"/>
      <c r="BD472"/>
      <c r="BE472"/>
      <c r="BF472"/>
      <c r="BG472"/>
    </row>
    <row r="473" spans="2:59" x14ac:dyDescent="0.25">
      <c r="B473" s="22"/>
      <c r="C473" s="23"/>
      <c r="E473" s="23"/>
      <c r="F473" s="24"/>
      <c r="G473" s="2"/>
      <c r="H473" s="10" t="e">
        <f>_xlfn.XLOOKUP(F473,Viloyatlar24[RegionName],Viloyatlar24[RegionId])</f>
        <v>#N/A</v>
      </c>
      <c r="I473" s="10" t="e">
        <f>_xlfn.XLOOKUP('Кўчмас мулк объектлари'!G473,Tumanlar23[DistrictName],Tumanlar23[DistrictId])</f>
        <v>#N/A</v>
      </c>
      <c r="K473" s="24"/>
      <c r="L473" s="10" t="e">
        <f>_xlfn.XLOOKUP(K473,Ташкилотлар39[Ташкилотлар],Ташкилотлар39[TashklilotID])</f>
        <v>#N/A</v>
      </c>
      <c r="M473" s="26"/>
      <c r="N473" s="26"/>
      <c r="O473" s="24"/>
      <c r="P473" s="2"/>
      <c r="Q473" s="26"/>
      <c r="R473" s="26"/>
      <c r="S473" s="26"/>
      <c r="T473" s="26"/>
      <c r="U473" s="24"/>
      <c r="V473" s="10" t="e">
        <f>_xlfn.XLOOKUP(U473,Таклифлар37[Таклифлар],Таклифлар37[TaklifID])</f>
        <v>#N/A</v>
      </c>
      <c r="W473" s="24"/>
      <c r="X473" s="23"/>
      <c r="Y473" s="7"/>
      <c r="Z473" s="26"/>
      <c r="AB473" s="23"/>
      <c r="AD473" s="2"/>
      <c r="AG473" s="23"/>
      <c r="AI473" s="26"/>
      <c r="AJ473" s="23"/>
      <c r="AM473" s="23"/>
      <c r="AO473" s="32"/>
      <c r="AP473" s="26"/>
      <c r="AR473" s="26"/>
      <c r="AS473" s="27"/>
      <c r="AT473" s="27"/>
      <c r="AU473" s="31"/>
      <c r="AV473" s="24"/>
      <c r="AW473"/>
      <c r="AX473"/>
      <c r="AY473"/>
      <c r="AZ473"/>
      <c r="BA473"/>
      <c r="BB473"/>
      <c r="BC473"/>
      <c r="BD473"/>
      <c r="BE473"/>
      <c r="BF473"/>
      <c r="BG473"/>
    </row>
    <row r="474" spans="2:59" x14ac:dyDescent="0.25">
      <c r="B474" s="22"/>
      <c r="C474" s="23"/>
      <c r="E474" s="23"/>
      <c r="F474" s="24"/>
      <c r="G474" s="2"/>
      <c r="H474" s="10" t="e">
        <f>_xlfn.XLOOKUP(F474,Viloyatlar24[RegionName],Viloyatlar24[RegionId])</f>
        <v>#N/A</v>
      </c>
      <c r="I474" s="10" t="e">
        <f>_xlfn.XLOOKUP('Кўчмас мулк объектлари'!G474,Tumanlar23[DistrictName],Tumanlar23[DistrictId])</f>
        <v>#N/A</v>
      </c>
      <c r="K474" s="24"/>
      <c r="L474" s="10" t="e">
        <f>_xlfn.XLOOKUP(K474,Ташкилотлар39[Ташкилотлар],Ташкилотлар39[TashklilotID])</f>
        <v>#N/A</v>
      </c>
      <c r="M474" s="26"/>
      <c r="N474" s="26"/>
      <c r="O474" s="24"/>
      <c r="P474" s="2"/>
      <c r="Q474" s="26"/>
      <c r="R474" s="26"/>
      <c r="S474" s="26"/>
      <c r="T474" s="26"/>
      <c r="U474" s="24"/>
      <c r="V474" s="10" t="e">
        <f>_xlfn.XLOOKUP(U474,Таклифлар37[Таклифлар],Таклифлар37[TaklifID])</f>
        <v>#N/A</v>
      </c>
      <c r="W474" s="24"/>
      <c r="X474" s="23"/>
      <c r="Y474" s="7"/>
      <c r="Z474" s="26"/>
      <c r="AB474" s="23"/>
      <c r="AD474" s="2"/>
      <c r="AG474" s="23"/>
      <c r="AI474" s="26"/>
      <c r="AJ474" s="23"/>
      <c r="AM474" s="23"/>
      <c r="AO474" s="32"/>
      <c r="AP474" s="26"/>
      <c r="AR474" s="26"/>
      <c r="AS474" s="27"/>
      <c r="AT474" s="27"/>
      <c r="AU474" s="31"/>
      <c r="AV474" s="24"/>
      <c r="AW474"/>
      <c r="AX474"/>
      <c r="AY474"/>
      <c r="AZ474"/>
      <c r="BA474"/>
      <c r="BB474"/>
      <c r="BC474"/>
      <c r="BD474"/>
      <c r="BE474"/>
      <c r="BF474"/>
      <c r="BG474"/>
    </row>
    <row r="475" spans="2:59" x14ac:dyDescent="0.25">
      <c r="B475" s="22"/>
      <c r="C475" s="23"/>
      <c r="E475" s="23"/>
      <c r="F475" s="24"/>
      <c r="G475" s="2"/>
      <c r="H475" s="10" t="e">
        <f>_xlfn.XLOOKUP(F475,Viloyatlar24[RegionName],Viloyatlar24[RegionId])</f>
        <v>#N/A</v>
      </c>
      <c r="I475" s="10" t="e">
        <f>_xlfn.XLOOKUP('Кўчмас мулк объектлари'!G475,Tumanlar23[DistrictName],Tumanlar23[DistrictId])</f>
        <v>#N/A</v>
      </c>
      <c r="K475" s="24"/>
      <c r="L475" s="10" t="e">
        <f>_xlfn.XLOOKUP(K475,Ташкилотлар39[Ташкилотлар],Ташкилотлар39[TashklilotID])</f>
        <v>#N/A</v>
      </c>
      <c r="M475" s="26"/>
      <c r="N475" s="26"/>
      <c r="O475" s="24"/>
      <c r="P475" s="2"/>
      <c r="Q475" s="26"/>
      <c r="R475" s="26"/>
      <c r="S475" s="26"/>
      <c r="T475" s="26"/>
      <c r="U475" s="24"/>
      <c r="V475" s="10" t="e">
        <f>_xlfn.XLOOKUP(U475,Таклифлар37[Таклифлар],Таклифлар37[TaklifID])</f>
        <v>#N/A</v>
      </c>
      <c r="W475" s="24"/>
      <c r="X475" s="23"/>
      <c r="Y475" s="7"/>
      <c r="Z475" s="26"/>
      <c r="AB475" s="23"/>
      <c r="AD475" s="2"/>
      <c r="AG475" s="23"/>
      <c r="AI475" s="26"/>
      <c r="AJ475" s="23"/>
      <c r="AM475" s="23"/>
      <c r="AO475" s="32"/>
      <c r="AP475" s="26"/>
      <c r="AR475" s="26"/>
      <c r="AS475" s="27"/>
      <c r="AT475" s="27"/>
      <c r="AU475" s="31"/>
      <c r="AV475" s="24"/>
      <c r="AW475"/>
      <c r="AX475"/>
      <c r="AY475"/>
      <c r="AZ475"/>
      <c r="BA475"/>
      <c r="BB475"/>
      <c r="BC475"/>
      <c r="BD475"/>
      <c r="BE475"/>
      <c r="BF475"/>
      <c r="BG475"/>
    </row>
    <row r="476" spans="2:59" x14ac:dyDescent="0.25">
      <c r="B476" s="22"/>
      <c r="C476" s="23"/>
      <c r="E476" s="23"/>
      <c r="F476" s="24"/>
      <c r="G476" s="2"/>
      <c r="H476" s="10" t="e">
        <f>_xlfn.XLOOKUP(F476,Viloyatlar24[RegionName],Viloyatlar24[RegionId])</f>
        <v>#N/A</v>
      </c>
      <c r="I476" s="10" t="e">
        <f>_xlfn.XLOOKUP('Кўчмас мулк объектлари'!G476,Tumanlar23[DistrictName],Tumanlar23[DistrictId])</f>
        <v>#N/A</v>
      </c>
      <c r="K476" s="24"/>
      <c r="L476" s="10" t="e">
        <f>_xlfn.XLOOKUP(K476,Ташкилотлар39[Ташкилотлар],Ташкилотлар39[TashklilotID])</f>
        <v>#N/A</v>
      </c>
      <c r="M476" s="26"/>
      <c r="N476" s="26"/>
      <c r="O476" s="24"/>
      <c r="P476" s="2"/>
      <c r="Q476" s="26"/>
      <c r="R476" s="26"/>
      <c r="S476" s="26"/>
      <c r="T476" s="26"/>
      <c r="U476" s="24"/>
      <c r="V476" s="10" t="e">
        <f>_xlfn.XLOOKUP(U476,Таклифлар37[Таклифлар],Таклифлар37[TaklifID])</f>
        <v>#N/A</v>
      </c>
      <c r="W476" s="24"/>
      <c r="X476" s="23"/>
      <c r="Y476" s="7"/>
      <c r="Z476" s="26"/>
      <c r="AB476" s="23"/>
      <c r="AD476" s="2"/>
      <c r="AG476" s="23"/>
      <c r="AI476" s="26"/>
      <c r="AJ476" s="23"/>
      <c r="AM476" s="23"/>
      <c r="AO476" s="32"/>
      <c r="AP476" s="26"/>
      <c r="AR476" s="26"/>
      <c r="AS476" s="27"/>
      <c r="AT476" s="27"/>
      <c r="AU476" s="31"/>
      <c r="AV476" s="24"/>
      <c r="AW476"/>
      <c r="AX476"/>
      <c r="AY476"/>
      <c r="AZ476"/>
      <c r="BA476"/>
      <c r="BB476"/>
      <c r="BC476"/>
      <c r="BD476"/>
      <c r="BE476"/>
      <c r="BF476"/>
      <c r="BG476"/>
    </row>
    <row r="477" spans="2:59" x14ac:dyDescent="0.25">
      <c r="B477" s="22"/>
      <c r="C477" s="23"/>
      <c r="E477" s="23"/>
      <c r="F477" s="24"/>
      <c r="G477" s="2"/>
      <c r="H477" s="10" t="e">
        <f>_xlfn.XLOOKUP(F477,Viloyatlar24[RegionName],Viloyatlar24[RegionId])</f>
        <v>#N/A</v>
      </c>
      <c r="I477" s="10" t="e">
        <f>_xlfn.XLOOKUP('Кўчмас мулк объектлари'!G477,Tumanlar23[DistrictName],Tumanlar23[DistrictId])</f>
        <v>#N/A</v>
      </c>
      <c r="K477" s="24"/>
      <c r="L477" s="10" t="e">
        <f>_xlfn.XLOOKUP(K477,Ташкилотлар39[Ташкилотлар],Ташкилотлар39[TashklilotID])</f>
        <v>#N/A</v>
      </c>
      <c r="M477" s="26"/>
      <c r="N477" s="26"/>
      <c r="O477" s="24"/>
      <c r="P477" s="2"/>
      <c r="Q477" s="26"/>
      <c r="R477" s="26"/>
      <c r="S477" s="26"/>
      <c r="T477" s="26"/>
      <c r="U477" s="24"/>
      <c r="V477" s="10" t="e">
        <f>_xlfn.XLOOKUP(U477,Таклифлар37[Таклифлар],Таклифлар37[TaklifID])</f>
        <v>#N/A</v>
      </c>
      <c r="W477" s="24"/>
      <c r="X477" s="23"/>
      <c r="Y477" s="7"/>
      <c r="Z477" s="26"/>
      <c r="AB477" s="23"/>
      <c r="AD477" s="2"/>
      <c r="AG477" s="23"/>
      <c r="AI477" s="26"/>
      <c r="AJ477" s="23"/>
      <c r="AM477" s="23"/>
      <c r="AO477" s="32"/>
      <c r="AP477" s="26"/>
      <c r="AR477" s="26"/>
      <c r="AS477" s="27"/>
      <c r="AT477" s="27"/>
      <c r="AU477" s="31"/>
      <c r="AV477" s="24"/>
      <c r="AW477"/>
      <c r="AX477"/>
      <c r="AY477"/>
      <c r="AZ477"/>
      <c r="BA477"/>
      <c r="BB477"/>
      <c r="BC477"/>
      <c r="BD477"/>
      <c r="BE477"/>
      <c r="BF477"/>
      <c r="BG477"/>
    </row>
    <row r="478" spans="2:59" x14ac:dyDescent="0.25">
      <c r="B478" s="22"/>
      <c r="C478" s="23"/>
      <c r="E478" s="23"/>
      <c r="F478" s="24"/>
      <c r="G478" s="2"/>
      <c r="H478" s="10" t="e">
        <f>_xlfn.XLOOKUP(F478,Viloyatlar24[RegionName],Viloyatlar24[RegionId])</f>
        <v>#N/A</v>
      </c>
      <c r="I478" s="10" t="e">
        <f>_xlfn.XLOOKUP('Кўчмас мулк объектлари'!G478,Tumanlar23[DistrictName],Tumanlar23[DistrictId])</f>
        <v>#N/A</v>
      </c>
      <c r="K478" s="24"/>
      <c r="L478" s="10" t="e">
        <f>_xlfn.XLOOKUP(K478,Ташкилотлар39[Ташкилотлар],Ташкилотлар39[TashklilotID])</f>
        <v>#N/A</v>
      </c>
      <c r="M478" s="26"/>
      <c r="N478" s="26"/>
      <c r="O478" s="24"/>
      <c r="P478" s="2"/>
      <c r="Q478" s="26"/>
      <c r="R478" s="26"/>
      <c r="S478" s="26"/>
      <c r="T478" s="26"/>
      <c r="U478" s="24"/>
      <c r="V478" s="10" t="e">
        <f>_xlfn.XLOOKUP(U478,Таклифлар37[Таклифлар],Таклифлар37[TaklifID])</f>
        <v>#N/A</v>
      </c>
      <c r="W478" s="24"/>
      <c r="X478" s="23"/>
      <c r="Y478" s="7"/>
      <c r="Z478" s="26"/>
      <c r="AB478" s="23"/>
      <c r="AD478" s="2"/>
      <c r="AG478" s="23"/>
      <c r="AI478" s="26"/>
      <c r="AJ478" s="23"/>
      <c r="AM478" s="23"/>
      <c r="AO478" s="32"/>
      <c r="AP478" s="26"/>
      <c r="AR478" s="26"/>
      <c r="AS478" s="27"/>
      <c r="AT478" s="27"/>
      <c r="AU478" s="31"/>
      <c r="AV478" s="24"/>
      <c r="AW478"/>
      <c r="AX478"/>
      <c r="AY478"/>
      <c r="AZ478"/>
      <c r="BA478"/>
      <c r="BB478"/>
      <c r="BC478"/>
      <c r="BD478"/>
      <c r="BE478"/>
      <c r="BF478"/>
      <c r="BG478"/>
    </row>
    <row r="479" spans="2:59" x14ac:dyDescent="0.25">
      <c r="B479" s="22"/>
      <c r="C479" s="23"/>
      <c r="E479" s="23"/>
      <c r="F479" s="24"/>
      <c r="G479" s="2"/>
      <c r="H479" s="10" t="e">
        <f>_xlfn.XLOOKUP(F479,Viloyatlar24[RegionName],Viloyatlar24[RegionId])</f>
        <v>#N/A</v>
      </c>
      <c r="I479" s="10" t="e">
        <f>_xlfn.XLOOKUP('Кўчмас мулк объектлари'!G479,Tumanlar23[DistrictName],Tumanlar23[DistrictId])</f>
        <v>#N/A</v>
      </c>
      <c r="K479" s="24"/>
      <c r="L479" s="10" t="e">
        <f>_xlfn.XLOOKUP(K479,Ташкилотлар39[Ташкилотлар],Ташкилотлар39[TashklilotID])</f>
        <v>#N/A</v>
      </c>
      <c r="M479" s="26"/>
      <c r="N479" s="26"/>
      <c r="O479" s="24"/>
      <c r="P479" s="2"/>
      <c r="Q479" s="26"/>
      <c r="R479" s="26"/>
      <c r="S479" s="26"/>
      <c r="T479" s="26"/>
      <c r="U479" s="24"/>
      <c r="V479" s="10" t="e">
        <f>_xlfn.XLOOKUP(U479,Таклифлар37[Таклифлар],Таклифлар37[TaklifID])</f>
        <v>#N/A</v>
      </c>
      <c r="W479" s="24"/>
      <c r="X479" s="23"/>
      <c r="Y479" s="7"/>
      <c r="Z479" s="26"/>
      <c r="AB479" s="23"/>
      <c r="AD479" s="2"/>
      <c r="AG479" s="23"/>
      <c r="AI479" s="26"/>
      <c r="AJ479" s="23"/>
      <c r="AM479" s="23"/>
      <c r="AO479" s="32"/>
      <c r="AP479" s="26"/>
      <c r="AR479" s="26"/>
      <c r="AS479" s="27"/>
      <c r="AT479" s="27"/>
      <c r="AU479" s="31"/>
      <c r="AV479" s="24"/>
      <c r="AW479"/>
      <c r="AX479"/>
      <c r="AY479"/>
      <c r="AZ479"/>
      <c r="BA479"/>
      <c r="BB479"/>
      <c r="BC479"/>
      <c r="BD479"/>
      <c r="BE479"/>
      <c r="BF479"/>
      <c r="BG479"/>
    </row>
    <row r="480" spans="2:59" x14ac:dyDescent="0.25">
      <c r="B480" s="22"/>
      <c r="C480" s="23"/>
      <c r="E480" s="23"/>
      <c r="F480" s="24"/>
      <c r="G480" s="2"/>
      <c r="H480" s="10" t="e">
        <f>_xlfn.XLOOKUP(F480,Viloyatlar24[RegionName],Viloyatlar24[RegionId])</f>
        <v>#N/A</v>
      </c>
      <c r="I480" s="10" t="e">
        <f>_xlfn.XLOOKUP('Кўчмас мулк объектлари'!G480,Tumanlar23[DistrictName],Tumanlar23[DistrictId])</f>
        <v>#N/A</v>
      </c>
      <c r="K480" s="24"/>
      <c r="L480" s="10" t="e">
        <f>_xlfn.XLOOKUP(K480,Ташкилотлар39[Ташкилотлар],Ташкилотлар39[TashklilotID])</f>
        <v>#N/A</v>
      </c>
      <c r="M480" s="26"/>
      <c r="N480" s="26"/>
      <c r="O480" s="24"/>
      <c r="P480" s="2"/>
      <c r="Q480" s="26"/>
      <c r="R480" s="26"/>
      <c r="S480" s="26"/>
      <c r="T480" s="26"/>
      <c r="U480" s="24"/>
      <c r="V480" s="10" t="e">
        <f>_xlfn.XLOOKUP(U480,Таклифлар37[Таклифлар],Таклифлар37[TaklifID])</f>
        <v>#N/A</v>
      </c>
      <c r="W480" s="24"/>
      <c r="X480" s="23"/>
      <c r="Y480" s="7"/>
      <c r="Z480" s="26"/>
      <c r="AB480" s="23"/>
      <c r="AD480" s="2"/>
      <c r="AG480" s="23"/>
      <c r="AI480" s="26"/>
      <c r="AJ480" s="23"/>
      <c r="AM480" s="23"/>
      <c r="AO480" s="32"/>
      <c r="AP480" s="26"/>
      <c r="AR480" s="26"/>
      <c r="AS480" s="27"/>
      <c r="AT480" s="27"/>
      <c r="AU480" s="31"/>
      <c r="AV480" s="24"/>
      <c r="AW480"/>
      <c r="AX480"/>
      <c r="AY480"/>
      <c r="AZ480"/>
      <c r="BA480"/>
      <c r="BB480"/>
      <c r="BC480"/>
      <c r="BD480"/>
      <c r="BE480"/>
      <c r="BF480"/>
      <c r="BG480"/>
    </row>
    <row r="481" spans="2:59" x14ac:dyDescent="0.25">
      <c r="B481" s="22"/>
      <c r="C481" s="23"/>
      <c r="E481" s="23"/>
      <c r="F481" s="24"/>
      <c r="G481" s="2"/>
      <c r="H481" s="10" t="e">
        <f>_xlfn.XLOOKUP(F481,Viloyatlar24[RegionName],Viloyatlar24[RegionId])</f>
        <v>#N/A</v>
      </c>
      <c r="I481" s="10" t="e">
        <f>_xlfn.XLOOKUP('Кўчмас мулк объектлари'!G481,Tumanlar23[DistrictName],Tumanlar23[DistrictId])</f>
        <v>#N/A</v>
      </c>
      <c r="K481" s="24"/>
      <c r="L481" s="10" t="e">
        <f>_xlfn.XLOOKUP(K481,Ташкилотлар39[Ташкилотлар],Ташкилотлар39[TashklilotID])</f>
        <v>#N/A</v>
      </c>
      <c r="M481" s="26"/>
      <c r="N481" s="26"/>
      <c r="O481" s="24"/>
      <c r="P481" s="2"/>
      <c r="Q481" s="26"/>
      <c r="R481" s="26"/>
      <c r="S481" s="26"/>
      <c r="T481" s="26"/>
      <c r="U481" s="24"/>
      <c r="V481" s="10" t="e">
        <f>_xlfn.XLOOKUP(U481,Таклифлар37[Таклифлар],Таклифлар37[TaklifID])</f>
        <v>#N/A</v>
      </c>
      <c r="W481" s="24"/>
      <c r="X481" s="23"/>
      <c r="Y481" s="7"/>
      <c r="Z481" s="26"/>
      <c r="AB481" s="23"/>
      <c r="AD481" s="2"/>
      <c r="AG481" s="23"/>
      <c r="AI481" s="26"/>
      <c r="AJ481" s="23"/>
      <c r="AM481" s="23"/>
      <c r="AO481" s="32"/>
      <c r="AP481" s="26"/>
      <c r="AR481" s="26"/>
      <c r="AS481" s="27"/>
      <c r="AT481" s="27"/>
      <c r="AU481" s="31"/>
      <c r="AV481" s="24"/>
      <c r="AW481"/>
      <c r="AX481"/>
      <c r="AY481"/>
      <c r="AZ481"/>
      <c r="BA481"/>
      <c r="BB481"/>
      <c r="BC481"/>
      <c r="BD481"/>
      <c r="BE481"/>
      <c r="BF481"/>
      <c r="BG481"/>
    </row>
    <row r="482" spans="2:59" x14ac:dyDescent="0.25">
      <c r="B482" s="22"/>
      <c r="C482" s="23"/>
      <c r="E482" s="23"/>
      <c r="F482" s="24"/>
      <c r="G482" s="2"/>
      <c r="H482" s="10" t="e">
        <f>_xlfn.XLOOKUP(F482,Viloyatlar24[RegionName],Viloyatlar24[RegionId])</f>
        <v>#N/A</v>
      </c>
      <c r="I482" s="10" t="e">
        <f>_xlfn.XLOOKUP('Кўчмас мулк объектлари'!G482,Tumanlar23[DistrictName],Tumanlar23[DistrictId])</f>
        <v>#N/A</v>
      </c>
      <c r="K482" s="24"/>
      <c r="L482" s="10" t="e">
        <f>_xlfn.XLOOKUP(K482,Ташкилотлар39[Ташкилотлар],Ташкилотлар39[TashklilotID])</f>
        <v>#N/A</v>
      </c>
      <c r="M482" s="26"/>
      <c r="N482" s="26"/>
      <c r="O482" s="24"/>
      <c r="P482" s="2"/>
      <c r="Q482" s="26"/>
      <c r="R482" s="26"/>
      <c r="S482" s="26"/>
      <c r="T482" s="26"/>
      <c r="U482" s="24"/>
      <c r="V482" s="10" t="e">
        <f>_xlfn.XLOOKUP(U482,Таклифлар37[Таклифлар],Таклифлар37[TaklifID])</f>
        <v>#N/A</v>
      </c>
      <c r="W482" s="24"/>
      <c r="X482" s="23"/>
      <c r="Y482" s="7"/>
      <c r="Z482" s="26"/>
      <c r="AB482" s="23"/>
      <c r="AD482" s="2"/>
      <c r="AG482" s="23"/>
      <c r="AI482" s="26"/>
      <c r="AJ482" s="23"/>
      <c r="AM482" s="23"/>
      <c r="AO482" s="32"/>
      <c r="AP482" s="26"/>
      <c r="AR482" s="26"/>
      <c r="AS482" s="27"/>
      <c r="AT482" s="27"/>
      <c r="AU482" s="31"/>
      <c r="AV482" s="24"/>
      <c r="AW482"/>
      <c r="AX482"/>
      <c r="AY482"/>
      <c r="AZ482"/>
      <c r="BA482"/>
      <c r="BB482"/>
      <c r="BC482"/>
      <c r="BD482"/>
      <c r="BE482"/>
      <c r="BF482"/>
      <c r="BG482"/>
    </row>
    <row r="483" spans="2:59" x14ac:dyDescent="0.25">
      <c r="B483" s="22"/>
      <c r="C483" s="23"/>
      <c r="E483" s="23"/>
      <c r="F483" s="24"/>
      <c r="G483" s="2"/>
      <c r="H483" s="10" t="e">
        <f>_xlfn.XLOOKUP(F483,Viloyatlar24[RegionName],Viloyatlar24[RegionId])</f>
        <v>#N/A</v>
      </c>
      <c r="I483" s="10" t="e">
        <f>_xlfn.XLOOKUP('Кўчмас мулк объектлари'!G483,Tumanlar23[DistrictName],Tumanlar23[DistrictId])</f>
        <v>#N/A</v>
      </c>
      <c r="K483" s="24"/>
      <c r="L483" s="10" t="e">
        <f>_xlfn.XLOOKUP(K483,Ташкилотлар39[Ташкилотлар],Ташкилотлар39[TashklilotID])</f>
        <v>#N/A</v>
      </c>
      <c r="M483" s="26"/>
      <c r="N483" s="26"/>
      <c r="O483" s="24"/>
      <c r="P483" s="2"/>
      <c r="Q483" s="26"/>
      <c r="R483" s="26"/>
      <c r="S483" s="26"/>
      <c r="T483" s="26"/>
      <c r="U483" s="24"/>
      <c r="V483" s="10" t="e">
        <f>_xlfn.XLOOKUP(U483,Таклифлар37[Таклифлар],Таклифлар37[TaklifID])</f>
        <v>#N/A</v>
      </c>
      <c r="W483" s="24"/>
      <c r="X483" s="23"/>
      <c r="Y483" s="7"/>
      <c r="Z483" s="26"/>
      <c r="AB483" s="23"/>
      <c r="AD483" s="2"/>
      <c r="AG483" s="23"/>
      <c r="AI483" s="26"/>
      <c r="AJ483" s="23"/>
      <c r="AM483" s="23"/>
      <c r="AO483" s="32"/>
      <c r="AP483" s="26"/>
      <c r="AR483" s="26"/>
      <c r="AS483" s="27"/>
      <c r="AT483" s="27"/>
      <c r="AU483" s="31"/>
      <c r="AV483" s="24"/>
      <c r="AW483"/>
      <c r="AX483"/>
      <c r="AY483"/>
      <c r="AZ483"/>
      <c r="BA483"/>
      <c r="BB483"/>
      <c r="BC483"/>
      <c r="BD483"/>
      <c r="BE483"/>
      <c r="BF483"/>
      <c r="BG483"/>
    </row>
    <row r="484" spans="2:59" x14ac:dyDescent="0.25">
      <c r="B484" s="22"/>
      <c r="C484" s="23"/>
      <c r="E484" s="23"/>
      <c r="F484" s="24"/>
      <c r="G484" s="2"/>
      <c r="H484" s="10" t="e">
        <f>_xlfn.XLOOKUP(F484,Viloyatlar24[RegionName],Viloyatlar24[RegionId])</f>
        <v>#N/A</v>
      </c>
      <c r="I484" s="10" t="e">
        <f>_xlfn.XLOOKUP('Кўчмас мулк объектлари'!G484,Tumanlar23[DistrictName],Tumanlar23[DistrictId])</f>
        <v>#N/A</v>
      </c>
      <c r="K484" s="24"/>
      <c r="L484" s="10" t="e">
        <f>_xlfn.XLOOKUP(K484,Ташкилотлар39[Ташкилотлар],Ташкилотлар39[TashklilotID])</f>
        <v>#N/A</v>
      </c>
      <c r="M484" s="26"/>
      <c r="N484" s="26"/>
      <c r="O484" s="24"/>
      <c r="P484" s="2"/>
      <c r="Q484" s="26"/>
      <c r="R484" s="26"/>
      <c r="S484" s="26"/>
      <c r="T484" s="26"/>
      <c r="U484" s="24"/>
      <c r="V484" s="10" t="e">
        <f>_xlfn.XLOOKUP(U484,Таклифлар37[Таклифлар],Таклифлар37[TaklifID])</f>
        <v>#N/A</v>
      </c>
      <c r="W484" s="24"/>
      <c r="X484" s="23"/>
      <c r="Y484" s="7"/>
      <c r="Z484" s="26"/>
      <c r="AB484" s="23"/>
      <c r="AD484" s="2"/>
      <c r="AG484" s="23"/>
      <c r="AI484" s="26"/>
      <c r="AJ484" s="23"/>
      <c r="AM484" s="23"/>
      <c r="AO484" s="32"/>
      <c r="AP484" s="26"/>
      <c r="AR484" s="26"/>
      <c r="AS484" s="27"/>
      <c r="AT484" s="27"/>
      <c r="AU484" s="31"/>
      <c r="AV484" s="24"/>
      <c r="AW484"/>
      <c r="AX484"/>
      <c r="AY484"/>
      <c r="AZ484"/>
      <c r="BA484"/>
      <c r="BB484"/>
      <c r="BC484"/>
      <c r="BD484"/>
      <c r="BE484"/>
      <c r="BF484"/>
      <c r="BG484"/>
    </row>
    <row r="485" spans="2:59" x14ac:dyDescent="0.25">
      <c r="B485" s="22"/>
      <c r="C485" s="23"/>
      <c r="E485" s="23"/>
      <c r="F485" s="24"/>
      <c r="G485" s="2"/>
      <c r="H485" s="10" t="e">
        <f>_xlfn.XLOOKUP(F485,Viloyatlar24[RegionName],Viloyatlar24[RegionId])</f>
        <v>#N/A</v>
      </c>
      <c r="I485" s="10" t="e">
        <f>_xlfn.XLOOKUP('Кўчмас мулк объектлари'!G485,Tumanlar23[DistrictName],Tumanlar23[DistrictId])</f>
        <v>#N/A</v>
      </c>
      <c r="K485" s="24"/>
      <c r="L485" s="10" t="e">
        <f>_xlfn.XLOOKUP(K485,Ташкилотлар39[Ташкилотлар],Ташкилотлар39[TashklilotID])</f>
        <v>#N/A</v>
      </c>
      <c r="M485" s="26"/>
      <c r="N485" s="26"/>
      <c r="O485" s="24"/>
      <c r="P485" s="2"/>
      <c r="Q485" s="26"/>
      <c r="R485" s="26"/>
      <c r="S485" s="26"/>
      <c r="T485" s="26"/>
      <c r="U485" s="24"/>
      <c r="V485" s="10" t="e">
        <f>_xlfn.XLOOKUP(U485,Таклифлар37[Таклифлар],Таклифлар37[TaklifID])</f>
        <v>#N/A</v>
      </c>
      <c r="W485" s="24"/>
      <c r="X485" s="23"/>
      <c r="Y485" s="7"/>
      <c r="Z485" s="26"/>
      <c r="AB485" s="23"/>
      <c r="AD485" s="2"/>
      <c r="AG485" s="23"/>
      <c r="AI485" s="26"/>
      <c r="AJ485" s="23"/>
      <c r="AM485" s="23"/>
      <c r="AO485" s="32"/>
      <c r="AP485" s="26"/>
      <c r="AR485" s="26"/>
      <c r="AS485" s="27"/>
      <c r="AT485" s="27"/>
      <c r="AU485" s="31"/>
      <c r="AV485" s="24"/>
      <c r="AW485"/>
      <c r="AX485"/>
      <c r="AY485"/>
      <c r="AZ485"/>
      <c r="BA485"/>
      <c r="BB485"/>
      <c r="BC485"/>
      <c r="BD485"/>
      <c r="BE485"/>
      <c r="BF485"/>
      <c r="BG485"/>
    </row>
    <row r="486" spans="2:59" x14ac:dyDescent="0.25">
      <c r="B486" s="22"/>
      <c r="C486" s="23"/>
      <c r="E486" s="23"/>
      <c r="F486" s="24"/>
      <c r="G486" s="2"/>
      <c r="H486" s="10" t="e">
        <f>_xlfn.XLOOKUP(F486,Viloyatlar24[RegionName],Viloyatlar24[RegionId])</f>
        <v>#N/A</v>
      </c>
      <c r="I486" s="10" t="e">
        <f>_xlfn.XLOOKUP('Кўчмас мулк объектлари'!G486,Tumanlar23[DistrictName],Tumanlar23[DistrictId])</f>
        <v>#N/A</v>
      </c>
      <c r="K486" s="24"/>
      <c r="L486" s="10" t="e">
        <f>_xlfn.XLOOKUP(K486,Ташкилотлар39[Ташкилотлар],Ташкилотлар39[TashklilotID])</f>
        <v>#N/A</v>
      </c>
      <c r="M486" s="26"/>
      <c r="N486" s="26"/>
      <c r="O486" s="24"/>
      <c r="P486" s="2"/>
      <c r="Q486" s="26"/>
      <c r="R486" s="26"/>
      <c r="S486" s="26"/>
      <c r="T486" s="26"/>
      <c r="U486" s="24"/>
      <c r="V486" s="10" t="e">
        <f>_xlfn.XLOOKUP(U486,Таклифлар37[Таклифлар],Таклифлар37[TaklifID])</f>
        <v>#N/A</v>
      </c>
      <c r="W486" s="24"/>
      <c r="X486" s="23"/>
      <c r="Y486" s="7"/>
      <c r="Z486" s="26"/>
      <c r="AB486" s="23"/>
      <c r="AD486" s="2"/>
      <c r="AG486" s="23"/>
      <c r="AI486" s="26"/>
      <c r="AJ486" s="23"/>
      <c r="AM486" s="23"/>
      <c r="AO486" s="32"/>
      <c r="AP486" s="26"/>
      <c r="AR486" s="26"/>
      <c r="AS486" s="27"/>
      <c r="AT486" s="27"/>
      <c r="AU486" s="31"/>
      <c r="AV486" s="24"/>
      <c r="AW486"/>
      <c r="AX486"/>
      <c r="AY486"/>
      <c r="AZ486"/>
      <c r="BA486"/>
      <c r="BB486"/>
      <c r="BC486"/>
      <c r="BD486"/>
      <c r="BE486"/>
      <c r="BF486"/>
      <c r="BG486"/>
    </row>
    <row r="487" spans="2:59" x14ac:dyDescent="0.25">
      <c r="B487" s="22"/>
      <c r="C487" s="23"/>
      <c r="E487" s="23"/>
      <c r="F487" s="24"/>
      <c r="G487" s="2"/>
      <c r="H487" s="10" t="e">
        <f>_xlfn.XLOOKUP(F487,Viloyatlar24[RegionName],Viloyatlar24[RegionId])</f>
        <v>#N/A</v>
      </c>
      <c r="I487" s="10" t="e">
        <f>_xlfn.XLOOKUP('Кўчмас мулк объектлари'!G487,Tumanlar23[DistrictName],Tumanlar23[DistrictId])</f>
        <v>#N/A</v>
      </c>
      <c r="K487" s="24"/>
      <c r="L487" s="10" t="e">
        <f>_xlfn.XLOOKUP(K487,Ташкилотлар39[Ташкилотлар],Ташкилотлар39[TashklilotID])</f>
        <v>#N/A</v>
      </c>
      <c r="M487" s="26"/>
      <c r="N487" s="26"/>
      <c r="O487" s="24"/>
      <c r="P487" s="2"/>
      <c r="Q487" s="26"/>
      <c r="R487" s="26"/>
      <c r="S487" s="26"/>
      <c r="T487" s="26"/>
      <c r="U487" s="24"/>
      <c r="V487" s="10" t="e">
        <f>_xlfn.XLOOKUP(U487,Таклифлар37[Таклифлар],Таклифлар37[TaklifID])</f>
        <v>#N/A</v>
      </c>
      <c r="W487" s="24"/>
      <c r="X487" s="23"/>
      <c r="Y487" s="7"/>
      <c r="Z487" s="26"/>
      <c r="AB487" s="23"/>
      <c r="AD487" s="2"/>
      <c r="AG487" s="23"/>
      <c r="AI487" s="26"/>
      <c r="AJ487" s="23"/>
      <c r="AM487" s="23"/>
      <c r="AO487" s="32"/>
      <c r="AP487" s="26"/>
      <c r="AR487" s="26"/>
      <c r="AS487" s="27"/>
      <c r="AT487" s="27"/>
      <c r="AU487" s="31"/>
      <c r="AV487" s="24"/>
      <c r="AW487"/>
      <c r="AX487"/>
      <c r="AY487"/>
      <c r="AZ487"/>
      <c r="BA487"/>
      <c r="BB487"/>
      <c r="BC487"/>
      <c r="BD487"/>
      <c r="BE487"/>
      <c r="BF487"/>
      <c r="BG487"/>
    </row>
    <row r="488" spans="2:59" x14ac:dyDescent="0.25">
      <c r="B488" s="22"/>
      <c r="C488" s="23"/>
      <c r="E488" s="23"/>
      <c r="F488" s="24"/>
      <c r="G488" s="2"/>
      <c r="H488" s="10" t="e">
        <f>_xlfn.XLOOKUP(F488,Viloyatlar24[RegionName],Viloyatlar24[RegionId])</f>
        <v>#N/A</v>
      </c>
      <c r="I488" s="10" t="e">
        <f>_xlfn.XLOOKUP('Кўчмас мулк объектлари'!G488,Tumanlar23[DistrictName],Tumanlar23[DistrictId])</f>
        <v>#N/A</v>
      </c>
      <c r="K488" s="24"/>
      <c r="L488" s="10" t="e">
        <f>_xlfn.XLOOKUP(K488,Ташкилотлар39[Ташкилотлар],Ташкилотлар39[TashklilotID])</f>
        <v>#N/A</v>
      </c>
      <c r="M488" s="26"/>
      <c r="N488" s="26"/>
      <c r="O488" s="24"/>
      <c r="P488" s="2"/>
      <c r="Q488" s="26"/>
      <c r="R488" s="26"/>
      <c r="S488" s="26"/>
      <c r="T488" s="26"/>
      <c r="U488" s="24"/>
      <c r="V488" s="10" t="e">
        <f>_xlfn.XLOOKUP(U488,Таклифлар37[Таклифлар],Таклифлар37[TaklifID])</f>
        <v>#N/A</v>
      </c>
      <c r="W488" s="24"/>
      <c r="X488" s="23"/>
      <c r="Y488" s="7"/>
      <c r="Z488" s="26"/>
      <c r="AB488" s="23"/>
      <c r="AD488" s="2"/>
      <c r="AG488" s="23"/>
      <c r="AI488" s="26"/>
      <c r="AJ488" s="23"/>
      <c r="AM488" s="23"/>
      <c r="AO488" s="32"/>
      <c r="AP488" s="26"/>
      <c r="AR488" s="26"/>
      <c r="AS488" s="27"/>
      <c r="AT488" s="27"/>
      <c r="AU488" s="31"/>
      <c r="AV488" s="24"/>
      <c r="AW488"/>
      <c r="AX488"/>
      <c r="AY488"/>
      <c r="AZ488"/>
      <c r="BA488"/>
      <c r="BB488"/>
      <c r="BC488"/>
      <c r="BD488"/>
      <c r="BE488"/>
      <c r="BF488"/>
      <c r="BG488"/>
    </row>
    <row r="489" spans="2:59" x14ac:dyDescent="0.25">
      <c r="B489" s="22"/>
      <c r="C489" s="23"/>
      <c r="E489" s="23"/>
      <c r="F489" s="24"/>
      <c r="G489" s="2"/>
      <c r="H489" s="10" t="e">
        <f>_xlfn.XLOOKUP(F489,Viloyatlar24[RegionName],Viloyatlar24[RegionId])</f>
        <v>#N/A</v>
      </c>
      <c r="I489" s="10" t="e">
        <f>_xlfn.XLOOKUP('Кўчмас мулк объектлари'!G489,Tumanlar23[DistrictName],Tumanlar23[DistrictId])</f>
        <v>#N/A</v>
      </c>
      <c r="K489" s="24"/>
      <c r="L489" s="10" t="e">
        <f>_xlfn.XLOOKUP(K489,Ташкилотлар39[Ташкилотлар],Ташкилотлар39[TashklilotID])</f>
        <v>#N/A</v>
      </c>
      <c r="M489" s="26"/>
      <c r="N489" s="26"/>
      <c r="O489" s="24"/>
      <c r="P489" s="2"/>
      <c r="Q489" s="26"/>
      <c r="R489" s="26"/>
      <c r="S489" s="26"/>
      <c r="T489" s="26"/>
      <c r="U489" s="24"/>
      <c r="V489" s="10" t="e">
        <f>_xlfn.XLOOKUP(U489,Таклифлар37[Таклифлар],Таклифлар37[TaklifID])</f>
        <v>#N/A</v>
      </c>
      <c r="W489" s="24"/>
      <c r="X489" s="23"/>
      <c r="Y489" s="7"/>
      <c r="Z489" s="26"/>
      <c r="AB489" s="23"/>
      <c r="AD489" s="2"/>
      <c r="AG489" s="23"/>
      <c r="AI489" s="26"/>
      <c r="AJ489" s="23"/>
      <c r="AM489" s="23"/>
      <c r="AO489" s="32"/>
      <c r="AP489" s="26"/>
      <c r="AR489" s="26"/>
      <c r="AS489" s="27"/>
      <c r="AT489" s="27"/>
      <c r="AU489" s="31"/>
      <c r="AV489" s="24"/>
      <c r="AW489"/>
      <c r="AX489"/>
      <c r="AY489"/>
      <c r="AZ489"/>
      <c r="BA489"/>
      <c r="BB489"/>
      <c r="BC489"/>
      <c r="BD489"/>
      <c r="BE489"/>
      <c r="BF489"/>
      <c r="BG489"/>
    </row>
    <row r="490" spans="2:59" x14ac:dyDescent="0.25">
      <c r="B490" s="22"/>
      <c r="C490" s="23"/>
      <c r="E490" s="23"/>
      <c r="F490" s="24"/>
      <c r="G490" s="2"/>
      <c r="H490" s="10" t="e">
        <f>_xlfn.XLOOKUP(F490,Viloyatlar24[RegionName],Viloyatlar24[RegionId])</f>
        <v>#N/A</v>
      </c>
      <c r="I490" s="10" t="e">
        <f>_xlfn.XLOOKUP('Кўчмас мулк объектлари'!G490,Tumanlar23[DistrictName],Tumanlar23[DistrictId])</f>
        <v>#N/A</v>
      </c>
      <c r="K490" s="24"/>
      <c r="L490" s="10" t="e">
        <f>_xlfn.XLOOKUP(K490,Ташкилотлар39[Ташкилотлар],Ташкилотлар39[TashklilotID])</f>
        <v>#N/A</v>
      </c>
      <c r="M490" s="26"/>
      <c r="N490" s="26"/>
      <c r="O490" s="24"/>
      <c r="P490" s="2"/>
      <c r="Q490" s="26"/>
      <c r="R490" s="26"/>
      <c r="S490" s="26"/>
      <c r="T490" s="26"/>
      <c r="U490" s="24"/>
      <c r="V490" s="10" t="e">
        <f>_xlfn.XLOOKUP(U490,Таклифлар37[Таклифлар],Таклифлар37[TaklifID])</f>
        <v>#N/A</v>
      </c>
      <c r="W490" s="24"/>
      <c r="X490" s="23"/>
      <c r="Y490" s="7"/>
      <c r="Z490" s="26"/>
      <c r="AB490" s="23"/>
      <c r="AD490" s="2"/>
      <c r="AG490" s="23"/>
      <c r="AI490" s="26"/>
      <c r="AJ490" s="23"/>
      <c r="AM490" s="23"/>
      <c r="AO490" s="32"/>
      <c r="AP490" s="26"/>
      <c r="AR490" s="26"/>
      <c r="AS490" s="27"/>
      <c r="AT490" s="27"/>
      <c r="AU490" s="31"/>
      <c r="AV490" s="24"/>
      <c r="AW490"/>
      <c r="AX490"/>
      <c r="AY490"/>
      <c r="AZ490"/>
      <c r="BA490"/>
      <c r="BB490"/>
      <c r="BC490"/>
      <c r="BD490"/>
      <c r="BE490"/>
      <c r="BF490"/>
      <c r="BG490"/>
    </row>
    <row r="491" spans="2:59" x14ac:dyDescent="0.25">
      <c r="B491" s="22"/>
      <c r="C491" s="23"/>
      <c r="E491" s="23"/>
      <c r="F491" s="24"/>
      <c r="G491" s="2"/>
      <c r="H491" s="10" t="e">
        <f>_xlfn.XLOOKUP(F491,Viloyatlar24[RegionName],Viloyatlar24[RegionId])</f>
        <v>#N/A</v>
      </c>
      <c r="I491" s="10" t="e">
        <f>_xlfn.XLOOKUP('Кўчмас мулк объектлари'!G491,Tumanlar23[DistrictName],Tumanlar23[DistrictId])</f>
        <v>#N/A</v>
      </c>
      <c r="K491" s="24"/>
      <c r="L491" s="10" t="e">
        <f>_xlfn.XLOOKUP(K491,Ташкилотлар39[Ташкилотлар],Ташкилотлар39[TashklilotID])</f>
        <v>#N/A</v>
      </c>
      <c r="M491" s="26"/>
      <c r="N491" s="26"/>
      <c r="O491" s="24"/>
      <c r="P491" s="2"/>
      <c r="Q491" s="26"/>
      <c r="R491" s="26"/>
      <c r="S491" s="26"/>
      <c r="T491" s="26"/>
      <c r="U491" s="24"/>
      <c r="V491" s="10" t="e">
        <f>_xlfn.XLOOKUP(U491,Таклифлар37[Таклифлар],Таклифлар37[TaklifID])</f>
        <v>#N/A</v>
      </c>
      <c r="W491" s="24"/>
      <c r="X491" s="23"/>
      <c r="Y491" s="7"/>
      <c r="Z491" s="26"/>
      <c r="AB491" s="23"/>
      <c r="AD491" s="2"/>
      <c r="AG491" s="23"/>
      <c r="AI491" s="26"/>
      <c r="AJ491" s="23"/>
      <c r="AM491" s="23"/>
      <c r="AO491" s="32"/>
      <c r="AP491" s="26"/>
      <c r="AR491" s="26"/>
      <c r="AS491" s="27"/>
      <c r="AT491" s="27"/>
      <c r="AU491" s="31"/>
      <c r="AV491" s="24"/>
      <c r="AW491"/>
      <c r="AX491"/>
      <c r="AY491"/>
      <c r="AZ491"/>
      <c r="BA491"/>
      <c r="BB491"/>
      <c r="BC491"/>
      <c r="BD491"/>
      <c r="BE491"/>
      <c r="BF491"/>
      <c r="BG491"/>
    </row>
    <row r="492" spans="2:59" x14ac:dyDescent="0.25">
      <c r="B492" s="22"/>
      <c r="C492" s="23"/>
      <c r="E492" s="23"/>
      <c r="F492" s="24"/>
      <c r="G492" s="2"/>
      <c r="H492" s="10" t="e">
        <f>_xlfn.XLOOKUP(F492,Viloyatlar24[RegionName],Viloyatlar24[RegionId])</f>
        <v>#N/A</v>
      </c>
      <c r="I492" s="10" t="e">
        <f>_xlfn.XLOOKUP('Кўчмас мулк объектлари'!G492,Tumanlar23[DistrictName],Tumanlar23[DistrictId])</f>
        <v>#N/A</v>
      </c>
      <c r="K492" s="24"/>
      <c r="L492" s="10" t="e">
        <f>_xlfn.XLOOKUP(K492,Ташкилотлар39[Ташкилотлар],Ташкилотлар39[TashklilotID])</f>
        <v>#N/A</v>
      </c>
      <c r="M492" s="26"/>
      <c r="N492" s="26"/>
      <c r="O492" s="24"/>
      <c r="P492" s="2"/>
      <c r="Q492" s="26"/>
      <c r="R492" s="26"/>
      <c r="S492" s="26"/>
      <c r="T492" s="26"/>
      <c r="U492" s="24"/>
      <c r="V492" s="10" t="e">
        <f>_xlfn.XLOOKUP(U492,Таклифлар37[Таклифлар],Таклифлар37[TaklifID])</f>
        <v>#N/A</v>
      </c>
      <c r="W492" s="24"/>
      <c r="X492" s="23"/>
      <c r="Y492" s="7"/>
      <c r="Z492" s="26"/>
      <c r="AB492" s="23"/>
      <c r="AD492" s="2"/>
      <c r="AG492" s="23"/>
      <c r="AI492" s="26"/>
      <c r="AJ492" s="23"/>
      <c r="AM492" s="23"/>
      <c r="AO492" s="32"/>
      <c r="AP492" s="26"/>
      <c r="AR492" s="26"/>
      <c r="AS492" s="27"/>
      <c r="AT492" s="27"/>
      <c r="AU492" s="31"/>
      <c r="AV492" s="24"/>
      <c r="AW492"/>
      <c r="AX492"/>
      <c r="AY492"/>
      <c r="AZ492"/>
      <c r="BA492"/>
      <c r="BB492"/>
      <c r="BC492"/>
      <c r="BD492"/>
      <c r="BE492"/>
      <c r="BF492"/>
      <c r="BG492"/>
    </row>
    <row r="493" spans="2:59" x14ac:dyDescent="0.25">
      <c r="B493" s="22"/>
      <c r="C493" s="23"/>
      <c r="E493" s="23"/>
      <c r="F493" s="24"/>
      <c r="G493" s="2"/>
      <c r="H493" s="10" t="e">
        <f>_xlfn.XLOOKUP(F493,Viloyatlar24[RegionName],Viloyatlar24[RegionId])</f>
        <v>#N/A</v>
      </c>
      <c r="I493" s="10" t="e">
        <f>_xlfn.XLOOKUP('Кўчмас мулк объектлари'!G493,Tumanlar23[DistrictName],Tumanlar23[DistrictId])</f>
        <v>#N/A</v>
      </c>
      <c r="K493" s="24"/>
      <c r="L493" s="10" t="e">
        <f>_xlfn.XLOOKUP(K493,Ташкилотлар39[Ташкилотлар],Ташкилотлар39[TashklilotID])</f>
        <v>#N/A</v>
      </c>
      <c r="M493" s="26"/>
      <c r="N493" s="26"/>
      <c r="O493" s="24"/>
      <c r="P493" s="2"/>
      <c r="Q493" s="26"/>
      <c r="R493" s="26"/>
      <c r="S493" s="26"/>
      <c r="T493" s="26"/>
      <c r="U493" s="24"/>
      <c r="V493" s="10" t="e">
        <f>_xlfn.XLOOKUP(U493,Таклифлар37[Таклифлар],Таклифлар37[TaklifID])</f>
        <v>#N/A</v>
      </c>
      <c r="W493" s="24"/>
      <c r="X493" s="23"/>
      <c r="Y493" s="7"/>
      <c r="Z493" s="26"/>
      <c r="AB493" s="23"/>
      <c r="AD493" s="2"/>
      <c r="AG493" s="23"/>
      <c r="AI493" s="26"/>
      <c r="AJ493" s="23"/>
      <c r="AM493" s="23"/>
      <c r="AO493" s="32"/>
      <c r="AP493" s="26"/>
      <c r="AR493" s="26"/>
      <c r="AS493" s="27"/>
      <c r="AT493" s="27"/>
      <c r="AU493" s="31"/>
      <c r="AV493" s="24"/>
      <c r="AW493"/>
      <c r="AX493"/>
      <c r="AY493"/>
      <c r="AZ493"/>
      <c r="BA493"/>
      <c r="BB493"/>
      <c r="BC493"/>
      <c r="BD493"/>
      <c r="BE493"/>
      <c r="BF493"/>
      <c r="BG493"/>
    </row>
    <row r="494" spans="2:59" x14ac:dyDescent="0.25">
      <c r="B494" s="22"/>
      <c r="C494" s="23"/>
      <c r="E494" s="23"/>
      <c r="F494" s="24"/>
      <c r="G494" s="2"/>
      <c r="H494" s="10" t="e">
        <f>_xlfn.XLOOKUP(F494,Viloyatlar24[RegionName],Viloyatlar24[RegionId])</f>
        <v>#N/A</v>
      </c>
      <c r="I494" s="10" t="e">
        <f>_xlfn.XLOOKUP('Кўчмас мулк объектлари'!G494,Tumanlar23[DistrictName],Tumanlar23[DistrictId])</f>
        <v>#N/A</v>
      </c>
      <c r="K494" s="24"/>
      <c r="L494" s="10" t="e">
        <f>_xlfn.XLOOKUP(K494,Ташкилотлар39[Ташкилотлар],Ташкилотлар39[TashklilotID])</f>
        <v>#N/A</v>
      </c>
      <c r="M494" s="26"/>
      <c r="N494" s="26"/>
      <c r="O494" s="24"/>
      <c r="P494" s="2"/>
      <c r="Q494" s="26"/>
      <c r="R494" s="26"/>
      <c r="S494" s="26"/>
      <c r="T494" s="26"/>
      <c r="U494" s="24"/>
      <c r="V494" s="10" t="e">
        <f>_xlfn.XLOOKUP(U494,Таклифлар37[Таклифлар],Таклифлар37[TaklifID])</f>
        <v>#N/A</v>
      </c>
      <c r="W494" s="24"/>
      <c r="X494" s="23"/>
      <c r="Y494" s="7"/>
      <c r="Z494" s="26"/>
      <c r="AB494" s="23"/>
      <c r="AD494" s="2"/>
      <c r="AG494" s="23"/>
      <c r="AI494" s="26"/>
      <c r="AJ494" s="23"/>
      <c r="AM494" s="23"/>
      <c r="AO494" s="32"/>
      <c r="AP494" s="26"/>
      <c r="AR494" s="26"/>
      <c r="AS494" s="27"/>
      <c r="AT494" s="27"/>
      <c r="AU494" s="31"/>
      <c r="AV494" s="24"/>
      <c r="AW494"/>
      <c r="AX494"/>
      <c r="AY494"/>
      <c r="AZ494"/>
      <c r="BA494"/>
      <c r="BB494"/>
      <c r="BC494"/>
      <c r="BD494"/>
      <c r="BE494"/>
      <c r="BF494"/>
      <c r="BG494"/>
    </row>
    <row r="495" spans="2:59" x14ac:dyDescent="0.25">
      <c r="B495" s="22"/>
      <c r="C495" s="23"/>
      <c r="E495" s="23"/>
      <c r="F495" s="24"/>
      <c r="G495" s="2"/>
      <c r="H495" s="10" t="e">
        <f>_xlfn.XLOOKUP(F495,Viloyatlar24[RegionName],Viloyatlar24[RegionId])</f>
        <v>#N/A</v>
      </c>
      <c r="I495" s="10" t="e">
        <f>_xlfn.XLOOKUP('Кўчмас мулк объектлари'!G495,Tumanlar23[DistrictName],Tumanlar23[DistrictId])</f>
        <v>#N/A</v>
      </c>
      <c r="K495" s="24"/>
      <c r="L495" s="10" t="e">
        <f>_xlfn.XLOOKUP(K495,Ташкилотлар39[Ташкилотлар],Ташкилотлар39[TashklilotID])</f>
        <v>#N/A</v>
      </c>
      <c r="M495" s="26"/>
      <c r="N495" s="26"/>
      <c r="O495" s="24"/>
      <c r="P495" s="2"/>
      <c r="Q495" s="26"/>
      <c r="R495" s="26"/>
      <c r="S495" s="26"/>
      <c r="T495" s="26"/>
      <c r="U495" s="24"/>
      <c r="V495" s="10" t="e">
        <f>_xlfn.XLOOKUP(U495,Таклифлар37[Таклифлар],Таклифлар37[TaklifID])</f>
        <v>#N/A</v>
      </c>
      <c r="W495" s="24"/>
      <c r="X495" s="23"/>
      <c r="Y495" s="7"/>
      <c r="Z495" s="26"/>
      <c r="AB495" s="23"/>
      <c r="AD495" s="2"/>
      <c r="AG495" s="23"/>
      <c r="AI495" s="26"/>
      <c r="AJ495" s="23"/>
      <c r="AM495" s="23"/>
      <c r="AO495" s="32"/>
      <c r="AP495" s="26"/>
      <c r="AR495" s="26"/>
      <c r="AS495" s="27"/>
      <c r="AT495" s="27"/>
      <c r="AU495" s="31"/>
      <c r="AV495" s="24"/>
      <c r="AW495"/>
      <c r="AX495"/>
      <c r="AY495"/>
      <c r="AZ495"/>
      <c r="BA495"/>
      <c r="BB495"/>
      <c r="BC495"/>
      <c r="BD495"/>
      <c r="BE495"/>
      <c r="BF495"/>
      <c r="BG495"/>
    </row>
    <row r="496" spans="2:59" x14ac:dyDescent="0.25">
      <c r="B496" s="22"/>
      <c r="C496" s="23"/>
      <c r="E496" s="23"/>
      <c r="F496" s="24"/>
      <c r="G496" s="2"/>
      <c r="H496" s="10" t="e">
        <f>_xlfn.XLOOKUP(F496,Viloyatlar24[RegionName],Viloyatlar24[RegionId])</f>
        <v>#N/A</v>
      </c>
      <c r="I496" s="10" t="e">
        <f>_xlfn.XLOOKUP('Кўчмас мулк объектлари'!G496,Tumanlar23[DistrictName],Tumanlar23[DistrictId])</f>
        <v>#N/A</v>
      </c>
      <c r="K496" s="24"/>
      <c r="L496" s="10" t="e">
        <f>_xlfn.XLOOKUP(K496,Ташкилотлар39[Ташкилотлар],Ташкилотлар39[TashklilotID])</f>
        <v>#N/A</v>
      </c>
      <c r="M496" s="26"/>
      <c r="N496" s="26"/>
      <c r="O496" s="24"/>
      <c r="P496" s="2"/>
      <c r="Q496" s="26"/>
      <c r="R496" s="26"/>
      <c r="S496" s="26"/>
      <c r="T496" s="26"/>
      <c r="U496" s="24"/>
      <c r="V496" s="10" t="e">
        <f>_xlfn.XLOOKUP(U496,Таклифлар37[Таклифлар],Таклифлар37[TaklifID])</f>
        <v>#N/A</v>
      </c>
      <c r="W496" s="24"/>
      <c r="X496" s="23"/>
      <c r="Y496" s="7"/>
      <c r="Z496" s="26"/>
      <c r="AB496" s="23"/>
      <c r="AD496" s="2"/>
      <c r="AG496" s="23"/>
      <c r="AI496" s="26"/>
      <c r="AJ496" s="23"/>
      <c r="AM496" s="23"/>
      <c r="AO496" s="32"/>
      <c r="AP496" s="26"/>
      <c r="AR496" s="26"/>
      <c r="AS496" s="27"/>
      <c r="AT496" s="27"/>
      <c r="AU496" s="31"/>
      <c r="AV496" s="24"/>
      <c r="AW496"/>
      <c r="AX496"/>
      <c r="AY496"/>
      <c r="AZ496"/>
      <c r="BA496"/>
      <c r="BB496"/>
      <c r="BC496"/>
      <c r="BD496"/>
      <c r="BE496"/>
      <c r="BF496"/>
      <c r="BG496"/>
    </row>
    <row r="497" spans="2:59" x14ac:dyDescent="0.25">
      <c r="B497" s="22"/>
      <c r="C497" s="23"/>
      <c r="E497" s="23"/>
      <c r="F497" s="24"/>
      <c r="G497" s="2"/>
      <c r="H497" s="10" t="e">
        <f>_xlfn.XLOOKUP(F497,Viloyatlar24[RegionName],Viloyatlar24[RegionId])</f>
        <v>#N/A</v>
      </c>
      <c r="I497" s="10" t="e">
        <f>_xlfn.XLOOKUP('Кўчмас мулк объектлари'!G497,Tumanlar23[DistrictName],Tumanlar23[DistrictId])</f>
        <v>#N/A</v>
      </c>
      <c r="K497" s="24"/>
      <c r="L497" s="10" t="e">
        <f>_xlfn.XLOOKUP(K497,Ташкилотлар39[Ташкилотлар],Ташкилотлар39[TashklilotID])</f>
        <v>#N/A</v>
      </c>
      <c r="M497" s="26"/>
      <c r="N497" s="26"/>
      <c r="O497" s="24"/>
      <c r="P497" s="2"/>
      <c r="Q497" s="26"/>
      <c r="R497" s="26"/>
      <c r="S497" s="26"/>
      <c r="T497" s="26"/>
      <c r="U497" s="24"/>
      <c r="V497" s="10" t="e">
        <f>_xlfn.XLOOKUP(U497,Таклифлар37[Таклифлар],Таклифлар37[TaklifID])</f>
        <v>#N/A</v>
      </c>
      <c r="W497" s="24"/>
      <c r="X497" s="23"/>
      <c r="Y497" s="7"/>
      <c r="Z497" s="26"/>
      <c r="AB497" s="23"/>
      <c r="AD497" s="2"/>
      <c r="AG497" s="23"/>
      <c r="AI497" s="26"/>
      <c r="AJ497" s="23"/>
      <c r="AM497" s="23"/>
      <c r="AO497" s="32"/>
      <c r="AP497" s="26"/>
      <c r="AR497" s="26"/>
      <c r="AS497" s="27"/>
      <c r="AT497" s="27"/>
      <c r="AU497" s="31"/>
      <c r="AV497" s="24"/>
      <c r="AW497"/>
      <c r="AX497"/>
      <c r="AY497"/>
      <c r="AZ497"/>
      <c r="BA497"/>
      <c r="BB497"/>
      <c r="BC497"/>
      <c r="BD497"/>
      <c r="BE497"/>
      <c r="BF497"/>
      <c r="BG497"/>
    </row>
    <row r="498" spans="2:59" x14ac:dyDescent="0.25">
      <c r="B498" s="22"/>
      <c r="C498" s="23"/>
      <c r="E498" s="23"/>
      <c r="F498" s="24"/>
      <c r="G498" s="2"/>
      <c r="H498" s="10" t="e">
        <f>_xlfn.XLOOKUP(F498,Viloyatlar24[RegionName],Viloyatlar24[RegionId])</f>
        <v>#N/A</v>
      </c>
      <c r="I498" s="10" t="e">
        <f>_xlfn.XLOOKUP('Кўчмас мулк объектлари'!G498,Tumanlar23[DistrictName],Tumanlar23[DistrictId])</f>
        <v>#N/A</v>
      </c>
      <c r="K498" s="24"/>
      <c r="L498" s="10" t="e">
        <f>_xlfn.XLOOKUP(K498,Ташкилотлар39[Ташкилотлар],Ташкилотлар39[TashklilotID])</f>
        <v>#N/A</v>
      </c>
      <c r="M498" s="26"/>
      <c r="N498" s="26"/>
      <c r="O498" s="24"/>
      <c r="P498" s="2"/>
      <c r="Q498" s="26"/>
      <c r="R498" s="26"/>
      <c r="S498" s="26"/>
      <c r="T498" s="26"/>
      <c r="U498" s="24"/>
      <c r="V498" s="10" t="e">
        <f>_xlfn.XLOOKUP(U498,Таклифлар37[Таклифлар],Таклифлар37[TaklifID])</f>
        <v>#N/A</v>
      </c>
      <c r="W498" s="24"/>
      <c r="X498" s="23"/>
      <c r="Y498" s="7"/>
      <c r="Z498" s="26"/>
      <c r="AB498" s="23"/>
      <c r="AD498" s="2"/>
      <c r="AG498" s="23"/>
      <c r="AI498" s="26"/>
      <c r="AJ498" s="23"/>
      <c r="AM498" s="23"/>
      <c r="AO498" s="32"/>
      <c r="AP498" s="26"/>
      <c r="AR498" s="26"/>
      <c r="AS498" s="27"/>
      <c r="AT498" s="27"/>
      <c r="AU498" s="31"/>
      <c r="AV498" s="24"/>
      <c r="AW498"/>
      <c r="AX498"/>
      <c r="AY498"/>
      <c r="AZ498"/>
      <c r="BA498"/>
      <c r="BB498"/>
      <c r="BC498"/>
      <c r="BD498"/>
      <c r="BE498"/>
      <c r="BF498"/>
      <c r="BG498"/>
    </row>
    <row r="499" spans="2:59" x14ac:dyDescent="0.25">
      <c r="B499" s="22"/>
      <c r="C499" s="23"/>
      <c r="E499" s="23"/>
      <c r="F499" s="24"/>
      <c r="G499" s="2"/>
      <c r="H499" s="10" t="e">
        <f>_xlfn.XLOOKUP(F499,Viloyatlar24[RegionName],Viloyatlar24[RegionId])</f>
        <v>#N/A</v>
      </c>
      <c r="I499" s="10" t="e">
        <f>_xlfn.XLOOKUP('Кўчмас мулк объектлари'!G499,Tumanlar23[DistrictName],Tumanlar23[DistrictId])</f>
        <v>#N/A</v>
      </c>
      <c r="K499" s="24"/>
      <c r="L499" s="10" t="e">
        <f>_xlfn.XLOOKUP(K499,Ташкилотлар39[Ташкилотлар],Ташкилотлар39[TashklilotID])</f>
        <v>#N/A</v>
      </c>
      <c r="M499" s="26"/>
      <c r="N499" s="26"/>
      <c r="O499" s="24"/>
      <c r="P499" s="2"/>
      <c r="Q499" s="26"/>
      <c r="R499" s="26"/>
      <c r="S499" s="26"/>
      <c r="T499" s="26"/>
      <c r="U499" s="24"/>
      <c r="V499" s="10" t="e">
        <f>_xlfn.XLOOKUP(U499,Таклифлар37[Таклифлар],Таклифлар37[TaklifID])</f>
        <v>#N/A</v>
      </c>
      <c r="W499" s="24"/>
      <c r="X499" s="23"/>
      <c r="Y499" s="7"/>
      <c r="Z499" s="26"/>
      <c r="AB499" s="23"/>
      <c r="AD499" s="2"/>
      <c r="AG499" s="23"/>
      <c r="AI499" s="26"/>
      <c r="AJ499" s="23"/>
      <c r="AM499" s="23"/>
      <c r="AO499" s="32"/>
      <c r="AP499" s="26"/>
      <c r="AR499" s="26"/>
      <c r="AS499" s="27"/>
      <c r="AT499" s="27"/>
      <c r="AU499" s="31"/>
      <c r="AV499" s="24"/>
      <c r="AW499"/>
      <c r="AX499"/>
      <c r="AY499"/>
      <c r="AZ499"/>
      <c r="BA499"/>
      <c r="BB499"/>
      <c r="BC499"/>
      <c r="BD499"/>
      <c r="BE499"/>
      <c r="BF499"/>
      <c r="BG499"/>
    </row>
    <row r="500" spans="2:59" x14ac:dyDescent="0.25">
      <c r="B500" s="22"/>
      <c r="C500" s="23"/>
      <c r="E500" s="23"/>
      <c r="F500" s="24"/>
      <c r="G500" s="2"/>
      <c r="H500" s="10" t="e">
        <f>_xlfn.XLOOKUP(F500,Viloyatlar24[RegionName],Viloyatlar24[RegionId])</f>
        <v>#N/A</v>
      </c>
      <c r="I500" s="10" t="e">
        <f>_xlfn.XLOOKUP('Кўчмас мулк объектлари'!G500,Tumanlar23[DistrictName],Tumanlar23[DistrictId])</f>
        <v>#N/A</v>
      </c>
      <c r="K500" s="24"/>
      <c r="L500" s="10" t="e">
        <f>_xlfn.XLOOKUP(K500,Ташкилотлар39[Ташкилотлар],Ташкилотлар39[TashklilotID])</f>
        <v>#N/A</v>
      </c>
      <c r="M500" s="26"/>
      <c r="N500" s="26"/>
      <c r="O500" s="24"/>
      <c r="P500" s="2"/>
      <c r="Q500" s="26"/>
      <c r="R500" s="26"/>
      <c r="S500" s="26"/>
      <c r="T500" s="26"/>
      <c r="U500" s="24"/>
      <c r="V500" s="10" t="e">
        <f>_xlfn.XLOOKUP(U500,Таклифлар37[Таклифлар],Таклифлар37[TaklifID])</f>
        <v>#N/A</v>
      </c>
      <c r="W500" s="24"/>
      <c r="X500" s="23"/>
      <c r="Y500" s="7"/>
      <c r="Z500" s="26"/>
      <c r="AB500" s="23"/>
      <c r="AD500" s="2"/>
      <c r="AG500" s="23"/>
      <c r="AI500" s="26"/>
      <c r="AJ500" s="23"/>
      <c r="AM500" s="23"/>
      <c r="AO500" s="32"/>
      <c r="AP500" s="26"/>
      <c r="AR500" s="26"/>
      <c r="AS500" s="27"/>
      <c r="AT500" s="27"/>
      <c r="AU500" s="31"/>
      <c r="AV500" s="24"/>
      <c r="AW500"/>
      <c r="AX500"/>
      <c r="AY500"/>
      <c r="AZ500"/>
      <c r="BA500"/>
      <c r="BB500"/>
      <c r="BC500"/>
      <c r="BD500"/>
      <c r="BE500"/>
      <c r="BF500"/>
      <c r="BG500"/>
    </row>
    <row r="501" spans="2:59" x14ac:dyDescent="0.25">
      <c r="B501" s="22"/>
      <c r="C501" s="23"/>
      <c r="E501" s="23"/>
      <c r="F501" s="24"/>
      <c r="G501" s="2"/>
      <c r="H501" s="10" t="e">
        <f>_xlfn.XLOOKUP(F501,Viloyatlar24[RegionName],Viloyatlar24[RegionId])</f>
        <v>#N/A</v>
      </c>
      <c r="I501" s="10" t="e">
        <f>_xlfn.XLOOKUP('Кўчмас мулк объектлари'!G501,Tumanlar23[DistrictName],Tumanlar23[DistrictId])</f>
        <v>#N/A</v>
      </c>
      <c r="K501" s="24"/>
      <c r="L501" s="10" t="e">
        <f>_xlfn.XLOOKUP(K501,Ташкилотлар39[Ташкилотлар],Ташкилотлар39[TashklilotID])</f>
        <v>#N/A</v>
      </c>
      <c r="M501" s="26"/>
      <c r="N501" s="26"/>
      <c r="O501" s="24"/>
      <c r="P501" s="2"/>
      <c r="Q501" s="26"/>
      <c r="R501" s="26"/>
      <c r="S501" s="26"/>
      <c r="T501" s="26"/>
      <c r="U501" s="24"/>
      <c r="V501" s="10" t="e">
        <f>_xlfn.XLOOKUP(U501,Таклифлар37[Таклифлар],Таклифлар37[TaklifID])</f>
        <v>#N/A</v>
      </c>
      <c r="W501" s="24"/>
      <c r="X501" s="23"/>
      <c r="Y501" s="7"/>
      <c r="Z501" s="26"/>
      <c r="AB501" s="23"/>
      <c r="AD501" s="2"/>
      <c r="AG501" s="23"/>
      <c r="AI501" s="26"/>
      <c r="AJ501" s="23"/>
      <c r="AM501" s="23"/>
      <c r="AO501" s="32"/>
      <c r="AP501" s="26"/>
      <c r="AR501" s="26"/>
      <c r="AS501" s="27"/>
      <c r="AT501" s="27"/>
      <c r="AU501" s="31"/>
      <c r="AV501" s="24"/>
      <c r="AW501"/>
      <c r="AX501"/>
      <c r="AY501"/>
      <c r="AZ501"/>
      <c r="BA501"/>
      <c r="BB501"/>
      <c r="BC501"/>
      <c r="BD501"/>
      <c r="BE501"/>
      <c r="BF501"/>
      <c r="BG501"/>
    </row>
    <row r="502" spans="2:59" x14ac:dyDescent="0.25">
      <c r="B502" s="22"/>
      <c r="C502" s="23"/>
      <c r="E502" s="23"/>
      <c r="F502" s="24"/>
      <c r="G502" s="2"/>
      <c r="H502" s="10" t="e">
        <f>_xlfn.XLOOKUP(F502,Viloyatlar24[RegionName],Viloyatlar24[RegionId])</f>
        <v>#N/A</v>
      </c>
      <c r="I502" s="10" t="e">
        <f>_xlfn.XLOOKUP('Кўчмас мулк объектлари'!G502,Tumanlar23[DistrictName],Tumanlar23[DistrictId])</f>
        <v>#N/A</v>
      </c>
      <c r="K502" s="24"/>
      <c r="L502" s="10" t="e">
        <f>_xlfn.XLOOKUP(K502,Ташкилотлар39[Ташкилотлар],Ташкилотлар39[TashklilotID])</f>
        <v>#N/A</v>
      </c>
      <c r="M502" s="26"/>
      <c r="N502" s="26"/>
      <c r="O502" s="24"/>
      <c r="P502" s="2"/>
      <c r="Q502" s="26"/>
      <c r="R502" s="26"/>
      <c r="S502" s="26"/>
      <c r="T502" s="26"/>
      <c r="U502" s="24"/>
      <c r="V502" s="10" t="e">
        <f>_xlfn.XLOOKUP(U502,Таклифлар37[Таклифлар],Таклифлар37[TaklifID])</f>
        <v>#N/A</v>
      </c>
      <c r="W502" s="24"/>
      <c r="X502" s="23"/>
      <c r="Y502" s="7"/>
      <c r="Z502" s="26"/>
      <c r="AB502" s="23"/>
      <c r="AD502" s="2"/>
      <c r="AG502" s="23"/>
      <c r="AI502" s="26"/>
      <c r="AJ502" s="23"/>
      <c r="AM502" s="23"/>
      <c r="AO502" s="32"/>
      <c r="AP502" s="26"/>
      <c r="AR502" s="26"/>
      <c r="AS502" s="27"/>
      <c r="AT502" s="27"/>
      <c r="AU502" s="31"/>
      <c r="AV502" s="24"/>
      <c r="AW502"/>
      <c r="AX502"/>
      <c r="AY502"/>
      <c r="AZ502"/>
      <c r="BA502"/>
      <c r="BB502"/>
      <c r="BC502"/>
      <c r="BD502"/>
      <c r="BE502"/>
      <c r="BF502"/>
      <c r="BG502"/>
    </row>
    <row r="503" spans="2:59" x14ac:dyDescent="0.25">
      <c r="B503" s="22"/>
      <c r="C503" s="23"/>
      <c r="E503" s="23"/>
      <c r="F503" s="24"/>
      <c r="G503" s="2"/>
      <c r="H503" s="10" t="e">
        <f>_xlfn.XLOOKUP(F503,Viloyatlar24[RegionName],Viloyatlar24[RegionId])</f>
        <v>#N/A</v>
      </c>
      <c r="I503" s="10" t="e">
        <f>_xlfn.XLOOKUP('Кўчмас мулк объектлари'!G503,Tumanlar23[DistrictName],Tumanlar23[DistrictId])</f>
        <v>#N/A</v>
      </c>
      <c r="K503" s="24"/>
      <c r="L503" s="10" t="e">
        <f>_xlfn.XLOOKUP(K503,Ташкилотлар39[Ташкилотлар],Ташкилотлар39[TashklilotID])</f>
        <v>#N/A</v>
      </c>
      <c r="M503" s="26"/>
      <c r="N503" s="26"/>
      <c r="O503" s="24"/>
      <c r="P503" s="2"/>
      <c r="Q503" s="26"/>
      <c r="R503" s="26"/>
      <c r="S503" s="26"/>
      <c r="T503" s="26"/>
      <c r="U503" s="24"/>
      <c r="V503" s="10" t="e">
        <f>_xlfn.XLOOKUP(U503,Таклифлар37[Таклифлар],Таклифлар37[TaklifID])</f>
        <v>#N/A</v>
      </c>
      <c r="W503" s="24"/>
      <c r="X503" s="23"/>
      <c r="Y503" s="7"/>
      <c r="Z503" s="26"/>
      <c r="AB503" s="23"/>
      <c r="AD503" s="2"/>
      <c r="AG503" s="23"/>
      <c r="AI503" s="26"/>
      <c r="AJ503" s="23"/>
      <c r="AM503" s="23"/>
      <c r="AO503" s="32"/>
      <c r="AP503" s="26"/>
      <c r="AR503" s="26"/>
      <c r="AS503" s="27"/>
      <c r="AT503" s="27"/>
      <c r="AU503" s="31"/>
      <c r="AV503" s="24"/>
      <c r="AW503"/>
      <c r="AX503"/>
      <c r="AY503"/>
      <c r="AZ503"/>
      <c r="BA503"/>
      <c r="BB503"/>
      <c r="BC503"/>
      <c r="BD503"/>
      <c r="BE503"/>
      <c r="BF503"/>
      <c r="BG503"/>
    </row>
    <row r="504" spans="2:59" x14ac:dyDescent="0.25">
      <c r="B504" s="22"/>
      <c r="C504" s="23"/>
      <c r="E504" s="23"/>
      <c r="F504" s="24"/>
      <c r="G504" s="2"/>
      <c r="H504" s="10" t="e">
        <f>_xlfn.XLOOKUP(F504,Viloyatlar24[RegionName],Viloyatlar24[RegionId])</f>
        <v>#N/A</v>
      </c>
      <c r="I504" s="10" t="e">
        <f>_xlfn.XLOOKUP('Кўчмас мулк объектлари'!G504,Tumanlar23[DistrictName],Tumanlar23[DistrictId])</f>
        <v>#N/A</v>
      </c>
      <c r="K504" s="24"/>
      <c r="L504" s="10" t="e">
        <f>_xlfn.XLOOKUP(K504,Ташкилотлар39[Ташкилотлар],Ташкилотлар39[TashklilotID])</f>
        <v>#N/A</v>
      </c>
      <c r="M504" s="26"/>
      <c r="N504" s="26"/>
      <c r="O504" s="24"/>
      <c r="P504" s="2"/>
      <c r="Q504" s="26"/>
      <c r="R504" s="26"/>
      <c r="S504" s="26"/>
      <c r="T504" s="26"/>
      <c r="U504" s="24"/>
      <c r="V504" s="10" t="e">
        <f>_xlfn.XLOOKUP(U504,Таклифлар37[Таклифлар],Таклифлар37[TaklifID])</f>
        <v>#N/A</v>
      </c>
      <c r="W504" s="24"/>
      <c r="X504" s="23"/>
      <c r="Y504" s="7"/>
      <c r="Z504" s="26"/>
      <c r="AB504" s="23"/>
      <c r="AD504" s="2"/>
      <c r="AG504" s="23"/>
      <c r="AI504" s="26"/>
      <c r="AJ504" s="23"/>
      <c r="AM504" s="23"/>
      <c r="AO504" s="32"/>
      <c r="AP504" s="26"/>
      <c r="AR504" s="26"/>
      <c r="AS504" s="27"/>
      <c r="AT504" s="27"/>
      <c r="AU504" s="31"/>
      <c r="AV504" s="24"/>
      <c r="AW504"/>
      <c r="AX504"/>
      <c r="AY504"/>
      <c r="AZ504"/>
      <c r="BA504"/>
      <c r="BB504"/>
      <c r="BC504"/>
      <c r="BD504"/>
      <c r="BE504"/>
      <c r="BF504"/>
      <c r="BG504"/>
    </row>
    <row r="505" spans="2:59" x14ac:dyDescent="0.25">
      <c r="B505" s="22"/>
      <c r="C505" s="23"/>
      <c r="E505" s="23"/>
      <c r="F505" s="24"/>
      <c r="G505" s="2"/>
      <c r="H505" s="10" t="e">
        <f>_xlfn.XLOOKUP(F505,Viloyatlar24[RegionName],Viloyatlar24[RegionId])</f>
        <v>#N/A</v>
      </c>
      <c r="I505" s="10" t="e">
        <f>_xlfn.XLOOKUP('Кўчмас мулк объектлари'!G505,Tumanlar23[DistrictName],Tumanlar23[DistrictId])</f>
        <v>#N/A</v>
      </c>
      <c r="K505" s="24"/>
      <c r="L505" s="10" t="e">
        <f>_xlfn.XLOOKUP(K505,Ташкилотлар39[Ташкилотлар],Ташкилотлар39[TashklilotID])</f>
        <v>#N/A</v>
      </c>
      <c r="M505" s="26"/>
      <c r="N505" s="26"/>
      <c r="O505" s="24"/>
      <c r="P505" s="2"/>
      <c r="Q505" s="26"/>
      <c r="R505" s="26"/>
      <c r="S505" s="26"/>
      <c r="T505" s="26"/>
      <c r="U505" s="24"/>
      <c r="V505" s="10" t="e">
        <f>_xlfn.XLOOKUP(U505,Таклифлар37[Таклифлар],Таклифлар37[TaklifID])</f>
        <v>#N/A</v>
      </c>
      <c r="W505" s="24"/>
      <c r="X505" s="23"/>
      <c r="Y505" s="7"/>
      <c r="Z505" s="26"/>
      <c r="AB505" s="23"/>
      <c r="AD505" s="2"/>
      <c r="AG505" s="23"/>
      <c r="AI505" s="26"/>
      <c r="AJ505" s="23"/>
      <c r="AM505" s="23"/>
      <c r="AO505" s="32"/>
      <c r="AP505" s="26"/>
      <c r="AR505" s="26"/>
      <c r="AS505" s="27"/>
      <c r="AT505" s="27"/>
      <c r="AU505" s="31"/>
      <c r="AV505" s="24"/>
      <c r="AW505"/>
      <c r="AX505"/>
      <c r="AY505"/>
      <c r="AZ505"/>
      <c r="BA505"/>
      <c r="BB505"/>
      <c r="BC505"/>
      <c r="BD505"/>
      <c r="BE505"/>
      <c r="BF505"/>
      <c r="BG505"/>
    </row>
    <row r="506" spans="2:59" x14ac:dyDescent="0.25">
      <c r="B506" s="22"/>
      <c r="C506" s="23"/>
      <c r="E506" s="23"/>
      <c r="F506" s="24"/>
      <c r="G506" s="2"/>
      <c r="H506" s="10" t="e">
        <f>_xlfn.XLOOKUP(F506,Viloyatlar24[RegionName],Viloyatlar24[RegionId])</f>
        <v>#N/A</v>
      </c>
      <c r="I506" s="10" t="e">
        <f>_xlfn.XLOOKUP('Кўчмас мулк объектлари'!G506,Tumanlar23[DistrictName],Tumanlar23[DistrictId])</f>
        <v>#N/A</v>
      </c>
      <c r="K506" s="24"/>
      <c r="L506" s="10" t="e">
        <f>_xlfn.XLOOKUP(K506,Ташкилотлар39[Ташкилотлар],Ташкилотлар39[TashklilotID])</f>
        <v>#N/A</v>
      </c>
      <c r="M506" s="26"/>
      <c r="N506" s="26"/>
      <c r="O506" s="24"/>
      <c r="P506" s="2"/>
      <c r="Q506" s="26"/>
      <c r="R506" s="26"/>
      <c r="S506" s="26"/>
      <c r="T506" s="26"/>
      <c r="U506" s="24"/>
      <c r="V506" s="10" t="e">
        <f>_xlfn.XLOOKUP(U506,Таклифлар37[Таклифлар],Таклифлар37[TaklifID])</f>
        <v>#N/A</v>
      </c>
      <c r="W506" s="24"/>
      <c r="X506" s="23"/>
      <c r="Y506" s="7"/>
      <c r="Z506" s="26"/>
      <c r="AB506" s="23"/>
      <c r="AD506" s="2"/>
      <c r="AG506" s="23"/>
      <c r="AI506" s="26"/>
      <c r="AJ506" s="23"/>
      <c r="AM506" s="23"/>
      <c r="AO506" s="32"/>
      <c r="AP506" s="26"/>
      <c r="AR506" s="26"/>
      <c r="AS506" s="27"/>
      <c r="AT506" s="27"/>
      <c r="AU506" s="31"/>
      <c r="AV506" s="24"/>
      <c r="AW506"/>
      <c r="AX506"/>
      <c r="AY506"/>
      <c r="AZ506"/>
      <c r="BA506"/>
      <c r="BB506"/>
      <c r="BC506"/>
      <c r="BD506"/>
      <c r="BE506"/>
      <c r="BF506"/>
      <c r="BG506"/>
    </row>
    <row r="507" spans="2:59" x14ac:dyDescent="0.25">
      <c r="B507" s="22"/>
      <c r="C507" s="23"/>
      <c r="E507" s="23"/>
      <c r="F507" s="24"/>
      <c r="G507" s="2"/>
      <c r="H507" s="10" t="e">
        <f>_xlfn.XLOOKUP(F507,Viloyatlar24[RegionName],Viloyatlar24[RegionId])</f>
        <v>#N/A</v>
      </c>
      <c r="I507" s="10" t="e">
        <f>_xlfn.XLOOKUP('Кўчмас мулк объектлари'!G507,Tumanlar23[DistrictName],Tumanlar23[DistrictId])</f>
        <v>#N/A</v>
      </c>
      <c r="K507" s="24"/>
      <c r="L507" s="10" t="e">
        <f>_xlfn.XLOOKUP(K507,Ташкилотлар39[Ташкилотлар],Ташкилотлар39[TashklilotID])</f>
        <v>#N/A</v>
      </c>
      <c r="M507" s="26"/>
      <c r="N507" s="26"/>
      <c r="O507" s="24"/>
      <c r="P507" s="2"/>
      <c r="Q507" s="26"/>
      <c r="R507" s="26"/>
      <c r="S507" s="26"/>
      <c r="T507" s="26"/>
      <c r="U507" s="24"/>
      <c r="V507" s="10" t="e">
        <f>_xlfn.XLOOKUP(U507,Таклифлар37[Таклифлар],Таклифлар37[TaklifID])</f>
        <v>#N/A</v>
      </c>
      <c r="W507" s="24"/>
      <c r="X507" s="23"/>
      <c r="Y507" s="7"/>
      <c r="Z507" s="26"/>
      <c r="AB507" s="23"/>
      <c r="AD507" s="2"/>
      <c r="AG507" s="23"/>
      <c r="AI507" s="26"/>
      <c r="AJ507" s="23"/>
      <c r="AM507" s="23"/>
      <c r="AO507" s="32"/>
      <c r="AP507" s="26"/>
      <c r="AR507" s="26"/>
      <c r="AS507" s="27"/>
      <c r="AT507" s="27"/>
      <c r="AU507" s="31"/>
      <c r="AV507" s="24"/>
      <c r="AW507"/>
      <c r="AX507"/>
      <c r="AY507"/>
      <c r="AZ507"/>
      <c r="BA507"/>
      <c r="BB507"/>
      <c r="BC507"/>
      <c r="BD507"/>
      <c r="BE507"/>
      <c r="BF507"/>
      <c r="BG507"/>
    </row>
    <row r="508" spans="2:59" x14ac:dyDescent="0.25">
      <c r="B508" s="22"/>
      <c r="C508" s="23"/>
      <c r="E508" s="23"/>
      <c r="F508" s="24"/>
      <c r="G508" s="2"/>
      <c r="H508" s="10" t="e">
        <f>_xlfn.XLOOKUP(F508,Viloyatlar24[RegionName],Viloyatlar24[RegionId])</f>
        <v>#N/A</v>
      </c>
      <c r="I508" s="10" t="e">
        <f>_xlfn.XLOOKUP('Кўчмас мулк объектлари'!G508,Tumanlar23[DistrictName],Tumanlar23[DistrictId])</f>
        <v>#N/A</v>
      </c>
      <c r="K508" s="24"/>
      <c r="L508" s="10" t="e">
        <f>_xlfn.XLOOKUP(K508,Ташкилотлар39[Ташкилотлар],Ташкилотлар39[TashklilotID])</f>
        <v>#N/A</v>
      </c>
      <c r="M508" s="26"/>
      <c r="N508" s="26"/>
      <c r="O508" s="24"/>
      <c r="P508" s="2"/>
      <c r="Q508" s="26"/>
      <c r="R508" s="26"/>
      <c r="S508" s="26"/>
      <c r="T508" s="26"/>
      <c r="U508" s="24"/>
      <c r="V508" s="10" t="e">
        <f>_xlfn.XLOOKUP(U508,Таклифлар37[Таклифлар],Таклифлар37[TaklifID])</f>
        <v>#N/A</v>
      </c>
      <c r="W508" s="24"/>
      <c r="X508" s="23"/>
      <c r="Y508" s="7"/>
      <c r="Z508" s="26"/>
      <c r="AB508" s="23"/>
      <c r="AD508" s="2"/>
      <c r="AG508" s="23"/>
      <c r="AI508" s="26"/>
      <c r="AJ508" s="23"/>
      <c r="AM508" s="23"/>
      <c r="AO508" s="32"/>
      <c r="AP508" s="26"/>
      <c r="AR508" s="26"/>
      <c r="AS508" s="27"/>
      <c r="AT508" s="27"/>
      <c r="AU508" s="31"/>
      <c r="AV508" s="24"/>
      <c r="AW508"/>
      <c r="AX508"/>
      <c r="AY508"/>
      <c r="AZ508"/>
      <c r="BA508"/>
      <c r="BB508"/>
      <c r="BC508"/>
      <c r="BD508"/>
      <c r="BE508"/>
      <c r="BF508"/>
      <c r="BG508"/>
    </row>
    <row r="509" spans="2:59" x14ac:dyDescent="0.25">
      <c r="B509" s="22"/>
      <c r="C509" s="23"/>
      <c r="E509" s="23"/>
      <c r="F509" s="24"/>
      <c r="G509" s="2"/>
      <c r="H509" s="10" t="e">
        <f>_xlfn.XLOOKUP(F509,Viloyatlar24[RegionName],Viloyatlar24[RegionId])</f>
        <v>#N/A</v>
      </c>
      <c r="I509" s="10" t="e">
        <f>_xlfn.XLOOKUP('Кўчмас мулк объектлари'!G509,Tumanlar23[DistrictName],Tumanlar23[DistrictId])</f>
        <v>#N/A</v>
      </c>
      <c r="K509" s="24"/>
      <c r="L509" s="10" t="e">
        <f>_xlfn.XLOOKUP(K509,Ташкилотлар39[Ташкилотлар],Ташкилотлар39[TashklilotID])</f>
        <v>#N/A</v>
      </c>
      <c r="M509" s="26"/>
      <c r="N509" s="26"/>
      <c r="O509" s="24"/>
      <c r="P509" s="2"/>
      <c r="Q509" s="26"/>
      <c r="R509" s="26"/>
      <c r="S509" s="26"/>
      <c r="T509" s="26"/>
      <c r="U509" s="24"/>
      <c r="V509" s="10" t="e">
        <f>_xlfn.XLOOKUP(U509,Таклифлар37[Таклифлар],Таклифлар37[TaklifID])</f>
        <v>#N/A</v>
      </c>
      <c r="W509" s="24"/>
      <c r="X509" s="23"/>
      <c r="Y509" s="7"/>
      <c r="Z509" s="26"/>
      <c r="AB509" s="23"/>
      <c r="AD509" s="2"/>
      <c r="AG509" s="23"/>
      <c r="AI509" s="26"/>
      <c r="AJ509" s="23"/>
      <c r="AM509" s="23"/>
      <c r="AO509" s="32"/>
      <c r="AP509" s="26"/>
      <c r="AR509" s="26"/>
      <c r="AS509" s="27"/>
      <c r="AT509" s="27"/>
      <c r="AU509" s="31"/>
      <c r="AV509" s="24"/>
      <c r="AW509"/>
      <c r="AX509"/>
      <c r="AY509"/>
      <c r="AZ509"/>
      <c r="BA509"/>
      <c r="BB509"/>
      <c r="BC509"/>
      <c r="BD509"/>
      <c r="BE509"/>
      <c r="BF509"/>
      <c r="BG509"/>
    </row>
    <row r="510" spans="2:59" x14ac:dyDescent="0.25">
      <c r="B510" s="22"/>
      <c r="C510" s="23"/>
      <c r="E510" s="23"/>
      <c r="F510" s="24"/>
      <c r="G510" s="2"/>
      <c r="H510" s="10" t="e">
        <f>_xlfn.XLOOKUP(F510,Viloyatlar24[RegionName],Viloyatlar24[RegionId])</f>
        <v>#N/A</v>
      </c>
      <c r="I510" s="10" t="e">
        <f>_xlfn.XLOOKUP('Кўчмас мулк объектлари'!G510,Tumanlar23[DistrictName],Tumanlar23[DistrictId])</f>
        <v>#N/A</v>
      </c>
      <c r="K510" s="24"/>
      <c r="L510" s="10" t="e">
        <f>_xlfn.XLOOKUP(K510,Ташкилотлар39[Ташкилотлар],Ташкилотлар39[TashklilotID])</f>
        <v>#N/A</v>
      </c>
      <c r="M510" s="26"/>
      <c r="N510" s="26"/>
      <c r="O510" s="24"/>
      <c r="P510" s="2"/>
      <c r="Q510" s="26"/>
      <c r="R510" s="26"/>
      <c r="S510" s="26"/>
      <c r="T510" s="26"/>
      <c r="U510" s="24"/>
      <c r="V510" s="10" t="e">
        <f>_xlfn.XLOOKUP(U510,Таклифлар37[Таклифлар],Таклифлар37[TaklifID])</f>
        <v>#N/A</v>
      </c>
      <c r="W510" s="24"/>
      <c r="X510" s="23"/>
      <c r="Y510" s="7"/>
      <c r="Z510" s="26"/>
      <c r="AB510" s="23"/>
      <c r="AD510" s="2"/>
      <c r="AG510" s="23"/>
      <c r="AI510" s="26"/>
      <c r="AJ510" s="23"/>
      <c r="AM510" s="23"/>
      <c r="AO510" s="32"/>
      <c r="AP510" s="26"/>
      <c r="AR510" s="26"/>
      <c r="AS510" s="27"/>
      <c r="AT510" s="27"/>
      <c r="AU510" s="31"/>
      <c r="AV510" s="24"/>
      <c r="AW510"/>
      <c r="AX510"/>
      <c r="AY510"/>
      <c r="AZ510"/>
      <c r="BA510"/>
      <c r="BB510"/>
      <c r="BC510"/>
      <c r="BD510"/>
      <c r="BE510"/>
      <c r="BF510"/>
      <c r="BG510"/>
    </row>
    <row r="511" spans="2:59" x14ac:dyDescent="0.25">
      <c r="B511" s="22"/>
      <c r="C511" s="23"/>
      <c r="E511" s="23"/>
      <c r="F511" s="24"/>
      <c r="G511" s="2"/>
      <c r="H511" s="10" t="e">
        <f>_xlfn.XLOOKUP(F511,Viloyatlar24[RegionName],Viloyatlar24[RegionId])</f>
        <v>#N/A</v>
      </c>
      <c r="I511" s="10" t="e">
        <f>_xlfn.XLOOKUP('Кўчмас мулк объектлари'!G511,Tumanlar23[DistrictName],Tumanlar23[DistrictId])</f>
        <v>#N/A</v>
      </c>
      <c r="K511" s="24"/>
      <c r="L511" s="10" t="e">
        <f>_xlfn.XLOOKUP(K511,Ташкилотлар39[Ташкилотлар],Ташкилотлар39[TashklilotID])</f>
        <v>#N/A</v>
      </c>
      <c r="M511" s="26"/>
      <c r="N511" s="26"/>
      <c r="O511" s="24"/>
      <c r="P511" s="2"/>
      <c r="Q511" s="26"/>
      <c r="R511" s="26"/>
      <c r="S511" s="26"/>
      <c r="T511" s="26"/>
      <c r="U511" s="24"/>
      <c r="V511" s="10" t="e">
        <f>_xlfn.XLOOKUP(U511,Таклифлар37[Таклифлар],Таклифлар37[TaklifID])</f>
        <v>#N/A</v>
      </c>
      <c r="W511" s="24"/>
      <c r="X511" s="23"/>
      <c r="Y511" s="7"/>
      <c r="Z511" s="26"/>
      <c r="AB511" s="23"/>
      <c r="AD511" s="2"/>
      <c r="AG511" s="23"/>
      <c r="AI511" s="26"/>
      <c r="AJ511" s="23"/>
      <c r="AM511" s="23"/>
      <c r="AO511" s="32"/>
      <c r="AP511" s="26"/>
      <c r="AR511" s="26"/>
      <c r="AS511" s="27"/>
      <c r="AT511" s="27"/>
      <c r="AU511" s="31"/>
      <c r="AV511" s="24"/>
      <c r="AW511"/>
      <c r="AX511"/>
      <c r="AY511"/>
      <c r="AZ511"/>
      <c r="BA511"/>
      <c r="BB511"/>
      <c r="BC511"/>
      <c r="BD511"/>
      <c r="BE511"/>
      <c r="BF511"/>
      <c r="BG511"/>
    </row>
    <row r="512" spans="2:59" x14ac:dyDescent="0.25">
      <c r="B512" s="22"/>
      <c r="C512" s="23"/>
      <c r="E512" s="23"/>
      <c r="F512" s="24"/>
      <c r="G512" s="2"/>
      <c r="H512" s="10" t="e">
        <f>_xlfn.XLOOKUP(F512,Viloyatlar24[RegionName],Viloyatlar24[RegionId])</f>
        <v>#N/A</v>
      </c>
      <c r="I512" s="10" t="e">
        <f>_xlfn.XLOOKUP('Кўчмас мулк объектлари'!G512,Tumanlar23[DistrictName],Tumanlar23[DistrictId])</f>
        <v>#N/A</v>
      </c>
      <c r="K512" s="24"/>
      <c r="L512" s="10" t="e">
        <f>_xlfn.XLOOKUP(K512,Ташкилотлар39[Ташкилотлар],Ташкилотлар39[TashklilotID])</f>
        <v>#N/A</v>
      </c>
      <c r="M512" s="26"/>
      <c r="N512" s="26"/>
      <c r="O512" s="24"/>
      <c r="P512" s="2"/>
      <c r="Q512" s="26"/>
      <c r="R512" s="26"/>
      <c r="S512" s="26"/>
      <c r="T512" s="26"/>
      <c r="U512" s="24"/>
      <c r="V512" s="10" t="e">
        <f>_xlfn.XLOOKUP(U512,Таклифлар37[Таклифлар],Таклифлар37[TaklifID])</f>
        <v>#N/A</v>
      </c>
      <c r="W512" s="24"/>
      <c r="X512" s="23"/>
      <c r="Y512" s="7"/>
      <c r="Z512" s="26"/>
      <c r="AB512" s="23"/>
      <c r="AD512" s="2"/>
      <c r="AG512" s="23"/>
      <c r="AI512" s="26"/>
      <c r="AJ512" s="23"/>
      <c r="AM512" s="23"/>
      <c r="AO512" s="32"/>
      <c r="AP512" s="26"/>
      <c r="AR512" s="26"/>
      <c r="AS512" s="27"/>
      <c r="AT512" s="27"/>
      <c r="AU512" s="31"/>
      <c r="AV512" s="24"/>
      <c r="AW512"/>
      <c r="AX512"/>
      <c r="AY512"/>
      <c r="AZ512"/>
      <c r="BA512"/>
      <c r="BB512"/>
      <c r="BC512"/>
      <c r="BD512"/>
      <c r="BE512"/>
      <c r="BF512"/>
      <c r="BG512"/>
    </row>
    <row r="513" spans="2:59" x14ac:dyDescent="0.25">
      <c r="B513" s="22"/>
      <c r="C513" s="23"/>
      <c r="E513" s="23"/>
      <c r="F513" s="24"/>
      <c r="G513" s="2"/>
      <c r="H513" s="10" t="e">
        <f>_xlfn.XLOOKUP(F513,Viloyatlar24[RegionName],Viloyatlar24[RegionId])</f>
        <v>#N/A</v>
      </c>
      <c r="I513" s="10" t="e">
        <f>_xlfn.XLOOKUP('Кўчмас мулк объектлари'!G513,Tumanlar23[DistrictName],Tumanlar23[DistrictId])</f>
        <v>#N/A</v>
      </c>
      <c r="K513" s="24"/>
      <c r="L513" s="10" t="e">
        <f>_xlfn.XLOOKUP(K513,Ташкилотлар39[Ташкилотлар],Ташкилотлар39[TashklilotID])</f>
        <v>#N/A</v>
      </c>
      <c r="M513" s="26"/>
      <c r="N513" s="26"/>
      <c r="O513" s="24"/>
      <c r="P513" s="2"/>
      <c r="Q513" s="26"/>
      <c r="R513" s="26"/>
      <c r="S513" s="26"/>
      <c r="T513" s="26"/>
      <c r="U513" s="24"/>
      <c r="V513" s="10" t="e">
        <f>_xlfn.XLOOKUP(U513,Таклифлар37[Таклифлар],Таклифлар37[TaklifID])</f>
        <v>#N/A</v>
      </c>
      <c r="W513" s="24"/>
      <c r="X513" s="23"/>
      <c r="Y513" s="7"/>
      <c r="Z513" s="26"/>
      <c r="AB513" s="23"/>
      <c r="AD513" s="2"/>
      <c r="AG513" s="23"/>
      <c r="AI513" s="26"/>
      <c r="AJ513" s="23"/>
      <c r="AM513" s="23"/>
      <c r="AO513" s="32"/>
      <c r="AP513" s="26"/>
      <c r="AR513" s="26"/>
      <c r="AS513" s="27"/>
      <c r="AT513" s="27"/>
      <c r="AU513" s="31"/>
      <c r="AV513" s="24"/>
      <c r="AW513"/>
      <c r="AX513"/>
      <c r="AY513"/>
      <c r="AZ513"/>
      <c r="BA513"/>
      <c r="BB513"/>
      <c r="BC513"/>
      <c r="BD513"/>
      <c r="BE513"/>
      <c r="BF513"/>
      <c r="BG513"/>
    </row>
    <row r="514" spans="2:59" x14ac:dyDescent="0.25">
      <c r="B514" s="22"/>
      <c r="C514" s="23"/>
      <c r="E514" s="23"/>
      <c r="F514" s="24"/>
      <c r="G514" s="2"/>
      <c r="H514" s="10" t="e">
        <f>_xlfn.XLOOKUP(F514,Viloyatlar24[RegionName],Viloyatlar24[RegionId])</f>
        <v>#N/A</v>
      </c>
      <c r="I514" s="10" t="e">
        <f>_xlfn.XLOOKUP('Кўчмас мулк объектлари'!G514,Tumanlar23[DistrictName],Tumanlar23[DistrictId])</f>
        <v>#N/A</v>
      </c>
      <c r="K514" s="24"/>
      <c r="L514" s="10" t="e">
        <f>_xlfn.XLOOKUP(K514,Ташкилотлар39[Ташкилотлар],Ташкилотлар39[TashklilotID])</f>
        <v>#N/A</v>
      </c>
      <c r="M514" s="26"/>
      <c r="N514" s="26"/>
      <c r="O514" s="24"/>
      <c r="P514" s="2"/>
      <c r="Q514" s="26"/>
      <c r="R514" s="26"/>
      <c r="S514" s="26"/>
      <c r="T514" s="26"/>
      <c r="U514" s="24"/>
      <c r="V514" s="10" t="e">
        <f>_xlfn.XLOOKUP(U514,Таклифлар37[Таклифлар],Таклифлар37[TaklifID])</f>
        <v>#N/A</v>
      </c>
      <c r="W514" s="24"/>
      <c r="X514" s="23"/>
      <c r="Y514" s="7"/>
      <c r="Z514" s="26"/>
      <c r="AB514" s="23"/>
      <c r="AD514" s="2"/>
      <c r="AG514" s="23"/>
      <c r="AI514" s="26"/>
      <c r="AJ514" s="23"/>
      <c r="AM514" s="23"/>
      <c r="AO514" s="32"/>
      <c r="AP514" s="26"/>
      <c r="AR514" s="26"/>
      <c r="AS514" s="27"/>
      <c r="AT514" s="27"/>
      <c r="AU514" s="31"/>
      <c r="AV514" s="24"/>
      <c r="AW514"/>
      <c r="AX514"/>
      <c r="AY514"/>
      <c r="AZ514"/>
      <c r="BA514"/>
      <c r="BB514"/>
      <c r="BC514"/>
      <c r="BD514"/>
      <c r="BE514"/>
      <c r="BF514"/>
      <c r="BG514"/>
    </row>
    <row r="515" spans="2:59" x14ac:dyDescent="0.25">
      <c r="B515" s="22"/>
      <c r="C515" s="23"/>
      <c r="E515" s="23"/>
      <c r="F515" s="24"/>
      <c r="G515" s="2"/>
      <c r="H515" s="10" t="e">
        <f>_xlfn.XLOOKUP(F515,Viloyatlar24[RegionName],Viloyatlar24[RegionId])</f>
        <v>#N/A</v>
      </c>
      <c r="I515" s="10" t="e">
        <f>_xlfn.XLOOKUP('Кўчмас мулк объектлари'!G515,Tumanlar23[DistrictName],Tumanlar23[DistrictId])</f>
        <v>#N/A</v>
      </c>
      <c r="K515" s="24"/>
      <c r="L515" s="10" t="e">
        <f>_xlfn.XLOOKUP(K515,Ташкилотлар39[Ташкилотлар],Ташкилотлар39[TashklilotID])</f>
        <v>#N/A</v>
      </c>
      <c r="M515" s="26"/>
      <c r="N515" s="26"/>
      <c r="O515" s="24"/>
      <c r="P515" s="2"/>
      <c r="Q515" s="26"/>
      <c r="R515" s="26"/>
      <c r="S515" s="26"/>
      <c r="T515" s="26"/>
      <c r="U515" s="24"/>
      <c r="V515" s="10" t="e">
        <f>_xlfn.XLOOKUP(U515,Таклифлар37[Таклифлар],Таклифлар37[TaklifID])</f>
        <v>#N/A</v>
      </c>
      <c r="W515" s="24"/>
      <c r="X515" s="23"/>
      <c r="Y515" s="7"/>
      <c r="Z515" s="26"/>
      <c r="AB515" s="23"/>
      <c r="AD515" s="2"/>
      <c r="AG515" s="23"/>
      <c r="AI515" s="26"/>
      <c r="AJ515" s="23"/>
      <c r="AM515" s="23"/>
      <c r="AO515" s="32"/>
      <c r="AP515" s="26"/>
      <c r="AR515" s="26"/>
      <c r="AS515" s="27"/>
      <c r="AT515" s="27"/>
      <c r="AU515" s="31"/>
      <c r="AV515" s="24"/>
      <c r="AW515"/>
      <c r="AX515"/>
      <c r="AY515"/>
      <c r="AZ515"/>
      <c r="BA515"/>
      <c r="BB515"/>
      <c r="BC515"/>
      <c r="BD515"/>
      <c r="BE515"/>
      <c r="BF515"/>
      <c r="BG515"/>
    </row>
    <row r="516" spans="2:59" x14ac:dyDescent="0.25">
      <c r="B516" s="22"/>
      <c r="C516" s="23"/>
      <c r="E516" s="23"/>
      <c r="F516" s="24"/>
      <c r="G516" s="2"/>
      <c r="H516" s="10" t="e">
        <f>_xlfn.XLOOKUP(F516,Viloyatlar24[RegionName],Viloyatlar24[RegionId])</f>
        <v>#N/A</v>
      </c>
      <c r="I516" s="10" t="e">
        <f>_xlfn.XLOOKUP('Кўчмас мулк объектлари'!G516,Tumanlar23[DistrictName],Tumanlar23[DistrictId])</f>
        <v>#N/A</v>
      </c>
      <c r="K516" s="24"/>
      <c r="L516" s="10" t="e">
        <f>_xlfn.XLOOKUP(K516,Ташкилотлар39[Ташкилотлар],Ташкилотлар39[TashklilotID])</f>
        <v>#N/A</v>
      </c>
      <c r="M516" s="26"/>
      <c r="N516" s="26"/>
      <c r="O516" s="24"/>
      <c r="P516" s="2"/>
      <c r="Q516" s="26"/>
      <c r="R516" s="26"/>
      <c r="S516" s="26"/>
      <c r="T516" s="26"/>
      <c r="U516" s="24"/>
      <c r="V516" s="10" t="e">
        <f>_xlfn.XLOOKUP(U516,Таклифлар37[Таклифлар],Таклифлар37[TaklifID])</f>
        <v>#N/A</v>
      </c>
      <c r="W516" s="24"/>
      <c r="X516" s="23"/>
      <c r="Y516" s="7"/>
      <c r="Z516" s="26"/>
      <c r="AB516" s="23"/>
      <c r="AD516" s="2"/>
      <c r="AG516" s="23"/>
      <c r="AI516" s="26"/>
      <c r="AJ516" s="23"/>
      <c r="AM516" s="23"/>
      <c r="AO516" s="32"/>
      <c r="AP516" s="26"/>
      <c r="AR516" s="26"/>
      <c r="AS516" s="27"/>
      <c r="AT516" s="27"/>
      <c r="AU516" s="31"/>
      <c r="AV516" s="24"/>
      <c r="AW516"/>
      <c r="AX516"/>
      <c r="AY516"/>
      <c r="AZ516"/>
      <c r="BA516"/>
      <c r="BB516"/>
      <c r="BC516"/>
      <c r="BD516"/>
      <c r="BE516"/>
      <c r="BF516"/>
      <c r="BG516"/>
    </row>
    <row r="517" spans="2:59" x14ac:dyDescent="0.25">
      <c r="B517" s="22"/>
      <c r="C517" s="23"/>
      <c r="E517" s="23"/>
      <c r="F517" s="24"/>
      <c r="G517" s="2"/>
      <c r="H517" s="10" t="e">
        <f>_xlfn.XLOOKUP(F517,Viloyatlar24[RegionName],Viloyatlar24[RegionId])</f>
        <v>#N/A</v>
      </c>
      <c r="I517" s="10" t="e">
        <f>_xlfn.XLOOKUP('Кўчмас мулк объектлари'!G517,Tumanlar23[DistrictName],Tumanlar23[DistrictId])</f>
        <v>#N/A</v>
      </c>
      <c r="K517" s="24"/>
      <c r="L517" s="10" t="e">
        <f>_xlfn.XLOOKUP(K517,Ташкилотлар39[Ташкилотлар],Ташкилотлар39[TashklilotID])</f>
        <v>#N/A</v>
      </c>
      <c r="M517" s="26"/>
      <c r="N517" s="26"/>
      <c r="O517" s="24"/>
      <c r="P517" s="2"/>
      <c r="Q517" s="26"/>
      <c r="R517" s="26"/>
      <c r="S517" s="26"/>
      <c r="T517" s="26"/>
      <c r="U517" s="24"/>
      <c r="V517" s="10" t="e">
        <f>_xlfn.XLOOKUP(U517,Таклифлар37[Таклифлар],Таклифлар37[TaklifID])</f>
        <v>#N/A</v>
      </c>
      <c r="W517" s="24"/>
      <c r="X517" s="23"/>
      <c r="Y517" s="7"/>
      <c r="Z517" s="26"/>
      <c r="AB517" s="23"/>
      <c r="AD517" s="2"/>
      <c r="AG517" s="23"/>
      <c r="AI517" s="26"/>
      <c r="AJ517" s="23"/>
      <c r="AM517" s="23"/>
      <c r="AO517" s="32"/>
      <c r="AP517" s="26"/>
      <c r="AR517" s="26"/>
      <c r="AS517" s="27"/>
      <c r="AT517" s="27"/>
      <c r="AU517" s="31"/>
      <c r="AV517" s="24"/>
      <c r="AW517"/>
      <c r="AX517"/>
      <c r="AY517"/>
      <c r="AZ517"/>
      <c r="BA517"/>
      <c r="BB517"/>
      <c r="BC517"/>
      <c r="BD517"/>
      <c r="BE517"/>
      <c r="BF517"/>
      <c r="BG517"/>
    </row>
    <row r="518" spans="2:59" x14ac:dyDescent="0.25">
      <c r="B518" s="22"/>
      <c r="C518" s="23"/>
      <c r="E518" s="23"/>
      <c r="F518" s="24"/>
      <c r="G518" s="2"/>
      <c r="H518" s="10" t="e">
        <f>_xlfn.XLOOKUP(F518,Viloyatlar24[RegionName],Viloyatlar24[RegionId])</f>
        <v>#N/A</v>
      </c>
      <c r="I518" s="10" t="e">
        <f>_xlfn.XLOOKUP('Кўчмас мулк объектлари'!G518,Tumanlar23[DistrictName],Tumanlar23[DistrictId])</f>
        <v>#N/A</v>
      </c>
      <c r="K518" s="24"/>
      <c r="L518" s="10" t="e">
        <f>_xlfn.XLOOKUP(K518,Ташкилотлар39[Ташкилотлар],Ташкилотлар39[TashklilotID])</f>
        <v>#N/A</v>
      </c>
      <c r="M518" s="26"/>
      <c r="N518" s="26"/>
      <c r="O518" s="24"/>
      <c r="P518" s="2"/>
      <c r="Q518" s="26"/>
      <c r="R518" s="26"/>
      <c r="S518" s="26"/>
      <c r="T518" s="26"/>
      <c r="U518" s="24"/>
      <c r="V518" s="10" t="e">
        <f>_xlfn.XLOOKUP(U518,Таклифлар37[Таклифлар],Таклифлар37[TaklifID])</f>
        <v>#N/A</v>
      </c>
      <c r="W518" s="24"/>
      <c r="X518" s="23"/>
      <c r="Y518" s="7"/>
      <c r="Z518" s="26"/>
      <c r="AB518" s="23"/>
      <c r="AD518" s="2"/>
      <c r="AG518" s="23"/>
      <c r="AI518" s="26"/>
      <c r="AJ518" s="23"/>
      <c r="AM518" s="23"/>
      <c r="AO518" s="32"/>
      <c r="AP518" s="26"/>
      <c r="AR518" s="26"/>
      <c r="AS518" s="27"/>
      <c r="AT518" s="27"/>
      <c r="AU518" s="31"/>
      <c r="AV518" s="24"/>
      <c r="AW518"/>
      <c r="AX518"/>
      <c r="AY518"/>
      <c r="AZ518"/>
      <c r="BA518"/>
      <c r="BB518"/>
      <c r="BC518"/>
      <c r="BD518"/>
      <c r="BE518"/>
      <c r="BF518"/>
      <c r="BG518"/>
    </row>
    <row r="519" spans="2:59" x14ac:dyDescent="0.25">
      <c r="B519" s="22"/>
      <c r="C519" s="23"/>
      <c r="E519" s="23"/>
      <c r="F519" s="24"/>
      <c r="G519" s="2"/>
      <c r="H519" s="10" t="e">
        <f>_xlfn.XLOOKUP(F519,Viloyatlar24[RegionName],Viloyatlar24[RegionId])</f>
        <v>#N/A</v>
      </c>
      <c r="I519" s="10" t="e">
        <f>_xlfn.XLOOKUP('Кўчмас мулк объектлари'!G519,Tumanlar23[DistrictName],Tumanlar23[DistrictId])</f>
        <v>#N/A</v>
      </c>
      <c r="K519" s="24"/>
      <c r="L519" s="10" t="e">
        <f>_xlfn.XLOOKUP(K519,Ташкилотлар39[Ташкилотлар],Ташкилотлар39[TashklilotID])</f>
        <v>#N/A</v>
      </c>
      <c r="M519" s="26"/>
      <c r="N519" s="26"/>
      <c r="O519" s="24"/>
      <c r="P519" s="2"/>
      <c r="Q519" s="26"/>
      <c r="R519" s="26"/>
      <c r="S519" s="26"/>
      <c r="T519" s="26"/>
      <c r="U519" s="24"/>
      <c r="V519" s="10" t="e">
        <f>_xlfn.XLOOKUP(U519,Таклифлар37[Таклифлар],Таклифлар37[TaklifID])</f>
        <v>#N/A</v>
      </c>
      <c r="W519" s="24"/>
      <c r="X519" s="23"/>
      <c r="Y519" s="7"/>
      <c r="Z519" s="26"/>
      <c r="AB519" s="23"/>
      <c r="AD519" s="2"/>
      <c r="AG519" s="23"/>
      <c r="AI519" s="26"/>
      <c r="AJ519" s="23"/>
      <c r="AM519" s="23"/>
      <c r="AO519" s="32"/>
      <c r="AP519" s="26"/>
      <c r="AR519" s="26"/>
      <c r="AS519" s="27"/>
      <c r="AT519" s="27"/>
      <c r="AU519" s="31"/>
      <c r="AV519" s="24"/>
      <c r="AW519"/>
      <c r="AX519"/>
      <c r="AY519"/>
      <c r="AZ519"/>
      <c r="BA519"/>
      <c r="BB519"/>
      <c r="BC519"/>
      <c r="BD519"/>
      <c r="BE519"/>
      <c r="BF519"/>
      <c r="BG519"/>
    </row>
    <row r="520" spans="2:59" x14ac:dyDescent="0.25">
      <c r="B520" s="22"/>
      <c r="C520" s="23"/>
      <c r="E520" s="23"/>
      <c r="F520" s="24"/>
      <c r="G520" s="2"/>
      <c r="H520" s="10" t="e">
        <f>_xlfn.XLOOKUP(F520,Viloyatlar24[RegionName],Viloyatlar24[RegionId])</f>
        <v>#N/A</v>
      </c>
      <c r="I520" s="10" t="e">
        <f>_xlfn.XLOOKUP('Кўчмас мулк объектлари'!G520,Tumanlar23[DistrictName],Tumanlar23[DistrictId])</f>
        <v>#N/A</v>
      </c>
      <c r="K520" s="24"/>
      <c r="L520" s="10" t="e">
        <f>_xlfn.XLOOKUP(K520,Ташкилотлар39[Ташкилотлар],Ташкилотлар39[TashklilotID])</f>
        <v>#N/A</v>
      </c>
      <c r="M520" s="26"/>
      <c r="N520" s="26"/>
      <c r="O520" s="24"/>
      <c r="P520" s="2"/>
      <c r="Q520" s="26"/>
      <c r="R520" s="26"/>
      <c r="S520" s="26"/>
      <c r="T520" s="26"/>
      <c r="U520" s="24"/>
      <c r="V520" s="10" t="e">
        <f>_xlfn.XLOOKUP(U520,Таклифлар37[Таклифлар],Таклифлар37[TaklifID])</f>
        <v>#N/A</v>
      </c>
      <c r="W520" s="24"/>
      <c r="X520" s="23"/>
      <c r="Y520" s="7"/>
      <c r="Z520" s="26"/>
      <c r="AB520" s="23"/>
      <c r="AD520" s="2"/>
      <c r="AG520" s="23"/>
      <c r="AI520" s="26"/>
      <c r="AJ520" s="23"/>
      <c r="AM520" s="23"/>
      <c r="AO520" s="32"/>
      <c r="AP520" s="26"/>
      <c r="AR520" s="26"/>
      <c r="AS520" s="27"/>
      <c r="AT520" s="27"/>
      <c r="AU520" s="31"/>
      <c r="AV520" s="24"/>
      <c r="AW520"/>
      <c r="AX520"/>
      <c r="AY520"/>
      <c r="AZ520"/>
      <c r="BA520"/>
      <c r="BB520"/>
      <c r="BC520"/>
      <c r="BD520"/>
      <c r="BE520"/>
      <c r="BF520"/>
      <c r="BG520"/>
    </row>
    <row r="521" spans="2:59" x14ac:dyDescent="0.25">
      <c r="B521" s="22"/>
      <c r="C521" s="23"/>
      <c r="E521" s="23"/>
      <c r="F521" s="24"/>
      <c r="G521" s="2"/>
      <c r="H521" s="10" t="e">
        <f>_xlfn.XLOOKUP(F521,Viloyatlar24[RegionName],Viloyatlar24[RegionId])</f>
        <v>#N/A</v>
      </c>
      <c r="I521" s="10" t="e">
        <f>_xlfn.XLOOKUP('Кўчмас мулк объектлари'!G521,Tumanlar23[DistrictName],Tumanlar23[DistrictId])</f>
        <v>#N/A</v>
      </c>
      <c r="K521" s="24"/>
      <c r="L521" s="10" t="e">
        <f>_xlfn.XLOOKUP(K521,Ташкилотлар39[Ташкилотлар],Ташкилотлар39[TashklilotID])</f>
        <v>#N/A</v>
      </c>
      <c r="M521" s="26"/>
      <c r="N521" s="26"/>
      <c r="O521" s="24"/>
      <c r="P521" s="2"/>
      <c r="Q521" s="26"/>
      <c r="R521" s="26"/>
      <c r="S521" s="26"/>
      <c r="T521" s="26"/>
      <c r="U521" s="24"/>
      <c r="V521" s="10" t="e">
        <f>_xlfn.XLOOKUP(U521,Таклифлар37[Таклифлар],Таклифлар37[TaklifID])</f>
        <v>#N/A</v>
      </c>
      <c r="W521" s="24"/>
      <c r="X521" s="23"/>
      <c r="Y521" s="7"/>
      <c r="Z521" s="26"/>
      <c r="AB521" s="23"/>
      <c r="AD521" s="2"/>
      <c r="AG521" s="23"/>
      <c r="AI521" s="26"/>
      <c r="AJ521" s="23"/>
      <c r="AM521" s="23"/>
      <c r="AO521" s="32"/>
      <c r="AP521" s="26"/>
      <c r="AR521" s="26"/>
      <c r="AS521" s="27"/>
      <c r="AT521" s="27"/>
      <c r="AU521" s="31"/>
      <c r="AV521" s="24"/>
      <c r="AW521"/>
      <c r="AX521"/>
      <c r="AY521"/>
      <c r="AZ521"/>
      <c r="BA521"/>
      <c r="BB521"/>
      <c r="BC521"/>
      <c r="BD521"/>
      <c r="BE521"/>
      <c r="BF521"/>
      <c r="BG521"/>
    </row>
    <row r="522" spans="2:59" x14ac:dyDescent="0.25">
      <c r="B522" s="22"/>
      <c r="C522" s="23"/>
      <c r="E522" s="23"/>
      <c r="F522" s="24"/>
      <c r="G522" s="2"/>
      <c r="H522" s="10" t="e">
        <f>_xlfn.XLOOKUP(F522,Viloyatlar24[RegionName],Viloyatlar24[RegionId])</f>
        <v>#N/A</v>
      </c>
      <c r="I522" s="10" t="e">
        <f>_xlfn.XLOOKUP('Кўчмас мулк объектлари'!G522,Tumanlar23[DistrictName],Tumanlar23[DistrictId])</f>
        <v>#N/A</v>
      </c>
      <c r="K522" s="24"/>
      <c r="L522" s="10" t="e">
        <f>_xlfn.XLOOKUP(K522,Ташкилотлар39[Ташкилотлар],Ташкилотлар39[TashklilotID])</f>
        <v>#N/A</v>
      </c>
      <c r="M522" s="26"/>
      <c r="N522" s="26"/>
      <c r="O522" s="24"/>
      <c r="P522" s="2"/>
      <c r="Q522" s="26"/>
      <c r="R522" s="26"/>
      <c r="S522" s="26"/>
      <c r="T522" s="26"/>
      <c r="U522" s="24"/>
      <c r="V522" s="10" t="e">
        <f>_xlfn.XLOOKUP(U522,Таклифлар37[Таклифлар],Таклифлар37[TaklifID])</f>
        <v>#N/A</v>
      </c>
      <c r="W522" s="24"/>
      <c r="X522" s="23"/>
      <c r="Y522" s="7"/>
      <c r="Z522" s="26"/>
      <c r="AB522" s="23"/>
      <c r="AD522" s="2"/>
      <c r="AG522" s="23"/>
      <c r="AI522" s="26"/>
      <c r="AJ522" s="23"/>
      <c r="AM522" s="23"/>
      <c r="AO522" s="32"/>
      <c r="AP522" s="26"/>
      <c r="AR522" s="26"/>
      <c r="AS522" s="27"/>
      <c r="AT522" s="27"/>
      <c r="AU522" s="31"/>
      <c r="AV522" s="24"/>
      <c r="AW522"/>
      <c r="AX522"/>
      <c r="AY522"/>
      <c r="AZ522"/>
      <c r="BA522"/>
      <c r="BB522"/>
      <c r="BC522"/>
      <c r="BD522"/>
      <c r="BE522"/>
      <c r="BF522"/>
      <c r="BG522"/>
    </row>
    <row r="523" spans="2:59" x14ac:dyDescent="0.25">
      <c r="B523" s="22"/>
      <c r="C523" s="23"/>
      <c r="E523" s="23"/>
      <c r="F523" s="24"/>
      <c r="G523" s="2"/>
      <c r="H523" s="10" t="e">
        <f>_xlfn.XLOOKUP(F523,Viloyatlar24[RegionName],Viloyatlar24[RegionId])</f>
        <v>#N/A</v>
      </c>
      <c r="I523" s="10" t="e">
        <f>_xlfn.XLOOKUP('Кўчмас мулк объектлари'!G523,Tumanlar23[DistrictName],Tumanlar23[DistrictId])</f>
        <v>#N/A</v>
      </c>
      <c r="K523" s="24"/>
      <c r="L523" s="10" t="e">
        <f>_xlfn.XLOOKUP(K523,Ташкилотлар39[Ташкилотлар],Ташкилотлар39[TashklilotID])</f>
        <v>#N/A</v>
      </c>
      <c r="M523" s="26"/>
      <c r="N523" s="26"/>
      <c r="O523" s="24"/>
      <c r="P523" s="2"/>
      <c r="Q523" s="26"/>
      <c r="R523" s="26"/>
      <c r="S523" s="26"/>
      <c r="T523" s="26"/>
      <c r="U523" s="24"/>
      <c r="V523" s="10" t="e">
        <f>_xlfn.XLOOKUP(U523,Таклифлар37[Таклифлар],Таклифлар37[TaklifID])</f>
        <v>#N/A</v>
      </c>
      <c r="W523" s="24"/>
      <c r="X523" s="23"/>
      <c r="Y523" s="7"/>
      <c r="Z523" s="26"/>
      <c r="AB523" s="23"/>
      <c r="AD523" s="2"/>
      <c r="AG523" s="23"/>
      <c r="AI523" s="26"/>
      <c r="AJ523" s="23"/>
      <c r="AM523" s="23"/>
      <c r="AO523" s="32"/>
      <c r="AP523" s="26"/>
      <c r="AR523" s="26"/>
      <c r="AS523" s="27"/>
      <c r="AT523" s="27"/>
      <c r="AU523" s="31"/>
      <c r="AV523" s="24"/>
      <c r="AW523"/>
      <c r="AX523"/>
      <c r="AY523"/>
      <c r="AZ523"/>
      <c r="BA523"/>
      <c r="BB523"/>
      <c r="BC523"/>
      <c r="BD523"/>
      <c r="BE523"/>
      <c r="BF523"/>
      <c r="BG523"/>
    </row>
    <row r="524" spans="2:59" x14ac:dyDescent="0.25">
      <c r="B524" s="22"/>
      <c r="C524" s="23"/>
      <c r="E524" s="23"/>
      <c r="F524" s="24"/>
      <c r="G524" s="2"/>
      <c r="H524" s="10" t="e">
        <f>_xlfn.XLOOKUP(F524,Viloyatlar24[RegionName],Viloyatlar24[RegionId])</f>
        <v>#N/A</v>
      </c>
      <c r="I524" s="10" t="e">
        <f>_xlfn.XLOOKUP('Кўчмас мулк объектлари'!G524,Tumanlar23[DistrictName],Tumanlar23[DistrictId])</f>
        <v>#N/A</v>
      </c>
      <c r="K524" s="24"/>
      <c r="L524" s="10" t="e">
        <f>_xlfn.XLOOKUP(K524,Ташкилотлар39[Ташкилотлар],Ташкилотлар39[TashklilotID])</f>
        <v>#N/A</v>
      </c>
      <c r="M524" s="26"/>
      <c r="N524" s="26"/>
      <c r="O524" s="24"/>
      <c r="P524" s="2"/>
      <c r="Q524" s="26"/>
      <c r="R524" s="26"/>
      <c r="S524" s="26"/>
      <c r="T524" s="26"/>
      <c r="U524" s="24"/>
      <c r="V524" s="10" t="e">
        <f>_xlfn.XLOOKUP(U524,Таклифлар37[Таклифлар],Таклифлар37[TaklifID])</f>
        <v>#N/A</v>
      </c>
      <c r="W524" s="24"/>
      <c r="X524" s="23"/>
      <c r="Y524" s="7"/>
      <c r="Z524" s="26"/>
      <c r="AB524" s="23"/>
      <c r="AD524" s="2"/>
      <c r="AG524" s="23"/>
      <c r="AI524" s="26"/>
      <c r="AJ524" s="23"/>
      <c r="AM524" s="23"/>
      <c r="AO524" s="32"/>
      <c r="AP524" s="26"/>
      <c r="AR524" s="26"/>
      <c r="AS524" s="27"/>
      <c r="AT524" s="27"/>
      <c r="AU524" s="31"/>
      <c r="AV524" s="24"/>
      <c r="AW524"/>
      <c r="AX524"/>
      <c r="AY524"/>
      <c r="AZ524"/>
      <c r="BA524"/>
      <c r="BB524"/>
      <c r="BC524"/>
      <c r="BD524"/>
      <c r="BE524"/>
      <c r="BF524"/>
      <c r="BG524"/>
    </row>
    <row r="525" spans="2:59" x14ac:dyDescent="0.25">
      <c r="B525" s="22"/>
      <c r="C525" s="23"/>
      <c r="E525" s="23"/>
      <c r="F525" s="24"/>
      <c r="G525" s="2"/>
      <c r="H525" s="10" t="e">
        <f>_xlfn.XLOOKUP(F525,Viloyatlar24[RegionName],Viloyatlar24[RegionId])</f>
        <v>#N/A</v>
      </c>
      <c r="I525" s="10" t="e">
        <f>_xlfn.XLOOKUP('Кўчмас мулк объектлари'!G525,Tumanlar23[DistrictName],Tumanlar23[DistrictId])</f>
        <v>#N/A</v>
      </c>
      <c r="K525" s="24"/>
      <c r="L525" s="10" t="e">
        <f>_xlfn.XLOOKUP(K525,Ташкилотлар39[Ташкилотлар],Ташкилотлар39[TashklilotID])</f>
        <v>#N/A</v>
      </c>
      <c r="M525" s="26"/>
      <c r="N525" s="26"/>
      <c r="O525" s="24"/>
      <c r="P525" s="2"/>
      <c r="Q525" s="26"/>
      <c r="R525" s="26"/>
      <c r="S525" s="26"/>
      <c r="T525" s="26"/>
      <c r="U525" s="24"/>
      <c r="V525" s="10" t="e">
        <f>_xlfn.XLOOKUP(U525,Таклифлар37[Таклифлар],Таклифлар37[TaklifID])</f>
        <v>#N/A</v>
      </c>
      <c r="W525" s="24"/>
      <c r="X525" s="23"/>
      <c r="Y525" s="7"/>
      <c r="Z525" s="26"/>
      <c r="AB525" s="23"/>
      <c r="AD525" s="2"/>
      <c r="AG525" s="23"/>
      <c r="AI525" s="26"/>
      <c r="AJ525" s="23"/>
      <c r="AM525" s="23"/>
      <c r="AO525" s="32"/>
      <c r="AP525" s="26"/>
      <c r="AR525" s="26"/>
      <c r="AS525" s="27"/>
      <c r="AT525" s="27"/>
      <c r="AU525" s="31"/>
      <c r="AV525" s="24"/>
      <c r="AW525"/>
      <c r="AX525"/>
      <c r="AY525"/>
      <c r="AZ525"/>
      <c r="BA525"/>
      <c r="BB525"/>
      <c r="BC525"/>
      <c r="BD525"/>
      <c r="BE525"/>
      <c r="BF525"/>
      <c r="BG525"/>
    </row>
    <row r="526" spans="2:59" x14ac:dyDescent="0.25">
      <c r="B526" s="22"/>
      <c r="C526" s="23"/>
      <c r="E526" s="23"/>
      <c r="F526" s="24"/>
      <c r="G526" s="2"/>
      <c r="H526" s="10" t="e">
        <f>_xlfn.XLOOKUP(F526,Viloyatlar24[RegionName],Viloyatlar24[RegionId])</f>
        <v>#N/A</v>
      </c>
      <c r="I526" s="10" t="e">
        <f>_xlfn.XLOOKUP('Кўчмас мулк объектлари'!G526,Tumanlar23[DistrictName],Tumanlar23[DistrictId])</f>
        <v>#N/A</v>
      </c>
      <c r="K526" s="24"/>
      <c r="L526" s="10" t="e">
        <f>_xlfn.XLOOKUP(K526,Ташкилотлар39[Ташкилотлар],Ташкилотлар39[TashklilotID])</f>
        <v>#N/A</v>
      </c>
      <c r="M526" s="26"/>
      <c r="N526" s="26"/>
      <c r="O526" s="24"/>
      <c r="P526" s="2"/>
      <c r="Q526" s="26"/>
      <c r="R526" s="26"/>
      <c r="S526" s="26"/>
      <c r="T526" s="26"/>
      <c r="U526" s="24"/>
      <c r="V526" s="10" t="e">
        <f>_xlfn.XLOOKUP(U526,Таклифлар37[Таклифлар],Таклифлар37[TaklifID])</f>
        <v>#N/A</v>
      </c>
      <c r="W526" s="24"/>
      <c r="X526" s="23"/>
      <c r="Y526" s="7"/>
      <c r="Z526" s="26"/>
      <c r="AB526" s="23"/>
      <c r="AD526" s="2"/>
      <c r="AG526" s="23"/>
      <c r="AI526" s="26"/>
      <c r="AJ526" s="23"/>
      <c r="AM526" s="23"/>
      <c r="AO526" s="32"/>
      <c r="AP526" s="26"/>
      <c r="AR526" s="26"/>
      <c r="AS526" s="27"/>
      <c r="AT526" s="27"/>
      <c r="AU526" s="31"/>
      <c r="AV526" s="24"/>
      <c r="AW526"/>
      <c r="AX526"/>
      <c r="AY526"/>
      <c r="AZ526"/>
      <c r="BA526"/>
      <c r="BB526"/>
      <c r="BC526"/>
      <c r="BD526"/>
      <c r="BE526"/>
      <c r="BF526"/>
      <c r="BG526"/>
    </row>
    <row r="527" spans="2:59" x14ac:dyDescent="0.25">
      <c r="B527" s="22"/>
      <c r="C527" s="23"/>
      <c r="E527" s="23"/>
      <c r="F527" s="24"/>
      <c r="G527" s="2"/>
      <c r="H527" s="10" t="e">
        <f>_xlfn.XLOOKUP(F527,Viloyatlar24[RegionName],Viloyatlar24[RegionId])</f>
        <v>#N/A</v>
      </c>
      <c r="I527" s="10" t="e">
        <f>_xlfn.XLOOKUP('Кўчмас мулк объектлари'!G527,Tumanlar23[DistrictName],Tumanlar23[DistrictId])</f>
        <v>#N/A</v>
      </c>
      <c r="K527" s="24"/>
      <c r="L527" s="10" t="e">
        <f>_xlfn.XLOOKUP(K527,Ташкилотлар39[Ташкилотлар],Ташкилотлар39[TashklilotID])</f>
        <v>#N/A</v>
      </c>
      <c r="M527" s="26"/>
      <c r="N527" s="26"/>
      <c r="O527" s="24"/>
      <c r="P527" s="2"/>
      <c r="Q527" s="26"/>
      <c r="R527" s="26"/>
      <c r="S527" s="26"/>
      <c r="T527" s="26"/>
      <c r="U527" s="24"/>
      <c r="V527" s="10" t="e">
        <f>_xlfn.XLOOKUP(U527,Таклифлар37[Таклифлар],Таклифлар37[TaklifID])</f>
        <v>#N/A</v>
      </c>
      <c r="W527" s="24"/>
      <c r="X527" s="23"/>
      <c r="Y527" s="7"/>
      <c r="Z527" s="26"/>
      <c r="AB527" s="23"/>
      <c r="AD527" s="2"/>
      <c r="AG527" s="23"/>
      <c r="AI527" s="26"/>
      <c r="AJ527" s="23"/>
      <c r="AM527" s="23"/>
      <c r="AO527" s="32"/>
      <c r="AP527" s="26"/>
      <c r="AR527" s="26"/>
      <c r="AS527" s="27"/>
      <c r="AT527" s="27"/>
      <c r="AU527" s="31"/>
      <c r="AV527" s="24"/>
      <c r="AW527"/>
      <c r="AX527"/>
      <c r="AY527"/>
      <c r="AZ527"/>
      <c r="BA527"/>
      <c r="BB527"/>
      <c r="BC527"/>
      <c r="BD527"/>
      <c r="BE527"/>
      <c r="BF527"/>
      <c r="BG527"/>
    </row>
    <row r="528" spans="2:59" x14ac:dyDescent="0.25">
      <c r="B528" s="22"/>
      <c r="C528" s="23"/>
      <c r="E528" s="23"/>
      <c r="F528" s="24"/>
      <c r="G528" s="2"/>
      <c r="H528" s="10" t="e">
        <f>_xlfn.XLOOKUP(F528,Viloyatlar24[RegionName],Viloyatlar24[RegionId])</f>
        <v>#N/A</v>
      </c>
      <c r="I528" s="10" t="e">
        <f>_xlfn.XLOOKUP('Кўчмас мулк объектлари'!G528,Tumanlar23[DistrictName],Tumanlar23[DistrictId])</f>
        <v>#N/A</v>
      </c>
      <c r="K528" s="24"/>
      <c r="L528" s="10" t="e">
        <f>_xlfn.XLOOKUP(K528,Ташкилотлар39[Ташкилотлар],Ташкилотлар39[TashklilotID])</f>
        <v>#N/A</v>
      </c>
      <c r="M528" s="26"/>
      <c r="N528" s="26"/>
      <c r="O528" s="24"/>
      <c r="P528" s="2"/>
      <c r="Q528" s="26"/>
      <c r="R528" s="26"/>
      <c r="S528" s="26"/>
      <c r="T528" s="26"/>
      <c r="U528" s="24"/>
      <c r="V528" s="10" t="e">
        <f>_xlfn.XLOOKUP(U528,Таклифлар37[Таклифлар],Таклифлар37[TaklifID])</f>
        <v>#N/A</v>
      </c>
      <c r="W528" s="24"/>
      <c r="X528" s="23"/>
      <c r="Y528" s="7"/>
      <c r="Z528" s="26"/>
      <c r="AB528" s="23"/>
      <c r="AD528" s="2"/>
      <c r="AG528" s="23"/>
      <c r="AI528" s="26"/>
      <c r="AJ528" s="23"/>
      <c r="AM528" s="23"/>
      <c r="AO528" s="32"/>
      <c r="AP528" s="26"/>
      <c r="AR528" s="26"/>
      <c r="AS528" s="27"/>
      <c r="AT528" s="27"/>
      <c r="AU528" s="31"/>
      <c r="AV528" s="24"/>
      <c r="AW528"/>
      <c r="AX528"/>
      <c r="AY528"/>
      <c r="AZ528"/>
      <c r="BA528"/>
      <c r="BB528"/>
      <c r="BC528"/>
      <c r="BD528"/>
      <c r="BE528"/>
      <c r="BF528"/>
      <c r="BG528"/>
    </row>
    <row r="529" spans="2:59" x14ac:dyDescent="0.25">
      <c r="B529" s="22"/>
      <c r="C529" s="23"/>
      <c r="E529" s="23"/>
      <c r="F529" s="24"/>
      <c r="G529" s="2"/>
      <c r="H529" s="10" t="e">
        <f>_xlfn.XLOOKUP(F529,Viloyatlar24[RegionName],Viloyatlar24[RegionId])</f>
        <v>#N/A</v>
      </c>
      <c r="I529" s="10" t="e">
        <f>_xlfn.XLOOKUP('Кўчмас мулк объектлари'!G529,Tumanlar23[DistrictName],Tumanlar23[DistrictId])</f>
        <v>#N/A</v>
      </c>
      <c r="K529" s="24"/>
      <c r="L529" s="10" t="e">
        <f>_xlfn.XLOOKUP(K529,Ташкилотлар39[Ташкилотлар],Ташкилотлар39[TashklilotID])</f>
        <v>#N/A</v>
      </c>
      <c r="M529" s="26"/>
      <c r="N529" s="26"/>
      <c r="O529" s="24"/>
      <c r="P529" s="2"/>
      <c r="Q529" s="26"/>
      <c r="R529" s="26"/>
      <c r="S529" s="26"/>
      <c r="T529" s="26"/>
      <c r="U529" s="24"/>
      <c r="V529" s="10" t="e">
        <f>_xlfn.XLOOKUP(U529,Таклифлар37[Таклифлар],Таклифлар37[TaklifID])</f>
        <v>#N/A</v>
      </c>
      <c r="W529" s="24"/>
      <c r="X529" s="23"/>
      <c r="Y529" s="7"/>
      <c r="Z529" s="26"/>
      <c r="AB529" s="23"/>
      <c r="AD529" s="2"/>
      <c r="AG529" s="23"/>
      <c r="AI529" s="26"/>
      <c r="AJ529" s="23"/>
      <c r="AM529" s="23"/>
      <c r="AO529" s="32"/>
      <c r="AP529" s="26"/>
      <c r="AR529" s="26"/>
      <c r="AS529" s="27"/>
      <c r="AT529" s="27"/>
      <c r="AU529" s="31"/>
      <c r="AV529" s="24"/>
      <c r="AW529"/>
      <c r="AX529"/>
      <c r="AY529"/>
      <c r="AZ529"/>
      <c r="BA529"/>
      <c r="BB529"/>
      <c r="BC529"/>
      <c r="BD529"/>
      <c r="BE529"/>
      <c r="BF529"/>
      <c r="BG529"/>
    </row>
    <row r="530" spans="2:59" x14ac:dyDescent="0.25">
      <c r="B530" s="22"/>
      <c r="C530" s="23"/>
      <c r="E530" s="23"/>
      <c r="F530" s="24"/>
      <c r="G530" s="2"/>
      <c r="H530" s="10" t="e">
        <f>_xlfn.XLOOKUP(F530,Viloyatlar24[RegionName],Viloyatlar24[RegionId])</f>
        <v>#N/A</v>
      </c>
      <c r="I530" s="10" t="e">
        <f>_xlfn.XLOOKUP('Кўчмас мулк объектлари'!G530,Tumanlar23[DistrictName],Tumanlar23[DistrictId])</f>
        <v>#N/A</v>
      </c>
      <c r="K530" s="24"/>
      <c r="L530" s="10" t="e">
        <f>_xlfn.XLOOKUP(K530,Ташкилотлар39[Ташкилотлар],Ташкилотлар39[TashklilotID])</f>
        <v>#N/A</v>
      </c>
      <c r="M530" s="26"/>
      <c r="N530" s="26"/>
      <c r="O530" s="24"/>
      <c r="P530" s="2"/>
      <c r="Q530" s="26"/>
      <c r="R530" s="26"/>
      <c r="S530" s="26"/>
      <c r="T530" s="26"/>
      <c r="U530" s="24"/>
      <c r="V530" s="10" t="e">
        <f>_xlfn.XLOOKUP(U530,Таклифлар37[Таклифлар],Таклифлар37[TaklifID])</f>
        <v>#N/A</v>
      </c>
      <c r="W530" s="24"/>
      <c r="X530" s="23"/>
      <c r="Y530" s="7"/>
      <c r="Z530" s="26"/>
      <c r="AB530" s="23"/>
      <c r="AD530" s="2"/>
      <c r="AG530" s="23"/>
      <c r="AI530" s="26"/>
      <c r="AJ530" s="23"/>
      <c r="AM530" s="23"/>
      <c r="AO530" s="32"/>
      <c r="AP530" s="26"/>
      <c r="AR530" s="26"/>
      <c r="AS530" s="27"/>
      <c r="AT530" s="27"/>
      <c r="AU530" s="31"/>
      <c r="AV530" s="24"/>
      <c r="AW530"/>
      <c r="AX530"/>
      <c r="AY530"/>
      <c r="AZ530"/>
      <c r="BA530"/>
      <c r="BB530"/>
      <c r="BC530"/>
      <c r="BD530"/>
      <c r="BE530"/>
      <c r="BF530"/>
      <c r="BG530"/>
    </row>
    <row r="531" spans="2:59" x14ac:dyDescent="0.25">
      <c r="B531" s="22"/>
      <c r="C531" s="23"/>
      <c r="E531" s="23"/>
      <c r="F531" s="24"/>
      <c r="G531" s="2"/>
      <c r="H531" s="10" t="e">
        <f>_xlfn.XLOOKUP(F531,Viloyatlar24[RegionName],Viloyatlar24[RegionId])</f>
        <v>#N/A</v>
      </c>
      <c r="I531" s="10" t="e">
        <f>_xlfn.XLOOKUP('Кўчмас мулк объектлари'!G531,Tumanlar23[DistrictName],Tumanlar23[DistrictId])</f>
        <v>#N/A</v>
      </c>
      <c r="K531" s="24"/>
      <c r="L531" s="10" t="e">
        <f>_xlfn.XLOOKUP(K531,Ташкилотлар39[Ташкилотлар],Ташкилотлар39[TashklilotID])</f>
        <v>#N/A</v>
      </c>
      <c r="M531" s="26"/>
      <c r="N531" s="26"/>
      <c r="O531" s="24"/>
      <c r="P531" s="2"/>
      <c r="Q531" s="26"/>
      <c r="R531" s="26"/>
      <c r="S531" s="26"/>
      <c r="T531" s="26"/>
      <c r="U531" s="24"/>
      <c r="V531" s="10" t="e">
        <f>_xlfn.XLOOKUP(U531,Таклифлар37[Таклифлар],Таклифлар37[TaklifID])</f>
        <v>#N/A</v>
      </c>
      <c r="W531" s="24"/>
      <c r="X531" s="23"/>
      <c r="Y531" s="7"/>
      <c r="Z531" s="26"/>
      <c r="AB531" s="23"/>
      <c r="AD531" s="2"/>
      <c r="AG531" s="23"/>
      <c r="AI531" s="26"/>
      <c r="AJ531" s="23"/>
      <c r="AM531" s="23"/>
      <c r="AO531" s="32"/>
      <c r="AP531" s="26"/>
      <c r="AR531" s="26"/>
      <c r="AS531" s="27"/>
      <c r="AT531" s="27"/>
      <c r="AU531" s="31"/>
      <c r="AV531" s="24"/>
      <c r="AW531"/>
      <c r="AX531"/>
      <c r="AY531"/>
      <c r="AZ531"/>
      <c r="BA531"/>
      <c r="BB531"/>
      <c r="BC531"/>
      <c r="BD531"/>
      <c r="BE531"/>
      <c r="BF531"/>
      <c r="BG531"/>
    </row>
    <row r="532" spans="2:59" x14ac:dyDescent="0.25">
      <c r="B532" s="22"/>
      <c r="C532" s="23"/>
      <c r="E532" s="23"/>
      <c r="F532" s="24"/>
      <c r="G532" s="2"/>
      <c r="H532" s="10" t="e">
        <f>_xlfn.XLOOKUP(F532,Viloyatlar24[RegionName],Viloyatlar24[RegionId])</f>
        <v>#N/A</v>
      </c>
      <c r="I532" s="10" t="e">
        <f>_xlfn.XLOOKUP('Кўчмас мулк объектлари'!G532,Tumanlar23[DistrictName],Tumanlar23[DistrictId])</f>
        <v>#N/A</v>
      </c>
      <c r="K532" s="24"/>
      <c r="L532" s="10" t="e">
        <f>_xlfn.XLOOKUP(K532,Ташкилотлар39[Ташкилотлар],Ташкилотлар39[TashklilotID])</f>
        <v>#N/A</v>
      </c>
      <c r="M532" s="26"/>
      <c r="N532" s="26"/>
      <c r="O532" s="24"/>
      <c r="P532" s="2"/>
      <c r="Q532" s="26"/>
      <c r="R532" s="26"/>
      <c r="S532" s="26"/>
      <c r="T532" s="26"/>
      <c r="U532" s="24"/>
      <c r="V532" s="10" t="e">
        <f>_xlfn.XLOOKUP(U532,Таклифлар37[Таклифлар],Таклифлар37[TaklifID])</f>
        <v>#N/A</v>
      </c>
      <c r="W532" s="24"/>
      <c r="X532" s="23"/>
      <c r="Y532" s="7"/>
      <c r="Z532" s="26"/>
      <c r="AB532" s="23"/>
      <c r="AD532" s="2"/>
      <c r="AG532" s="23"/>
      <c r="AI532" s="26"/>
      <c r="AJ532" s="23"/>
      <c r="AM532" s="23"/>
      <c r="AO532" s="32"/>
      <c r="AP532" s="26"/>
      <c r="AR532" s="26"/>
      <c r="AS532" s="27"/>
      <c r="AT532" s="27"/>
      <c r="AU532" s="31"/>
      <c r="AV532" s="24"/>
      <c r="AW532"/>
      <c r="AX532"/>
      <c r="AY532"/>
      <c r="AZ532"/>
      <c r="BA532"/>
      <c r="BB532"/>
      <c r="BC532"/>
      <c r="BD532"/>
      <c r="BE532"/>
      <c r="BF532"/>
      <c r="BG532"/>
    </row>
    <row r="533" spans="2:59" x14ac:dyDescent="0.25">
      <c r="B533" s="22"/>
      <c r="C533" s="23"/>
      <c r="E533" s="23"/>
      <c r="F533" s="24"/>
      <c r="G533" s="2"/>
      <c r="H533" s="10" t="e">
        <f>_xlfn.XLOOKUP(F533,Viloyatlar24[RegionName],Viloyatlar24[RegionId])</f>
        <v>#N/A</v>
      </c>
      <c r="I533" s="10" t="e">
        <f>_xlfn.XLOOKUP('Кўчмас мулк объектлари'!G533,Tumanlar23[DistrictName],Tumanlar23[DistrictId])</f>
        <v>#N/A</v>
      </c>
      <c r="K533" s="24"/>
      <c r="L533" s="10" t="e">
        <f>_xlfn.XLOOKUP(K533,Ташкилотлар39[Ташкилотлар],Ташкилотлар39[TashklilotID])</f>
        <v>#N/A</v>
      </c>
      <c r="M533" s="26"/>
      <c r="N533" s="26"/>
      <c r="O533" s="24"/>
      <c r="P533" s="2"/>
      <c r="Q533" s="26"/>
      <c r="R533" s="26"/>
      <c r="S533" s="26"/>
      <c r="T533" s="26"/>
      <c r="U533" s="24"/>
      <c r="V533" s="10" t="e">
        <f>_xlfn.XLOOKUP(U533,Таклифлар37[Таклифлар],Таклифлар37[TaklifID])</f>
        <v>#N/A</v>
      </c>
      <c r="W533" s="24"/>
      <c r="X533" s="23"/>
      <c r="Y533" s="7"/>
      <c r="Z533" s="26"/>
      <c r="AB533" s="23"/>
      <c r="AD533" s="2"/>
      <c r="AG533" s="23"/>
      <c r="AI533" s="26"/>
      <c r="AJ533" s="23"/>
      <c r="AM533" s="23"/>
      <c r="AO533" s="32"/>
      <c r="AP533" s="26"/>
      <c r="AR533" s="26"/>
      <c r="AS533" s="27"/>
      <c r="AT533" s="27"/>
      <c r="AU533" s="31"/>
      <c r="AV533" s="24"/>
      <c r="AW533"/>
      <c r="AX533"/>
      <c r="AY533"/>
      <c r="AZ533"/>
      <c r="BA533"/>
      <c r="BB533"/>
      <c r="BC533"/>
      <c r="BD533"/>
      <c r="BE533"/>
      <c r="BF533"/>
      <c r="BG533"/>
    </row>
    <row r="534" spans="2:59" x14ac:dyDescent="0.25">
      <c r="B534" s="22"/>
      <c r="C534" s="23"/>
      <c r="E534" s="23"/>
      <c r="F534" s="24"/>
      <c r="G534" s="2"/>
      <c r="H534" s="10" t="e">
        <f>_xlfn.XLOOKUP(F534,Viloyatlar24[RegionName],Viloyatlar24[RegionId])</f>
        <v>#N/A</v>
      </c>
      <c r="I534" s="10" t="e">
        <f>_xlfn.XLOOKUP('Кўчмас мулк объектлари'!G534,Tumanlar23[DistrictName],Tumanlar23[DistrictId])</f>
        <v>#N/A</v>
      </c>
      <c r="K534" s="24"/>
      <c r="L534" s="10" t="e">
        <f>_xlfn.XLOOKUP(K534,Ташкилотлар39[Ташкилотлар],Ташкилотлар39[TashklilotID])</f>
        <v>#N/A</v>
      </c>
      <c r="M534" s="26"/>
      <c r="N534" s="26"/>
      <c r="O534" s="24"/>
      <c r="P534" s="2"/>
      <c r="Q534" s="26"/>
      <c r="R534" s="26"/>
      <c r="S534" s="26"/>
      <c r="T534" s="26"/>
      <c r="U534" s="24"/>
      <c r="V534" s="10" t="e">
        <f>_xlfn.XLOOKUP(U534,Таклифлар37[Таклифлар],Таклифлар37[TaklifID])</f>
        <v>#N/A</v>
      </c>
      <c r="W534" s="24"/>
      <c r="X534" s="23"/>
      <c r="Y534" s="7"/>
      <c r="Z534" s="26"/>
      <c r="AB534" s="23"/>
      <c r="AD534" s="2"/>
      <c r="AG534" s="23"/>
      <c r="AI534" s="26"/>
      <c r="AJ534" s="23"/>
      <c r="AM534" s="23"/>
      <c r="AO534" s="32"/>
      <c r="AP534" s="26"/>
      <c r="AR534" s="26"/>
      <c r="AS534" s="27"/>
      <c r="AT534" s="27"/>
      <c r="AU534" s="31"/>
      <c r="AV534" s="24"/>
      <c r="AW534"/>
      <c r="AX534"/>
      <c r="AY534"/>
      <c r="AZ534"/>
      <c r="BA534"/>
      <c r="BB534"/>
      <c r="BC534"/>
      <c r="BD534"/>
      <c r="BE534"/>
      <c r="BF534"/>
      <c r="BG534"/>
    </row>
    <row r="535" spans="2:59" x14ac:dyDescent="0.25">
      <c r="B535" s="22"/>
      <c r="C535" s="23"/>
      <c r="E535" s="23"/>
      <c r="F535" s="24"/>
      <c r="G535" s="2"/>
      <c r="H535" s="10" t="e">
        <f>_xlfn.XLOOKUP(F535,Viloyatlar24[RegionName],Viloyatlar24[RegionId])</f>
        <v>#N/A</v>
      </c>
      <c r="I535" s="10" t="e">
        <f>_xlfn.XLOOKUP('Кўчмас мулк объектлари'!G535,Tumanlar23[DistrictName],Tumanlar23[DistrictId])</f>
        <v>#N/A</v>
      </c>
      <c r="K535" s="24"/>
      <c r="L535" s="10" t="e">
        <f>_xlfn.XLOOKUP(K535,Ташкилотлар39[Ташкилотлар],Ташкилотлар39[TashklilotID])</f>
        <v>#N/A</v>
      </c>
      <c r="M535" s="26"/>
      <c r="N535" s="26"/>
      <c r="O535" s="24"/>
      <c r="P535" s="2"/>
      <c r="Q535" s="26"/>
      <c r="R535" s="26"/>
      <c r="S535" s="26"/>
      <c r="T535" s="26"/>
      <c r="U535" s="24"/>
      <c r="V535" s="10" t="e">
        <f>_xlfn.XLOOKUP(U535,Таклифлар37[Таклифлар],Таклифлар37[TaklifID])</f>
        <v>#N/A</v>
      </c>
      <c r="W535" s="24"/>
      <c r="X535" s="23"/>
      <c r="Y535" s="7"/>
      <c r="Z535" s="26"/>
      <c r="AB535" s="23"/>
      <c r="AD535" s="2"/>
      <c r="AG535" s="23"/>
      <c r="AI535" s="26"/>
      <c r="AJ535" s="23"/>
      <c r="AM535" s="23"/>
      <c r="AO535" s="32"/>
      <c r="AP535" s="26"/>
      <c r="AR535" s="26"/>
      <c r="AS535" s="27"/>
      <c r="AT535" s="27"/>
      <c r="AU535" s="31"/>
      <c r="AV535" s="24"/>
      <c r="AW535"/>
      <c r="AX535"/>
      <c r="AY535"/>
      <c r="AZ535"/>
      <c r="BA535"/>
      <c r="BB535"/>
      <c r="BC535"/>
      <c r="BD535"/>
      <c r="BE535"/>
      <c r="BF535"/>
      <c r="BG535"/>
    </row>
    <row r="536" spans="2:59" x14ac:dyDescent="0.25">
      <c r="B536" s="22"/>
      <c r="C536" s="23"/>
      <c r="E536" s="23"/>
      <c r="F536" s="24"/>
      <c r="G536" s="2"/>
      <c r="H536" s="10" t="e">
        <f>_xlfn.XLOOKUP(F536,Viloyatlar24[RegionName],Viloyatlar24[RegionId])</f>
        <v>#N/A</v>
      </c>
      <c r="I536" s="10" t="e">
        <f>_xlfn.XLOOKUP('Кўчмас мулк объектлари'!G536,Tumanlar23[DistrictName],Tumanlar23[DistrictId])</f>
        <v>#N/A</v>
      </c>
      <c r="K536" s="24"/>
      <c r="L536" s="10" t="e">
        <f>_xlfn.XLOOKUP(K536,Ташкилотлар39[Ташкилотлар],Ташкилотлар39[TashklilotID])</f>
        <v>#N/A</v>
      </c>
      <c r="M536" s="26"/>
      <c r="N536" s="26"/>
      <c r="O536" s="24"/>
      <c r="P536" s="2"/>
      <c r="Q536" s="26"/>
      <c r="R536" s="26"/>
      <c r="S536" s="26"/>
      <c r="T536" s="26"/>
      <c r="U536" s="24"/>
      <c r="V536" s="10" t="e">
        <f>_xlfn.XLOOKUP(U536,Таклифлар37[Таклифлар],Таклифлар37[TaklifID])</f>
        <v>#N/A</v>
      </c>
      <c r="W536" s="24"/>
      <c r="X536" s="23"/>
      <c r="Y536" s="7"/>
      <c r="Z536" s="26"/>
      <c r="AB536" s="23"/>
      <c r="AD536" s="2"/>
      <c r="AG536" s="23"/>
      <c r="AI536" s="26"/>
      <c r="AJ536" s="23"/>
      <c r="AM536" s="23"/>
      <c r="AO536" s="32"/>
      <c r="AP536" s="26"/>
      <c r="AR536" s="26"/>
      <c r="AS536" s="27"/>
      <c r="AT536" s="27"/>
      <c r="AU536" s="31"/>
      <c r="AV536" s="24"/>
      <c r="AW536"/>
      <c r="AX536"/>
      <c r="AY536"/>
      <c r="AZ536"/>
      <c r="BA536"/>
      <c r="BB536"/>
      <c r="BC536"/>
      <c r="BD536"/>
      <c r="BE536"/>
      <c r="BF536"/>
      <c r="BG536"/>
    </row>
    <row r="537" spans="2:59" x14ac:dyDescent="0.25">
      <c r="B537" s="22"/>
      <c r="C537" s="23"/>
      <c r="E537" s="23"/>
      <c r="F537" s="24"/>
      <c r="G537" s="2"/>
      <c r="H537" s="10" t="e">
        <f>_xlfn.XLOOKUP(F537,Viloyatlar24[RegionName],Viloyatlar24[RegionId])</f>
        <v>#N/A</v>
      </c>
      <c r="I537" s="10" t="e">
        <f>_xlfn.XLOOKUP('Кўчмас мулк объектлари'!G537,Tumanlar23[DistrictName],Tumanlar23[DistrictId])</f>
        <v>#N/A</v>
      </c>
      <c r="K537" s="24"/>
      <c r="L537" s="10" t="e">
        <f>_xlfn.XLOOKUP(K537,Ташкилотлар39[Ташкилотлар],Ташкилотлар39[TashklilotID])</f>
        <v>#N/A</v>
      </c>
      <c r="M537" s="26"/>
      <c r="N537" s="26"/>
      <c r="O537" s="24"/>
      <c r="P537" s="2"/>
      <c r="Q537" s="26"/>
      <c r="R537" s="26"/>
      <c r="S537" s="26"/>
      <c r="T537" s="26"/>
      <c r="U537" s="24"/>
      <c r="V537" s="10" t="e">
        <f>_xlfn.XLOOKUP(U537,Таклифлар37[Таклифлар],Таклифлар37[TaklifID])</f>
        <v>#N/A</v>
      </c>
      <c r="W537" s="24"/>
      <c r="X537" s="23"/>
      <c r="Y537" s="7"/>
      <c r="Z537" s="26"/>
      <c r="AB537" s="23"/>
      <c r="AD537" s="2"/>
      <c r="AG537" s="23"/>
      <c r="AI537" s="26"/>
      <c r="AJ537" s="23"/>
      <c r="AM537" s="23"/>
      <c r="AO537" s="32"/>
      <c r="AP537" s="26"/>
      <c r="AR537" s="26"/>
      <c r="AS537" s="27"/>
      <c r="AT537" s="27"/>
      <c r="AU537" s="31"/>
      <c r="AV537" s="24"/>
      <c r="AW537"/>
      <c r="AX537"/>
      <c r="AY537"/>
      <c r="AZ537"/>
      <c r="BA537"/>
      <c r="BB537"/>
      <c r="BC537"/>
      <c r="BD537"/>
      <c r="BE537"/>
      <c r="BF537"/>
      <c r="BG537"/>
    </row>
    <row r="538" spans="2:59" x14ac:dyDescent="0.25">
      <c r="B538" s="22"/>
      <c r="C538" s="23"/>
      <c r="E538" s="23"/>
      <c r="F538" s="24"/>
      <c r="G538" s="2"/>
      <c r="H538" s="10" t="e">
        <f>_xlfn.XLOOKUP(F538,Viloyatlar24[RegionName],Viloyatlar24[RegionId])</f>
        <v>#N/A</v>
      </c>
      <c r="I538" s="10" t="e">
        <f>_xlfn.XLOOKUP('Кўчмас мулк объектлари'!G538,Tumanlar23[DistrictName],Tumanlar23[DistrictId])</f>
        <v>#N/A</v>
      </c>
      <c r="K538" s="24"/>
      <c r="L538" s="10" t="e">
        <f>_xlfn.XLOOKUP(K538,Ташкилотлар39[Ташкилотлар],Ташкилотлар39[TashklilotID])</f>
        <v>#N/A</v>
      </c>
      <c r="M538" s="26"/>
      <c r="N538" s="26"/>
      <c r="O538" s="24"/>
      <c r="P538" s="2"/>
      <c r="Q538" s="26"/>
      <c r="R538" s="26"/>
      <c r="S538" s="26"/>
      <c r="T538" s="26"/>
      <c r="U538" s="24"/>
      <c r="V538" s="10" t="e">
        <f>_xlfn.XLOOKUP(U538,Таклифлар37[Таклифлар],Таклифлар37[TaklifID])</f>
        <v>#N/A</v>
      </c>
      <c r="W538" s="24"/>
      <c r="X538" s="23"/>
      <c r="Y538" s="7"/>
      <c r="Z538" s="26"/>
      <c r="AB538" s="23"/>
      <c r="AD538" s="2"/>
      <c r="AG538" s="23"/>
      <c r="AI538" s="26"/>
      <c r="AJ538" s="23"/>
      <c r="AM538" s="23"/>
      <c r="AO538" s="32"/>
      <c r="AP538" s="26"/>
      <c r="AR538" s="26"/>
      <c r="AS538" s="27"/>
      <c r="AT538" s="27"/>
      <c r="AU538" s="31"/>
      <c r="AV538" s="24"/>
      <c r="AW538"/>
      <c r="AX538"/>
      <c r="AY538"/>
      <c r="AZ538"/>
      <c r="BA538"/>
      <c r="BB538"/>
      <c r="BC538"/>
      <c r="BD538"/>
      <c r="BE538"/>
      <c r="BF538"/>
      <c r="BG538"/>
    </row>
    <row r="539" spans="2:59" x14ac:dyDescent="0.25">
      <c r="B539" s="22"/>
      <c r="C539" s="23"/>
      <c r="E539" s="23"/>
      <c r="F539" s="24"/>
      <c r="G539" s="2"/>
      <c r="H539" s="10" t="e">
        <f>_xlfn.XLOOKUP(F539,Viloyatlar24[RegionName],Viloyatlar24[RegionId])</f>
        <v>#N/A</v>
      </c>
      <c r="I539" s="10" t="e">
        <f>_xlfn.XLOOKUP('Кўчмас мулк объектлари'!G539,Tumanlar23[DistrictName],Tumanlar23[DistrictId])</f>
        <v>#N/A</v>
      </c>
      <c r="K539" s="24"/>
      <c r="L539" s="10" t="e">
        <f>_xlfn.XLOOKUP(K539,Ташкилотлар39[Ташкилотлар],Ташкилотлар39[TashklilotID])</f>
        <v>#N/A</v>
      </c>
      <c r="M539" s="26"/>
      <c r="N539" s="26"/>
      <c r="O539" s="24"/>
      <c r="P539" s="2"/>
      <c r="Q539" s="26"/>
      <c r="R539" s="26"/>
      <c r="S539" s="26"/>
      <c r="T539" s="26"/>
      <c r="U539" s="24"/>
      <c r="V539" s="10" t="e">
        <f>_xlfn.XLOOKUP(U539,Таклифлар37[Таклифлар],Таклифлар37[TaklifID])</f>
        <v>#N/A</v>
      </c>
      <c r="W539" s="24"/>
      <c r="X539" s="23"/>
      <c r="Y539" s="7"/>
      <c r="Z539" s="26"/>
      <c r="AB539" s="23"/>
      <c r="AD539" s="2"/>
      <c r="AG539" s="23"/>
      <c r="AI539" s="26"/>
      <c r="AJ539" s="23"/>
      <c r="AM539" s="23"/>
      <c r="AO539" s="32"/>
      <c r="AP539" s="26"/>
      <c r="AR539" s="26"/>
      <c r="AS539" s="27"/>
      <c r="AT539" s="27"/>
      <c r="AU539" s="31"/>
      <c r="AV539" s="24"/>
      <c r="AW539"/>
      <c r="AX539"/>
      <c r="AY539"/>
      <c r="AZ539"/>
      <c r="BA539"/>
      <c r="BB539"/>
      <c r="BC539"/>
      <c r="BD539"/>
      <c r="BE539"/>
      <c r="BF539"/>
      <c r="BG539"/>
    </row>
    <row r="540" spans="2:59" x14ac:dyDescent="0.25">
      <c r="B540" s="22"/>
      <c r="C540" s="23"/>
      <c r="E540" s="23"/>
      <c r="F540" s="24"/>
      <c r="G540" s="2"/>
      <c r="H540" s="10" t="e">
        <f>_xlfn.XLOOKUP(F540,Viloyatlar24[RegionName],Viloyatlar24[RegionId])</f>
        <v>#N/A</v>
      </c>
      <c r="I540" s="10" t="e">
        <f>_xlfn.XLOOKUP('Кўчмас мулк объектлари'!G540,Tumanlar23[DistrictName],Tumanlar23[DistrictId])</f>
        <v>#N/A</v>
      </c>
      <c r="K540" s="24"/>
      <c r="L540" s="10" t="e">
        <f>_xlfn.XLOOKUP(K540,Ташкилотлар39[Ташкилотлар],Ташкилотлар39[TashklilotID])</f>
        <v>#N/A</v>
      </c>
      <c r="M540" s="26"/>
      <c r="N540" s="26"/>
      <c r="O540" s="24"/>
      <c r="P540" s="2"/>
      <c r="Q540" s="26"/>
      <c r="R540" s="26"/>
      <c r="S540" s="26"/>
      <c r="T540" s="26"/>
      <c r="U540" s="24"/>
      <c r="V540" s="10" t="e">
        <f>_xlfn.XLOOKUP(U540,Таклифлар37[Таклифлар],Таклифлар37[TaklifID])</f>
        <v>#N/A</v>
      </c>
      <c r="W540" s="24"/>
      <c r="X540" s="23"/>
      <c r="Y540" s="7"/>
      <c r="Z540" s="26"/>
      <c r="AB540" s="23"/>
      <c r="AD540" s="2"/>
      <c r="AG540" s="23"/>
      <c r="AI540" s="26"/>
      <c r="AJ540" s="23"/>
      <c r="AM540" s="23"/>
      <c r="AO540" s="32"/>
      <c r="AP540" s="26"/>
      <c r="AR540" s="26"/>
      <c r="AS540" s="27"/>
      <c r="AT540" s="27"/>
      <c r="AU540" s="31"/>
      <c r="AV540" s="24"/>
      <c r="AW540"/>
      <c r="AX540"/>
      <c r="AY540"/>
      <c r="AZ540"/>
      <c r="BA540"/>
      <c r="BB540"/>
      <c r="BC540"/>
      <c r="BD540"/>
      <c r="BE540"/>
      <c r="BF540"/>
      <c r="BG540"/>
    </row>
    <row r="541" spans="2:59" x14ac:dyDescent="0.25">
      <c r="B541" s="22"/>
      <c r="C541" s="23"/>
      <c r="E541" s="23"/>
      <c r="F541" s="24"/>
      <c r="G541" s="2"/>
      <c r="H541" s="10" t="e">
        <f>_xlfn.XLOOKUP(F541,Viloyatlar24[RegionName],Viloyatlar24[RegionId])</f>
        <v>#N/A</v>
      </c>
      <c r="I541" s="10" t="e">
        <f>_xlfn.XLOOKUP('Кўчмас мулк объектлари'!G541,Tumanlar23[DistrictName],Tumanlar23[DistrictId])</f>
        <v>#N/A</v>
      </c>
      <c r="K541" s="24"/>
      <c r="L541" s="10" t="e">
        <f>_xlfn.XLOOKUP(K541,Ташкилотлар39[Ташкилотлар],Ташкилотлар39[TashklilotID])</f>
        <v>#N/A</v>
      </c>
      <c r="M541" s="26"/>
      <c r="N541" s="26"/>
      <c r="O541" s="24"/>
      <c r="P541" s="2"/>
      <c r="Q541" s="26"/>
      <c r="R541" s="26"/>
      <c r="S541" s="26"/>
      <c r="T541" s="26"/>
      <c r="U541" s="24"/>
      <c r="V541" s="10" t="e">
        <f>_xlfn.XLOOKUP(U541,Таклифлар37[Таклифлар],Таклифлар37[TaklifID])</f>
        <v>#N/A</v>
      </c>
      <c r="W541" s="24"/>
      <c r="X541" s="23"/>
      <c r="Y541" s="7"/>
      <c r="Z541" s="26"/>
      <c r="AB541" s="23"/>
      <c r="AD541" s="2"/>
      <c r="AG541" s="23"/>
      <c r="AI541" s="26"/>
      <c r="AJ541" s="23"/>
      <c r="AM541" s="23"/>
      <c r="AO541" s="32"/>
      <c r="AP541" s="26"/>
      <c r="AR541" s="26"/>
      <c r="AS541" s="27"/>
      <c r="AT541" s="27"/>
      <c r="AU541" s="31"/>
      <c r="AV541" s="24"/>
      <c r="AW541"/>
      <c r="AX541"/>
      <c r="AY541"/>
      <c r="AZ541"/>
      <c r="BA541"/>
      <c r="BB541"/>
      <c r="BC541"/>
      <c r="BD541"/>
      <c r="BE541"/>
      <c r="BF541"/>
      <c r="BG541"/>
    </row>
    <row r="542" spans="2:59" x14ac:dyDescent="0.25">
      <c r="B542" s="22"/>
      <c r="C542" s="23"/>
      <c r="E542" s="23"/>
      <c r="F542" s="24"/>
      <c r="G542" s="2"/>
      <c r="H542" s="10" t="e">
        <f>_xlfn.XLOOKUP(F542,Viloyatlar24[RegionName],Viloyatlar24[RegionId])</f>
        <v>#N/A</v>
      </c>
      <c r="I542" s="10" t="e">
        <f>_xlfn.XLOOKUP('Кўчмас мулк объектлари'!G542,Tumanlar23[DistrictName],Tumanlar23[DistrictId])</f>
        <v>#N/A</v>
      </c>
      <c r="K542" s="24"/>
      <c r="L542" s="10" t="e">
        <f>_xlfn.XLOOKUP(K542,Ташкилотлар39[Ташкилотлар],Ташкилотлар39[TashklilotID])</f>
        <v>#N/A</v>
      </c>
      <c r="M542" s="26"/>
      <c r="N542" s="26"/>
      <c r="O542" s="24"/>
      <c r="P542" s="2"/>
      <c r="Q542" s="26"/>
      <c r="R542" s="26"/>
      <c r="S542" s="26"/>
      <c r="T542" s="26"/>
      <c r="U542" s="24"/>
      <c r="V542" s="10" t="e">
        <f>_xlfn.XLOOKUP(U542,Таклифлар37[Таклифлар],Таклифлар37[TaklifID])</f>
        <v>#N/A</v>
      </c>
      <c r="W542" s="24"/>
      <c r="X542" s="23"/>
      <c r="Y542" s="7"/>
      <c r="Z542" s="26"/>
      <c r="AB542" s="23"/>
      <c r="AD542" s="2"/>
      <c r="AG542" s="23"/>
      <c r="AI542" s="26"/>
      <c r="AJ542" s="23"/>
      <c r="AM542" s="23"/>
      <c r="AO542" s="32"/>
      <c r="AP542" s="26"/>
      <c r="AR542" s="26"/>
      <c r="AS542" s="27"/>
      <c r="AT542" s="27"/>
      <c r="AU542" s="31"/>
      <c r="AV542" s="24"/>
      <c r="AW542"/>
      <c r="AX542"/>
      <c r="AY542"/>
      <c r="AZ542"/>
      <c r="BA542"/>
      <c r="BB542"/>
      <c r="BC542"/>
      <c r="BD542"/>
      <c r="BE542"/>
      <c r="BF542"/>
      <c r="BG542"/>
    </row>
    <row r="543" spans="2:59" x14ac:dyDescent="0.25">
      <c r="B543" s="22"/>
      <c r="C543" s="23"/>
      <c r="E543" s="23"/>
      <c r="F543" s="24"/>
      <c r="G543" s="2"/>
      <c r="H543" s="10" t="e">
        <f>_xlfn.XLOOKUP(F543,Viloyatlar24[RegionName],Viloyatlar24[RegionId])</f>
        <v>#N/A</v>
      </c>
      <c r="I543" s="10" t="e">
        <f>_xlfn.XLOOKUP('Кўчмас мулк объектлари'!G543,Tumanlar23[DistrictName],Tumanlar23[DistrictId])</f>
        <v>#N/A</v>
      </c>
      <c r="K543" s="24"/>
      <c r="L543" s="10" t="e">
        <f>_xlfn.XLOOKUP(K543,Ташкилотлар39[Ташкилотлар],Ташкилотлар39[TashklilotID])</f>
        <v>#N/A</v>
      </c>
      <c r="M543" s="26"/>
      <c r="N543" s="26"/>
      <c r="O543" s="24"/>
      <c r="P543" s="2"/>
      <c r="Q543" s="26"/>
      <c r="R543" s="26"/>
      <c r="S543" s="26"/>
      <c r="T543" s="26"/>
      <c r="U543" s="24"/>
      <c r="V543" s="10" t="e">
        <f>_xlfn.XLOOKUP(U543,Таклифлар37[Таклифлар],Таклифлар37[TaklifID])</f>
        <v>#N/A</v>
      </c>
      <c r="W543" s="24"/>
      <c r="X543" s="23"/>
      <c r="Y543" s="7"/>
      <c r="Z543" s="26"/>
      <c r="AB543" s="23"/>
      <c r="AD543" s="2"/>
      <c r="AG543" s="23"/>
      <c r="AI543" s="26"/>
      <c r="AJ543" s="23"/>
      <c r="AM543" s="23"/>
      <c r="AO543" s="32"/>
      <c r="AP543" s="26"/>
      <c r="AR543" s="26"/>
      <c r="AS543" s="27"/>
      <c r="AT543" s="27"/>
      <c r="AU543" s="31"/>
      <c r="AV543" s="24"/>
      <c r="AW543"/>
      <c r="AX543"/>
      <c r="AY543"/>
      <c r="AZ543"/>
      <c r="BA543"/>
      <c r="BB543"/>
      <c r="BC543"/>
      <c r="BD543"/>
      <c r="BE543"/>
      <c r="BF543"/>
      <c r="BG543"/>
    </row>
    <row r="544" spans="2:59" x14ac:dyDescent="0.25">
      <c r="B544" s="22"/>
      <c r="C544" s="23"/>
      <c r="E544" s="23"/>
      <c r="F544" s="24"/>
      <c r="G544" s="2"/>
      <c r="H544" s="10" t="e">
        <f>_xlfn.XLOOKUP(F544,Viloyatlar24[RegionName],Viloyatlar24[RegionId])</f>
        <v>#N/A</v>
      </c>
      <c r="I544" s="10" t="e">
        <f>_xlfn.XLOOKUP('Кўчмас мулк объектлари'!G544,Tumanlar23[DistrictName],Tumanlar23[DistrictId])</f>
        <v>#N/A</v>
      </c>
      <c r="K544" s="24"/>
      <c r="L544" s="10" t="e">
        <f>_xlfn.XLOOKUP(K544,Ташкилотлар39[Ташкилотлар],Ташкилотлар39[TashklilotID])</f>
        <v>#N/A</v>
      </c>
      <c r="M544" s="26"/>
      <c r="N544" s="26"/>
      <c r="O544" s="24"/>
      <c r="P544" s="2"/>
      <c r="Q544" s="26"/>
      <c r="R544" s="26"/>
      <c r="S544" s="26"/>
      <c r="T544" s="26"/>
      <c r="U544" s="24"/>
      <c r="V544" s="10" t="e">
        <f>_xlfn.XLOOKUP(U544,Таклифлар37[Таклифлар],Таклифлар37[TaklifID])</f>
        <v>#N/A</v>
      </c>
      <c r="W544" s="24"/>
      <c r="X544" s="23"/>
      <c r="Y544" s="7"/>
      <c r="Z544" s="26"/>
      <c r="AB544" s="23"/>
      <c r="AD544" s="2"/>
      <c r="AG544" s="23"/>
      <c r="AI544" s="26"/>
      <c r="AJ544" s="23"/>
      <c r="AM544" s="23"/>
      <c r="AO544" s="32"/>
      <c r="AP544" s="26"/>
      <c r="AR544" s="26"/>
      <c r="AS544" s="27"/>
      <c r="AT544" s="27"/>
      <c r="AU544" s="31"/>
      <c r="AV544" s="24"/>
      <c r="AW544"/>
      <c r="AX544"/>
      <c r="AY544"/>
      <c r="AZ544"/>
      <c r="BA544"/>
      <c r="BB544"/>
      <c r="BC544"/>
      <c r="BD544"/>
      <c r="BE544"/>
      <c r="BF544"/>
      <c r="BG544"/>
    </row>
    <row r="545" spans="2:59" x14ac:dyDescent="0.25">
      <c r="B545" s="22"/>
      <c r="C545" s="23"/>
      <c r="E545" s="23"/>
      <c r="F545" s="24"/>
      <c r="G545" s="2"/>
      <c r="H545" s="10" t="e">
        <f>_xlfn.XLOOKUP(F545,Viloyatlar24[RegionName],Viloyatlar24[RegionId])</f>
        <v>#N/A</v>
      </c>
      <c r="I545" s="10" t="e">
        <f>_xlfn.XLOOKUP('Кўчмас мулк объектлари'!G545,Tumanlar23[DistrictName],Tumanlar23[DistrictId])</f>
        <v>#N/A</v>
      </c>
      <c r="K545" s="24"/>
      <c r="L545" s="10" t="e">
        <f>_xlfn.XLOOKUP(K545,Ташкилотлар39[Ташкилотлар],Ташкилотлар39[TashklilotID])</f>
        <v>#N/A</v>
      </c>
      <c r="M545" s="26"/>
      <c r="N545" s="26"/>
      <c r="O545" s="24"/>
      <c r="P545" s="2"/>
      <c r="Q545" s="26"/>
      <c r="R545" s="26"/>
      <c r="S545" s="26"/>
      <c r="T545" s="26"/>
      <c r="U545" s="24"/>
      <c r="V545" s="10" t="e">
        <f>_xlfn.XLOOKUP(U545,Таклифлар37[Таклифлар],Таклифлар37[TaklifID])</f>
        <v>#N/A</v>
      </c>
      <c r="W545" s="24"/>
      <c r="X545" s="23"/>
      <c r="Y545" s="7"/>
      <c r="Z545" s="26"/>
      <c r="AB545" s="23"/>
      <c r="AD545" s="2"/>
      <c r="AG545" s="23"/>
      <c r="AI545" s="26"/>
      <c r="AJ545" s="23"/>
      <c r="AM545" s="23"/>
      <c r="AO545" s="32"/>
      <c r="AP545" s="26"/>
      <c r="AR545" s="26"/>
      <c r="AS545" s="27"/>
      <c r="AT545" s="27"/>
      <c r="AU545" s="31"/>
      <c r="AV545" s="24"/>
      <c r="AW545"/>
      <c r="AX545"/>
      <c r="AY545"/>
      <c r="AZ545"/>
      <c r="BA545"/>
      <c r="BB545"/>
      <c r="BC545"/>
      <c r="BD545"/>
      <c r="BE545"/>
      <c r="BF545"/>
      <c r="BG545"/>
    </row>
    <row r="546" spans="2:59" x14ac:dyDescent="0.25">
      <c r="B546" s="22"/>
      <c r="C546" s="23"/>
      <c r="E546" s="23"/>
      <c r="F546" s="24"/>
      <c r="G546" s="2"/>
      <c r="H546" s="10" t="e">
        <f>_xlfn.XLOOKUP(F546,Viloyatlar24[RegionName],Viloyatlar24[RegionId])</f>
        <v>#N/A</v>
      </c>
      <c r="I546" s="10" t="e">
        <f>_xlfn.XLOOKUP('Кўчмас мулк объектлари'!G546,Tumanlar23[DistrictName],Tumanlar23[DistrictId])</f>
        <v>#N/A</v>
      </c>
      <c r="K546" s="24"/>
      <c r="L546" s="10" t="e">
        <f>_xlfn.XLOOKUP(K546,Ташкилотлар39[Ташкилотлар],Ташкилотлар39[TashklilotID])</f>
        <v>#N/A</v>
      </c>
      <c r="M546" s="26"/>
      <c r="N546" s="26"/>
      <c r="O546" s="24"/>
      <c r="P546" s="2"/>
      <c r="Q546" s="26"/>
      <c r="R546" s="26"/>
      <c r="S546" s="26"/>
      <c r="T546" s="26"/>
      <c r="U546" s="24"/>
      <c r="V546" s="10" t="e">
        <f>_xlfn.XLOOKUP(U546,Таклифлар37[Таклифлар],Таклифлар37[TaklifID])</f>
        <v>#N/A</v>
      </c>
      <c r="W546" s="24"/>
      <c r="X546" s="23"/>
      <c r="Y546" s="7"/>
      <c r="Z546" s="26"/>
      <c r="AB546" s="23"/>
      <c r="AD546" s="2"/>
      <c r="AG546" s="23"/>
      <c r="AI546" s="26"/>
      <c r="AJ546" s="23"/>
      <c r="AM546" s="23"/>
      <c r="AO546" s="32"/>
      <c r="AP546" s="26"/>
      <c r="AR546" s="26"/>
      <c r="AS546" s="27"/>
      <c r="AT546" s="27"/>
      <c r="AU546" s="31"/>
      <c r="AV546" s="24"/>
      <c r="AW546"/>
      <c r="AX546"/>
      <c r="AY546"/>
      <c r="AZ546"/>
      <c r="BA546"/>
      <c r="BB546"/>
      <c r="BC546"/>
      <c r="BD546"/>
      <c r="BE546"/>
      <c r="BF546"/>
      <c r="BG546"/>
    </row>
    <row r="547" spans="2:59" x14ac:dyDescent="0.25">
      <c r="B547" s="22"/>
      <c r="C547" s="23"/>
      <c r="E547" s="23"/>
      <c r="F547" s="24"/>
      <c r="G547" s="2"/>
      <c r="H547" s="10" t="e">
        <f>_xlfn.XLOOKUP(F547,Viloyatlar24[RegionName],Viloyatlar24[RegionId])</f>
        <v>#N/A</v>
      </c>
      <c r="I547" s="10" t="e">
        <f>_xlfn.XLOOKUP('Кўчмас мулк объектлари'!G547,Tumanlar23[DistrictName],Tumanlar23[DistrictId])</f>
        <v>#N/A</v>
      </c>
      <c r="K547" s="24"/>
      <c r="L547" s="10" t="e">
        <f>_xlfn.XLOOKUP(K547,Ташкилотлар39[Ташкилотлар],Ташкилотлар39[TashklilotID])</f>
        <v>#N/A</v>
      </c>
      <c r="M547" s="26"/>
      <c r="N547" s="26"/>
      <c r="O547" s="24"/>
      <c r="P547" s="2"/>
      <c r="Q547" s="26"/>
      <c r="R547" s="26"/>
      <c r="S547" s="26"/>
      <c r="T547" s="26"/>
      <c r="U547" s="24"/>
      <c r="V547" s="10" t="e">
        <f>_xlfn.XLOOKUP(U547,Таклифлар37[Таклифлар],Таклифлар37[TaklifID])</f>
        <v>#N/A</v>
      </c>
      <c r="W547" s="24"/>
      <c r="X547" s="23"/>
      <c r="Y547" s="7"/>
      <c r="Z547" s="26"/>
      <c r="AB547" s="23"/>
      <c r="AD547" s="2"/>
      <c r="AG547" s="23"/>
      <c r="AI547" s="26"/>
      <c r="AJ547" s="23"/>
      <c r="AM547" s="23"/>
      <c r="AO547" s="32"/>
      <c r="AP547" s="26"/>
      <c r="AR547" s="26"/>
      <c r="AS547" s="27"/>
      <c r="AT547" s="27"/>
      <c r="AU547" s="31"/>
      <c r="AV547" s="24"/>
      <c r="AW547"/>
      <c r="AX547"/>
      <c r="AY547"/>
      <c r="AZ547"/>
      <c r="BA547"/>
      <c r="BB547"/>
      <c r="BC547"/>
      <c r="BD547"/>
      <c r="BE547"/>
      <c r="BF547"/>
      <c r="BG547"/>
    </row>
    <row r="548" spans="2:59" x14ac:dyDescent="0.25">
      <c r="B548" s="22"/>
      <c r="C548" s="23"/>
      <c r="E548" s="23"/>
      <c r="F548" s="24"/>
      <c r="G548" s="2"/>
      <c r="H548" s="10" t="e">
        <f>_xlfn.XLOOKUP(F548,Viloyatlar24[RegionName],Viloyatlar24[RegionId])</f>
        <v>#N/A</v>
      </c>
      <c r="I548" s="10" t="e">
        <f>_xlfn.XLOOKUP('Кўчмас мулк объектлари'!G548,Tumanlar23[DistrictName],Tumanlar23[DistrictId])</f>
        <v>#N/A</v>
      </c>
      <c r="K548" s="24"/>
      <c r="L548" s="10" t="e">
        <f>_xlfn.XLOOKUP(K548,Ташкилотлар39[Ташкилотлар],Ташкилотлар39[TashklilotID])</f>
        <v>#N/A</v>
      </c>
      <c r="M548" s="26"/>
      <c r="N548" s="26"/>
      <c r="O548" s="24"/>
      <c r="P548" s="2"/>
      <c r="Q548" s="26"/>
      <c r="R548" s="26"/>
      <c r="S548" s="26"/>
      <c r="T548" s="26"/>
      <c r="U548" s="24"/>
      <c r="V548" s="10" t="e">
        <f>_xlfn.XLOOKUP(U548,Таклифлар37[Таклифлар],Таклифлар37[TaklifID])</f>
        <v>#N/A</v>
      </c>
      <c r="W548" s="24"/>
      <c r="X548" s="23"/>
      <c r="Y548" s="7"/>
      <c r="Z548" s="26"/>
      <c r="AB548" s="23"/>
      <c r="AD548" s="2"/>
      <c r="AG548" s="23"/>
      <c r="AI548" s="26"/>
      <c r="AJ548" s="23"/>
      <c r="AM548" s="23"/>
      <c r="AO548" s="32"/>
      <c r="AP548" s="26"/>
      <c r="AR548" s="26"/>
      <c r="AS548" s="27"/>
      <c r="AT548" s="27"/>
      <c r="AU548" s="31"/>
      <c r="AV548" s="24"/>
      <c r="AW548"/>
      <c r="AX548"/>
      <c r="AY548"/>
      <c r="AZ548"/>
      <c r="BA548"/>
      <c r="BB548"/>
      <c r="BC548"/>
      <c r="BD548"/>
      <c r="BE548"/>
      <c r="BF548"/>
      <c r="BG548"/>
    </row>
    <row r="549" spans="2:59" x14ac:dyDescent="0.25">
      <c r="B549" s="22"/>
      <c r="C549" s="23"/>
      <c r="E549" s="23"/>
      <c r="F549" s="24"/>
      <c r="G549" s="2"/>
      <c r="H549" s="10" t="e">
        <f>_xlfn.XLOOKUP(F549,Viloyatlar24[RegionName],Viloyatlar24[RegionId])</f>
        <v>#N/A</v>
      </c>
      <c r="I549" s="10" t="e">
        <f>_xlfn.XLOOKUP('Кўчмас мулк объектлари'!G549,Tumanlar23[DistrictName],Tumanlar23[DistrictId])</f>
        <v>#N/A</v>
      </c>
      <c r="K549" s="24"/>
      <c r="L549" s="10" t="e">
        <f>_xlfn.XLOOKUP(K549,Ташкилотлар39[Ташкилотлар],Ташкилотлар39[TashklilotID])</f>
        <v>#N/A</v>
      </c>
      <c r="M549" s="26"/>
      <c r="N549" s="26"/>
      <c r="O549" s="24"/>
      <c r="P549" s="2"/>
      <c r="Q549" s="26"/>
      <c r="R549" s="26"/>
      <c r="S549" s="26"/>
      <c r="T549" s="26"/>
      <c r="U549" s="24"/>
      <c r="V549" s="10" t="e">
        <f>_xlfn.XLOOKUP(U549,Таклифлар37[Таклифлар],Таклифлар37[TaklifID])</f>
        <v>#N/A</v>
      </c>
      <c r="W549" s="24"/>
      <c r="X549" s="23"/>
      <c r="Y549" s="7"/>
      <c r="Z549" s="26"/>
      <c r="AB549" s="23"/>
      <c r="AD549" s="2"/>
      <c r="AG549" s="23"/>
      <c r="AI549" s="26"/>
      <c r="AJ549" s="23"/>
      <c r="AM549" s="23"/>
      <c r="AO549" s="32"/>
      <c r="AP549" s="26"/>
      <c r="AR549" s="26"/>
      <c r="AS549" s="27"/>
      <c r="AT549" s="27"/>
      <c r="AU549" s="31"/>
      <c r="AV549" s="24"/>
      <c r="AW549"/>
      <c r="AX549"/>
      <c r="AY549"/>
      <c r="AZ549"/>
      <c r="BA549"/>
      <c r="BB549"/>
      <c r="BC549"/>
      <c r="BD549"/>
      <c r="BE549"/>
      <c r="BF549"/>
      <c r="BG549"/>
    </row>
    <row r="550" spans="2:59" x14ac:dyDescent="0.25">
      <c r="B550" s="22"/>
      <c r="C550" s="23"/>
      <c r="E550" s="23"/>
      <c r="F550" s="24"/>
      <c r="G550" s="2"/>
      <c r="H550" s="10" t="e">
        <f>_xlfn.XLOOKUP(F550,Viloyatlar24[RegionName],Viloyatlar24[RegionId])</f>
        <v>#N/A</v>
      </c>
      <c r="I550" s="10" t="e">
        <f>_xlfn.XLOOKUP('Кўчмас мулк объектлари'!G550,Tumanlar23[DistrictName],Tumanlar23[DistrictId])</f>
        <v>#N/A</v>
      </c>
      <c r="K550" s="24"/>
      <c r="L550" s="10" t="e">
        <f>_xlfn.XLOOKUP(K550,Ташкилотлар39[Ташкилотлар],Ташкилотлар39[TashklilotID])</f>
        <v>#N/A</v>
      </c>
      <c r="M550" s="26"/>
      <c r="N550" s="26"/>
      <c r="O550" s="24"/>
      <c r="P550" s="2"/>
      <c r="Q550" s="26"/>
      <c r="R550" s="26"/>
      <c r="S550" s="26"/>
      <c r="T550" s="26"/>
      <c r="U550" s="24"/>
      <c r="V550" s="10" t="e">
        <f>_xlfn.XLOOKUP(U550,Таклифлар37[Таклифлар],Таклифлар37[TaklifID])</f>
        <v>#N/A</v>
      </c>
      <c r="W550" s="24"/>
      <c r="X550" s="23"/>
      <c r="Y550" s="7"/>
      <c r="Z550" s="26"/>
      <c r="AB550" s="23"/>
      <c r="AD550" s="2"/>
      <c r="AG550" s="23"/>
      <c r="AI550" s="26"/>
      <c r="AJ550" s="23"/>
      <c r="AM550" s="23"/>
      <c r="AO550" s="32"/>
      <c r="AP550" s="26"/>
      <c r="AR550" s="26"/>
      <c r="AS550" s="27"/>
      <c r="AT550" s="27"/>
      <c r="AU550" s="31"/>
      <c r="AV550" s="24"/>
      <c r="AW550"/>
      <c r="AX550"/>
      <c r="AY550"/>
      <c r="AZ550"/>
      <c r="BA550"/>
      <c r="BB550"/>
      <c r="BC550"/>
      <c r="BD550"/>
      <c r="BE550"/>
      <c r="BF550"/>
      <c r="BG550"/>
    </row>
    <row r="551" spans="2:59" x14ac:dyDescent="0.25">
      <c r="B551" s="22"/>
      <c r="C551" s="23"/>
      <c r="E551" s="23"/>
      <c r="F551" s="24"/>
      <c r="G551" s="2"/>
      <c r="H551" s="10" t="e">
        <f>_xlfn.XLOOKUP(F551,Viloyatlar24[RegionName],Viloyatlar24[RegionId])</f>
        <v>#N/A</v>
      </c>
      <c r="I551" s="10" t="e">
        <f>_xlfn.XLOOKUP('Кўчмас мулк объектлари'!G551,Tumanlar23[DistrictName],Tumanlar23[DistrictId])</f>
        <v>#N/A</v>
      </c>
      <c r="K551" s="24"/>
      <c r="L551" s="10" t="e">
        <f>_xlfn.XLOOKUP(K551,Ташкилотлар39[Ташкилотлар],Ташкилотлар39[TashklilotID])</f>
        <v>#N/A</v>
      </c>
      <c r="M551" s="26"/>
      <c r="N551" s="26"/>
      <c r="O551" s="24"/>
      <c r="P551" s="2"/>
      <c r="Q551" s="26"/>
      <c r="R551" s="26"/>
      <c r="S551" s="26"/>
      <c r="T551" s="26"/>
      <c r="U551" s="24"/>
      <c r="V551" s="10" t="e">
        <f>_xlfn.XLOOKUP(U551,Таклифлар37[Таклифлар],Таклифлар37[TaklifID])</f>
        <v>#N/A</v>
      </c>
      <c r="W551" s="24"/>
      <c r="X551" s="23"/>
      <c r="Y551" s="7"/>
      <c r="Z551" s="26"/>
      <c r="AB551" s="23"/>
      <c r="AD551" s="2"/>
      <c r="AG551" s="23"/>
      <c r="AI551" s="26"/>
      <c r="AJ551" s="23"/>
      <c r="AM551" s="23"/>
      <c r="AO551" s="32"/>
      <c r="AP551" s="26"/>
      <c r="AR551" s="26"/>
      <c r="AS551" s="27"/>
      <c r="AT551" s="27"/>
      <c r="AU551" s="31"/>
      <c r="AV551" s="24"/>
      <c r="AW551"/>
      <c r="AX551"/>
      <c r="AY551"/>
      <c r="AZ551"/>
      <c r="BA551"/>
      <c r="BB551"/>
      <c r="BC551"/>
      <c r="BD551"/>
      <c r="BE551"/>
      <c r="BF551"/>
      <c r="BG551"/>
    </row>
    <row r="552" spans="2:59" x14ac:dyDescent="0.25">
      <c r="B552" s="22"/>
      <c r="C552" s="23"/>
      <c r="E552" s="23"/>
      <c r="F552" s="24"/>
      <c r="G552" s="2"/>
      <c r="H552" s="10" t="e">
        <f>_xlfn.XLOOKUP(F552,Viloyatlar24[RegionName],Viloyatlar24[RegionId])</f>
        <v>#N/A</v>
      </c>
      <c r="I552" s="10" t="e">
        <f>_xlfn.XLOOKUP('Кўчмас мулк объектлари'!G552,Tumanlar23[DistrictName],Tumanlar23[DistrictId])</f>
        <v>#N/A</v>
      </c>
      <c r="K552" s="24"/>
      <c r="L552" s="10" t="e">
        <f>_xlfn.XLOOKUP(K552,Ташкилотлар39[Ташкилотлар],Ташкилотлар39[TashklilotID])</f>
        <v>#N/A</v>
      </c>
      <c r="M552" s="26"/>
      <c r="N552" s="26"/>
      <c r="O552" s="24"/>
      <c r="P552" s="2"/>
      <c r="Q552" s="26"/>
      <c r="R552" s="26"/>
      <c r="S552" s="26"/>
      <c r="T552" s="26"/>
      <c r="U552" s="24"/>
      <c r="V552" s="10" t="e">
        <f>_xlfn.XLOOKUP(U552,Таклифлар37[Таклифлар],Таклифлар37[TaklifID])</f>
        <v>#N/A</v>
      </c>
      <c r="W552" s="24"/>
      <c r="X552" s="23"/>
      <c r="Y552" s="7"/>
      <c r="Z552" s="26"/>
      <c r="AB552" s="23"/>
      <c r="AD552" s="2"/>
      <c r="AG552" s="23"/>
      <c r="AI552" s="26"/>
      <c r="AJ552" s="23"/>
      <c r="AM552" s="23"/>
      <c r="AO552" s="32"/>
      <c r="AP552" s="26"/>
      <c r="AR552" s="26"/>
      <c r="AS552" s="27"/>
      <c r="AT552" s="27"/>
      <c r="AU552" s="31"/>
      <c r="AV552" s="24"/>
      <c r="AW552"/>
      <c r="AX552"/>
      <c r="AY552"/>
      <c r="AZ552"/>
      <c r="BA552"/>
      <c r="BB552"/>
      <c r="BC552"/>
      <c r="BD552"/>
      <c r="BE552"/>
      <c r="BF552"/>
      <c r="BG552"/>
    </row>
    <row r="553" spans="2:59" x14ac:dyDescent="0.25">
      <c r="B553" s="22"/>
      <c r="C553" s="23"/>
      <c r="E553" s="23"/>
      <c r="F553" s="24"/>
      <c r="G553" s="2"/>
      <c r="H553" s="10" t="e">
        <f>_xlfn.XLOOKUP(F553,Viloyatlar24[RegionName],Viloyatlar24[RegionId])</f>
        <v>#N/A</v>
      </c>
      <c r="I553" s="10" t="e">
        <f>_xlfn.XLOOKUP('Кўчмас мулк объектлари'!G553,Tumanlar23[DistrictName],Tumanlar23[DistrictId])</f>
        <v>#N/A</v>
      </c>
      <c r="K553" s="24"/>
      <c r="L553" s="10" t="e">
        <f>_xlfn.XLOOKUP(K553,Ташкилотлар39[Ташкилотлар],Ташкилотлар39[TashklilotID])</f>
        <v>#N/A</v>
      </c>
      <c r="M553" s="26"/>
      <c r="N553" s="26"/>
      <c r="O553" s="24"/>
      <c r="P553" s="2"/>
      <c r="Q553" s="26"/>
      <c r="R553" s="26"/>
      <c r="S553" s="26"/>
      <c r="T553" s="26"/>
      <c r="U553" s="24"/>
      <c r="V553" s="10" t="e">
        <f>_xlfn.XLOOKUP(U553,Таклифлар37[Таклифлар],Таклифлар37[TaklifID])</f>
        <v>#N/A</v>
      </c>
      <c r="W553" s="24"/>
      <c r="X553" s="23"/>
      <c r="Y553" s="7"/>
      <c r="Z553" s="26"/>
      <c r="AB553" s="23"/>
      <c r="AD553" s="2"/>
      <c r="AG553" s="23"/>
      <c r="AI553" s="26"/>
      <c r="AJ553" s="23"/>
      <c r="AM553" s="23"/>
      <c r="AO553" s="32"/>
      <c r="AP553" s="26"/>
      <c r="AR553" s="26"/>
      <c r="AS553" s="27"/>
      <c r="AT553" s="27"/>
      <c r="AU553" s="31"/>
      <c r="AV553" s="24"/>
      <c r="AW553"/>
      <c r="AX553"/>
      <c r="AY553"/>
      <c r="AZ553"/>
      <c r="BA553"/>
      <c r="BB553"/>
      <c r="BC553"/>
      <c r="BD553"/>
      <c r="BE553"/>
      <c r="BF553"/>
      <c r="BG553"/>
    </row>
    <row r="554" spans="2:59" x14ac:dyDescent="0.25">
      <c r="B554" s="22"/>
      <c r="C554" s="23"/>
      <c r="E554" s="23"/>
      <c r="F554" s="24"/>
      <c r="G554" s="2"/>
      <c r="H554" s="10" t="e">
        <f>_xlfn.XLOOKUP(F554,Viloyatlar24[RegionName],Viloyatlar24[RegionId])</f>
        <v>#N/A</v>
      </c>
      <c r="I554" s="10" t="e">
        <f>_xlfn.XLOOKUP('Кўчмас мулк объектлари'!G554,Tumanlar23[DistrictName],Tumanlar23[DistrictId])</f>
        <v>#N/A</v>
      </c>
      <c r="K554" s="24"/>
      <c r="L554" s="10" t="e">
        <f>_xlfn.XLOOKUP(K554,Ташкилотлар39[Ташкилотлар],Ташкилотлар39[TashklilotID])</f>
        <v>#N/A</v>
      </c>
      <c r="M554" s="26"/>
      <c r="N554" s="26"/>
      <c r="O554" s="24"/>
      <c r="P554" s="2"/>
      <c r="Q554" s="26"/>
      <c r="R554" s="26"/>
      <c r="S554" s="26"/>
      <c r="T554" s="26"/>
      <c r="U554" s="24"/>
      <c r="V554" s="10" t="e">
        <f>_xlfn.XLOOKUP(U554,Таклифлар37[Таклифлар],Таклифлар37[TaklifID])</f>
        <v>#N/A</v>
      </c>
      <c r="W554" s="24"/>
      <c r="X554" s="23"/>
      <c r="Y554" s="7"/>
      <c r="Z554" s="26"/>
      <c r="AB554" s="23"/>
      <c r="AD554" s="2"/>
      <c r="AG554" s="23"/>
      <c r="AI554" s="26"/>
      <c r="AJ554" s="23"/>
      <c r="AM554" s="23"/>
      <c r="AO554" s="32"/>
      <c r="AP554" s="26"/>
      <c r="AR554" s="26"/>
      <c r="AS554" s="27"/>
      <c r="AT554" s="27"/>
      <c r="AU554" s="31"/>
      <c r="AV554" s="24"/>
      <c r="AW554"/>
      <c r="AX554"/>
      <c r="AY554"/>
      <c r="AZ554"/>
      <c r="BA554"/>
      <c r="BB554"/>
      <c r="BC554"/>
      <c r="BD554"/>
      <c r="BE554"/>
      <c r="BF554"/>
      <c r="BG554"/>
    </row>
    <row r="555" spans="2:59" x14ac:dyDescent="0.25">
      <c r="B555" s="22"/>
      <c r="C555" s="23"/>
      <c r="E555" s="23"/>
      <c r="F555" s="24"/>
      <c r="G555" s="2"/>
      <c r="H555" s="10" t="e">
        <f>_xlfn.XLOOKUP(F555,Viloyatlar24[RegionName],Viloyatlar24[RegionId])</f>
        <v>#N/A</v>
      </c>
      <c r="I555" s="10" t="e">
        <f>_xlfn.XLOOKUP('Кўчмас мулк объектлари'!G555,Tumanlar23[DistrictName],Tumanlar23[DistrictId])</f>
        <v>#N/A</v>
      </c>
      <c r="K555" s="24"/>
      <c r="L555" s="10" t="e">
        <f>_xlfn.XLOOKUP(K555,Ташкилотлар39[Ташкилотлар],Ташкилотлар39[TashklilotID])</f>
        <v>#N/A</v>
      </c>
      <c r="M555" s="26"/>
      <c r="N555" s="26"/>
      <c r="O555" s="24"/>
      <c r="P555" s="2"/>
      <c r="Q555" s="26"/>
      <c r="R555" s="26"/>
      <c r="S555" s="26"/>
      <c r="T555" s="26"/>
      <c r="U555" s="24"/>
      <c r="V555" s="10" t="e">
        <f>_xlfn.XLOOKUP(U555,Таклифлар37[Таклифлар],Таклифлар37[TaklifID])</f>
        <v>#N/A</v>
      </c>
      <c r="W555" s="24"/>
      <c r="X555" s="23"/>
      <c r="Y555" s="7"/>
      <c r="Z555" s="26"/>
      <c r="AB555" s="23"/>
      <c r="AD555" s="2"/>
      <c r="AG555" s="23"/>
      <c r="AI555" s="26"/>
      <c r="AJ555" s="23"/>
      <c r="AM555" s="23"/>
      <c r="AO555" s="32"/>
      <c r="AP555" s="26"/>
      <c r="AR555" s="26"/>
      <c r="AS555" s="27"/>
      <c r="AT555" s="27"/>
      <c r="AU555" s="31"/>
      <c r="AV555" s="24"/>
      <c r="AW555"/>
      <c r="AX555"/>
      <c r="AY555"/>
      <c r="AZ555"/>
      <c r="BA555"/>
      <c r="BB555"/>
      <c r="BC555"/>
      <c r="BD555"/>
      <c r="BE555"/>
      <c r="BF555"/>
      <c r="BG555"/>
    </row>
    <row r="556" spans="2:59" x14ac:dyDescent="0.25">
      <c r="B556" s="22"/>
      <c r="C556" s="23"/>
      <c r="E556" s="23"/>
      <c r="F556" s="24"/>
      <c r="G556" s="2"/>
      <c r="H556" s="10" t="e">
        <f>_xlfn.XLOOKUP(F556,Viloyatlar24[RegionName],Viloyatlar24[RegionId])</f>
        <v>#N/A</v>
      </c>
      <c r="I556" s="10" t="e">
        <f>_xlfn.XLOOKUP('Кўчмас мулк объектлари'!G556,Tumanlar23[DistrictName],Tumanlar23[DistrictId])</f>
        <v>#N/A</v>
      </c>
      <c r="K556" s="24"/>
      <c r="L556" s="10" t="e">
        <f>_xlfn.XLOOKUP(K556,Ташкилотлар39[Ташкилотлар],Ташкилотлар39[TashklilotID])</f>
        <v>#N/A</v>
      </c>
      <c r="M556" s="26"/>
      <c r="N556" s="26"/>
      <c r="O556" s="24"/>
      <c r="P556" s="2"/>
      <c r="Q556" s="26"/>
      <c r="R556" s="26"/>
      <c r="S556" s="26"/>
      <c r="T556" s="26"/>
      <c r="U556" s="24"/>
      <c r="V556" s="10" t="e">
        <f>_xlfn.XLOOKUP(U556,Таклифлар37[Таклифлар],Таклифлар37[TaklifID])</f>
        <v>#N/A</v>
      </c>
      <c r="W556" s="24"/>
      <c r="X556" s="23"/>
      <c r="Y556" s="7"/>
      <c r="Z556" s="26"/>
      <c r="AB556" s="23"/>
      <c r="AD556" s="2"/>
      <c r="AG556" s="23"/>
      <c r="AI556" s="26"/>
      <c r="AJ556" s="23"/>
      <c r="AM556" s="23"/>
      <c r="AO556" s="32"/>
      <c r="AP556" s="26"/>
      <c r="AR556" s="26"/>
      <c r="AS556" s="27"/>
      <c r="AT556" s="27"/>
      <c r="AU556" s="31"/>
      <c r="AV556" s="24"/>
      <c r="AW556"/>
      <c r="AX556"/>
      <c r="AY556"/>
      <c r="AZ556"/>
      <c r="BA556"/>
      <c r="BB556"/>
      <c r="BC556"/>
      <c r="BD556"/>
      <c r="BE556"/>
      <c r="BF556"/>
      <c r="BG556"/>
    </row>
    <row r="557" spans="2:59" x14ac:dyDescent="0.25">
      <c r="B557" s="22"/>
      <c r="C557" s="23"/>
      <c r="E557" s="23"/>
      <c r="F557" s="24"/>
      <c r="G557" s="2"/>
      <c r="H557" s="10" t="e">
        <f>_xlfn.XLOOKUP(F557,Viloyatlar24[RegionName],Viloyatlar24[RegionId])</f>
        <v>#N/A</v>
      </c>
      <c r="I557" s="10" t="e">
        <f>_xlfn.XLOOKUP('Кўчмас мулк объектлари'!G557,Tumanlar23[DistrictName],Tumanlar23[DistrictId])</f>
        <v>#N/A</v>
      </c>
      <c r="K557" s="24"/>
      <c r="L557" s="10" t="e">
        <f>_xlfn.XLOOKUP(K557,Ташкилотлар39[Ташкилотлар],Ташкилотлар39[TashklilotID])</f>
        <v>#N/A</v>
      </c>
      <c r="M557" s="26"/>
      <c r="N557" s="26"/>
      <c r="O557" s="24"/>
      <c r="P557" s="2"/>
      <c r="Q557" s="26"/>
      <c r="R557" s="26"/>
      <c r="S557" s="26"/>
      <c r="T557" s="26"/>
      <c r="U557" s="24"/>
      <c r="V557" s="10" t="e">
        <f>_xlfn.XLOOKUP(U557,Таклифлар37[Таклифлар],Таклифлар37[TaklifID])</f>
        <v>#N/A</v>
      </c>
      <c r="W557" s="24"/>
      <c r="X557" s="23"/>
      <c r="Y557" s="7"/>
      <c r="Z557" s="26"/>
      <c r="AB557" s="23"/>
      <c r="AD557" s="2"/>
      <c r="AG557" s="23"/>
      <c r="AI557" s="26"/>
      <c r="AJ557" s="23"/>
      <c r="AM557" s="23"/>
      <c r="AO557" s="32"/>
      <c r="AP557" s="26"/>
      <c r="AR557" s="26"/>
      <c r="AS557" s="27"/>
      <c r="AT557" s="27"/>
      <c r="AU557" s="31"/>
      <c r="AV557" s="24"/>
      <c r="AW557"/>
      <c r="AX557"/>
      <c r="AY557"/>
      <c r="AZ557"/>
      <c r="BA557"/>
      <c r="BB557"/>
      <c r="BC557"/>
      <c r="BD557"/>
      <c r="BE557"/>
      <c r="BF557"/>
      <c r="BG557"/>
    </row>
    <row r="558" spans="2:59" x14ac:dyDescent="0.25">
      <c r="B558" s="22"/>
      <c r="C558" s="23"/>
      <c r="E558" s="23"/>
      <c r="F558" s="24"/>
      <c r="G558" s="2"/>
      <c r="H558" s="10" t="e">
        <f>_xlfn.XLOOKUP(F558,Viloyatlar24[RegionName],Viloyatlar24[RegionId])</f>
        <v>#N/A</v>
      </c>
      <c r="I558" s="10" t="e">
        <f>_xlfn.XLOOKUP('Кўчмас мулк объектлари'!G558,Tumanlar23[DistrictName],Tumanlar23[DistrictId])</f>
        <v>#N/A</v>
      </c>
      <c r="K558" s="24"/>
      <c r="L558" s="10" t="e">
        <f>_xlfn.XLOOKUP(K558,Ташкилотлар39[Ташкилотлар],Ташкилотлар39[TashklilotID])</f>
        <v>#N/A</v>
      </c>
      <c r="M558" s="26"/>
      <c r="N558" s="26"/>
      <c r="O558" s="24"/>
      <c r="P558" s="2"/>
      <c r="Q558" s="26"/>
      <c r="R558" s="26"/>
      <c r="S558" s="26"/>
      <c r="T558" s="26"/>
      <c r="U558" s="24"/>
      <c r="V558" s="10" t="e">
        <f>_xlfn.XLOOKUP(U558,Таклифлар37[Таклифлар],Таклифлар37[TaklifID])</f>
        <v>#N/A</v>
      </c>
      <c r="W558" s="24"/>
      <c r="X558" s="23"/>
      <c r="Y558" s="7"/>
      <c r="Z558" s="26"/>
      <c r="AB558" s="23"/>
      <c r="AD558" s="2"/>
      <c r="AG558" s="23"/>
      <c r="AI558" s="26"/>
      <c r="AJ558" s="23"/>
      <c r="AM558" s="23"/>
      <c r="AO558" s="32"/>
      <c r="AP558" s="26"/>
      <c r="AR558" s="26"/>
      <c r="AS558" s="27"/>
      <c r="AT558" s="27"/>
      <c r="AU558" s="31"/>
      <c r="AV558" s="24"/>
      <c r="AW558"/>
      <c r="AX558"/>
      <c r="AY558"/>
      <c r="AZ558"/>
      <c r="BA558"/>
      <c r="BB558"/>
      <c r="BC558"/>
      <c r="BD558"/>
      <c r="BE558"/>
      <c r="BF558"/>
      <c r="BG558"/>
    </row>
    <row r="559" spans="2:59" x14ac:dyDescent="0.25">
      <c r="B559" s="22"/>
      <c r="C559" s="23"/>
      <c r="E559" s="23"/>
      <c r="F559" s="24"/>
      <c r="G559" s="2"/>
      <c r="H559" s="10" t="e">
        <f>_xlfn.XLOOKUP(F559,Viloyatlar24[RegionName],Viloyatlar24[RegionId])</f>
        <v>#N/A</v>
      </c>
      <c r="I559" s="10" t="e">
        <f>_xlfn.XLOOKUP('Кўчмас мулк объектлари'!G559,Tumanlar23[DistrictName],Tumanlar23[DistrictId])</f>
        <v>#N/A</v>
      </c>
      <c r="K559" s="24"/>
      <c r="L559" s="10" t="e">
        <f>_xlfn.XLOOKUP(K559,Ташкилотлар39[Ташкилотлар],Ташкилотлар39[TashklilotID])</f>
        <v>#N/A</v>
      </c>
      <c r="M559" s="26"/>
      <c r="N559" s="26"/>
      <c r="O559" s="24"/>
      <c r="P559" s="2"/>
      <c r="Q559" s="26"/>
      <c r="R559" s="26"/>
      <c r="S559" s="26"/>
      <c r="T559" s="26"/>
      <c r="U559" s="24"/>
      <c r="V559" s="10" t="e">
        <f>_xlfn.XLOOKUP(U559,Таклифлар37[Таклифлар],Таклифлар37[TaklifID])</f>
        <v>#N/A</v>
      </c>
      <c r="W559" s="24"/>
      <c r="X559" s="23"/>
      <c r="Y559" s="7"/>
      <c r="Z559" s="26"/>
      <c r="AB559" s="23"/>
      <c r="AD559" s="2"/>
      <c r="AG559" s="23"/>
      <c r="AI559" s="26"/>
      <c r="AJ559" s="23"/>
      <c r="AM559" s="23"/>
      <c r="AO559" s="32"/>
      <c r="AP559" s="26"/>
      <c r="AR559" s="26"/>
      <c r="AS559" s="27"/>
      <c r="AT559" s="27"/>
      <c r="AU559" s="31"/>
      <c r="AV559" s="24"/>
      <c r="AW559"/>
      <c r="AX559"/>
      <c r="AY559"/>
      <c r="AZ559"/>
      <c r="BA559"/>
      <c r="BB559"/>
      <c r="BC559"/>
      <c r="BD559"/>
      <c r="BE559"/>
      <c r="BF559"/>
      <c r="BG559"/>
    </row>
    <row r="560" spans="2:59" x14ac:dyDescent="0.25">
      <c r="B560" s="22"/>
      <c r="C560" s="23"/>
      <c r="E560" s="23"/>
      <c r="F560" s="24"/>
      <c r="G560" s="2"/>
      <c r="H560" s="10" t="e">
        <f>_xlfn.XLOOKUP(F560,Viloyatlar24[RegionName],Viloyatlar24[RegionId])</f>
        <v>#N/A</v>
      </c>
      <c r="I560" s="10" t="e">
        <f>_xlfn.XLOOKUP('Кўчмас мулк объектлари'!G560,Tumanlar23[DistrictName],Tumanlar23[DistrictId])</f>
        <v>#N/A</v>
      </c>
      <c r="K560" s="24"/>
      <c r="L560" s="10" t="e">
        <f>_xlfn.XLOOKUP(K560,Ташкилотлар39[Ташкилотлар],Ташкилотлар39[TashklilotID])</f>
        <v>#N/A</v>
      </c>
      <c r="M560" s="26"/>
      <c r="N560" s="26"/>
      <c r="O560" s="24"/>
      <c r="P560" s="2"/>
      <c r="Q560" s="26"/>
      <c r="R560" s="26"/>
      <c r="S560" s="26"/>
      <c r="T560" s="26"/>
      <c r="U560" s="24"/>
      <c r="V560" s="10" t="e">
        <f>_xlfn.XLOOKUP(U560,Таклифлар37[Таклифлар],Таклифлар37[TaklifID])</f>
        <v>#N/A</v>
      </c>
      <c r="W560" s="24"/>
      <c r="X560" s="23"/>
      <c r="Y560" s="7"/>
      <c r="Z560" s="26"/>
      <c r="AB560" s="23"/>
      <c r="AD560" s="2"/>
      <c r="AG560" s="23"/>
      <c r="AI560" s="26"/>
      <c r="AJ560" s="23"/>
      <c r="AM560" s="23"/>
      <c r="AO560" s="32"/>
      <c r="AP560" s="26"/>
      <c r="AR560" s="26"/>
      <c r="AS560" s="27"/>
      <c r="AT560" s="27"/>
      <c r="AU560" s="31"/>
      <c r="AV560" s="24"/>
      <c r="AW560"/>
      <c r="AX560"/>
      <c r="AY560"/>
      <c r="AZ560"/>
      <c r="BA560"/>
      <c r="BB560"/>
      <c r="BC560"/>
      <c r="BD560"/>
      <c r="BE560"/>
      <c r="BF560"/>
      <c r="BG560"/>
    </row>
    <row r="561" spans="2:59" x14ac:dyDescent="0.25">
      <c r="B561" s="22"/>
      <c r="C561" s="23"/>
      <c r="E561" s="23"/>
      <c r="F561" s="24"/>
      <c r="G561" s="2"/>
      <c r="H561" s="10" t="e">
        <f>_xlfn.XLOOKUP(F561,Viloyatlar24[RegionName],Viloyatlar24[RegionId])</f>
        <v>#N/A</v>
      </c>
      <c r="I561" s="10" t="e">
        <f>_xlfn.XLOOKUP('Кўчмас мулк объектлари'!G561,Tumanlar23[DistrictName],Tumanlar23[DistrictId])</f>
        <v>#N/A</v>
      </c>
      <c r="K561" s="24"/>
      <c r="L561" s="10" t="e">
        <f>_xlfn.XLOOKUP(K561,Ташкилотлар39[Ташкилотлар],Ташкилотлар39[TashklilotID])</f>
        <v>#N/A</v>
      </c>
      <c r="M561" s="26"/>
      <c r="N561" s="26"/>
      <c r="O561" s="24"/>
      <c r="P561" s="2"/>
      <c r="Q561" s="26"/>
      <c r="R561" s="26"/>
      <c r="S561" s="26"/>
      <c r="T561" s="26"/>
      <c r="U561" s="24"/>
      <c r="V561" s="10" t="e">
        <f>_xlfn.XLOOKUP(U561,Таклифлар37[Таклифлар],Таклифлар37[TaklifID])</f>
        <v>#N/A</v>
      </c>
      <c r="W561" s="24"/>
      <c r="X561" s="23"/>
      <c r="Y561" s="7"/>
      <c r="Z561" s="26"/>
      <c r="AB561" s="23"/>
      <c r="AD561" s="2"/>
      <c r="AG561" s="23"/>
      <c r="AI561" s="26"/>
      <c r="AJ561" s="23"/>
      <c r="AM561" s="23"/>
      <c r="AO561" s="32"/>
      <c r="AP561" s="26"/>
      <c r="AR561" s="26"/>
      <c r="AS561" s="27"/>
      <c r="AT561" s="27"/>
      <c r="AU561" s="31"/>
      <c r="AV561" s="24"/>
      <c r="AW561"/>
      <c r="AX561"/>
      <c r="AY561"/>
      <c r="AZ561"/>
      <c r="BA561"/>
      <c r="BB561"/>
      <c r="BC561"/>
      <c r="BD561"/>
      <c r="BE561"/>
      <c r="BF561"/>
      <c r="BG561"/>
    </row>
    <row r="562" spans="2:59" x14ac:dyDescent="0.25">
      <c r="B562" s="22"/>
      <c r="C562" s="23"/>
      <c r="E562" s="23"/>
      <c r="F562" s="24"/>
      <c r="G562" s="2"/>
      <c r="H562" s="10" t="e">
        <f>_xlfn.XLOOKUP(F562,Viloyatlar24[RegionName],Viloyatlar24[RegionId])</f>
        <v>#N/A</v>
      </c>
      <c r="I562" s="10" t="e">
        <f>_xlfn.XLOOKUP('Кўчмас мулк объектлари'!G562,Tumanlar23[DistrictName],Tumanlar23[DistrictId])</f>
        <v>#N/A</v>
      </c>
      <c r="K562" s="24"/>
      <c r="L562" s="10" t="e">
        <f>_xlfn.XLOOKUP(K562,Ташкилотлар39[Ташкилотлар],Ташкилотлар39[TashklilotID])</f>
        <v>#N/A</v>
      </c>
      <c r="M562" s="26"/>
      <c r="N562" s="26"/>
      <c r="O562" s="24"/>
      <c r="P562" s="2"/>
      <c r="Q562" s="26"/>
      <c r="R562" s="26"/>
      <c r="S562" s="26"/>
      <c r="T562" s="26"/>
      <c r="U562" s="24"/>
      <c r="V562" s="10" t="e">
        <f>_xlfn.XLOOKUP(U562,Таклифлар37[Таклифлар],Таклифлар37[TaklifID])</f>
        <v>#N/A</v>
      </c>
      <c r="W562" s="24"/>
      <c r="X562" s="23"/>
      <c r="Y562" s="7"/>
      <c r="Z562" s="26"/>
      <c r="AB562" s="23"/>
      <c r="AD562" s="2"/>
      <c r="AG562" s="23"/>
      <c r="AI562" s="26"/>
      <c r="AJ562" s="23"/>
      <c r="AM562" s="23"/>
      <c r="AO562" s="32"/>
      <c r="AP562" s="26"/>
      <c r="AR562" s="26"/>
      <c r="AS562" s="27"/>
      <c r="AT562" s="27"/>
      <c r="AU562" s="31"/>
      <c r="AV562" s="24"/>
      <c r="AW562"/>
      <c r="AX562"/>
      <c r="AY562"/>
      <c r="AZ562"/>
      <c r="BA562"/>
      <c r="BB562"/>
      <c r="BC562"/>
      <c r="BD562"/>
      <c r="BE562"/>
      <c r="BF562"/>
      <c r="BG562"/>
    </row>
    <row r="563" spans="2:59" x14ac:dyDescent="0.25">
      <c r="B563" s="22"/>
      <c r="C563" s="23"/>
      <c r="E563" s="23"/>
      <c r="F563" s="24"/>
      <c r="G563" s="2"/>
      <c r="H563" s="10" t="e">
        <f>_xlfn.XLOOKUP(F563,Viloyatlar24[RegionName],Viloyatlar24[RegionId])</f>
        <v>#N/A</v>
      </c>
      <c r="I563" s="10" t="e">
        <f>_xlfn.XLOOKUP('Кўчмас мулк объектлари'!G563,Tumanlar23[DistrictName],Tumanlar23[DistrictId])</f>
        <v>#N/A</v>
      </c>
      <c r="K563" s="24"/>
      <c r="L563" s="10" t="e">
        <f>_xlfn.XLOOKUP(K563,Ташкилотлар39[Ташкилотлар],Ташкилотлар39[TashklilotID])</f>
        <v>#N/A</v>
      </c>
      <c r="M563" s="26"/>
      <c r="N563" s="26"/>
      <c r="O563" s="24"/>
      <c r="P563" s="2"/>
      <c r="Q563" s="26"/>
      <c r="R563" s="26"/>
      <c r="S563" s="26"/>
      <c r="T563" s="26"/>
      <c r="U563" s="24"/>
      <c r="V563" s="10" t="e">
        <f>_xlfn.XLOOKUP(U563,Таклифлар37[Таклифлар],Таклифлар37[TaklifID])</f>
        <v>#N/A</v>
      </c>
      <c r="W563" s="24"/>
      <c r="X563" s="23"/>
      <c r="Y563" s="7"/>
      <c r="Z563" s="26"/>
      <c r="AB563" s="23"/>
      <c r="AD563" s="2"/>
      <c r="AG563" s="23"/>
      <c r="AI563" s="26"/>
      <c r="AJ563" s="23"/>
      <c r="AM563" s="23"/>
      <c r="AO563" s="32"/>
      <c r="AP563" s="26"/>
      <c r="AR563" s="26"/>
      <c r="AS563" s="27"/>
      <c r="AT563" s="27"/>
      <c r="AU563" s="31"/>
      <c r="AV563" s="24"/>
      <c r="AW563"/>
      <c r="AX563"/>
      <c r="AY563"/>
      <c r="AZ563"/>
      <c r="BA563"/>
      <c r="BB563"/>
      <c r="BC563"/>
      <c r="BD563"/>
      <c r="BE563"/>
      <c r="BF563"/>
      <c r="BG563"/>
    </row>
    <row r="564" spans="2:59" x14ac:dyDescent="0.25">
      <c r="B564" s="22"/>
      <c r="C564" s="23"/>
      <c r="E564" s="23"/>
      <c r="F564" s="24"/>
      <c r="G564" s="2"/>
      <c r="H564" s="10" t="e">
        <f>_xlfn.XLOOKUP(F564,Viloyatlar24[RegionName],Viloyatlar24[RegionId])</f>
        <v>#N/A</v>
      </c>
      <c r="I564" s="10" t="e">
        <f>_xlfn.XLOOKUP('Кўчмас мулк объектлари'!G564,Tumanlar23[DistrictName],Tumanlar23[DistrictId])</f>
        <v>#N/A</v>
      </c>
      <c r="K564" s="24"/>
      <c r="L564" s="10" t="e">
        <f>_xlfn.XLOOKUP(K564,Ташкилотлар39[Ташкилотлар],Ташкилотлар39[TashklilotID])</f>
        <v>#N/A</v>
      </c>
      <c r="M564" s="26"/>
      <c r="N564" s="26"/>
      <c r="O564" s="24"/>
      <c r="P564" s="2"/>
      <c r="Q564" s="26"/>
      <c r="R564" s="26"/>
      <c r="S564" s="26"/>
      <c r="T564" s="26"/>
      <c r="U564" s="24"/>
      <c r="V564" s="10" t="e">
        <f>_xlfn.XLOOKUP(U564,Таклифлар37[Таклифлар],Таклифлар37[TaklifID])</f>
        <v>#N/A</v>
      </c>
      <c r="W564" s="24"/>
      <c r="X564" s="23"/>
      <c r="Y564" s="7"/>
      <c r="Z564" s="26"/>
      <c r="AB564" s="23"/>
      <c r="AD564" s="2"/>
      <c r="AG564" s="23"/>
      <c r="AI564" s="26"/>
      <c r="AJ564" s="23"/>
      <c r="AM564" s="23"/>
      <c r="AO564" s="32"/>
      <c r="AP564" s="26"/>
      <c r="AR564" s="26"/>
      <c r="AS564" s="27"/>
      <c r="AT564" s="27"/>
      <c r="AU564" s="31"/>
      <c r="AV564" s="24"/>
      <c r="AW564"/>
      <c r="AX564"/>
      <c r="AY564"/>
      <c r="AZ564"/>
      <c r="BA564"/>
      <c r="BB564"/>
      <c r="BC564"/>
      <c r="BD564"/>
      <c r="BE564"/>
      <c r="BF564"/>
      <c r="BG564"/>
    </row>
    <row r="565" spans="2:59" x14ac:dyDescent="0.25">
      <c r="B565" s="22"/>
      <c r="C565" s="23"/>
      <c r="E565" s="23"/>
      <c r="F565" s="24"/>
      <c r="G565" s="2"/>
      <c r="H565" s="10" t="e">
        <f>_xlfn.XLOOKUP(F565,Viloyatlar24[RegionName],Viloyatlar24[RegionId])</f>
        <v>#N/A</v>
      </c>
      <c r="I565" s="10" t="e">
        <f>_xlfn.XLOOKUP('Кўчмас мулк объектлари'!G565,Tumanlar23[DistrictName],Tumanlar23[DistrictId])</f>
        <v>#N/A</v>
      </c>
      <c r="K565" s="24"/>
      <c r="L565" s="10" t="e">
        <f>_xlfn.XLOOKUP(K565,Ташкилотлар39[Ташкилотлар],Ташкилотлар39[TashklilotID])</f>
        <v>#N/A</v>
      </c>
      <c r="M565" s="26"/>
      <c r="N565" s="26"/>
      <c r="O565" s="24"/>
      <c r="P565" s="2"/>
      <c r="Q565" s="26"/>
      <c r="R565" s="26"/>
      <c r="S565" s="26"/>
      <c r="T565" s="26"/>
      <c r="U565" s="24"/>
      <c r="V565" s="10" t="e">
        <f>_xlfn.XLOOKUP(U565,Таклифлар37[Таклифлар],Таклифлар37[TaklifID])</f>
        <v>#N/A</v>
      </c>
      <c r="W565" s="24"/>
      <c r="X565" s="23"/>
      <c r="Y565" s="7"/>
      <c r="Z565" s="26"/>
      <c r="AB565" s="23"/>
      <c r="AD565" s="2"/>
      <c r="AG565" s="23"/>
      <c r="AI565" s="26"/>
      <c r="AJ565" s="23"/>
      <c r="AM565" s="23"/>
      <c r="AO565" s="32"/>
      <c r="AP565" s="26"/>
      <c r="AR565" s="26"/>
      <c r="AS565" s="27"/>
      <c r="AT565" s="27"/>
      <c r="AU565" s="31"/>
      <c r="AV565" s="24"/>
      <c r="AW565"/>
      <c r="AX565"/>
      <c r="AY565"/>
      <c r="AZ565"/>
      <c r="BA565"/>
      <c r="BB565"/>
      <c r="BC565"/>
      <c r="BD565"/>
      <c r="BE565"/>
      <c r="BF565"/>
      <c r="BG565"/>
    </row>
    <row r="566" spans="2:59" x14ac:dyDescent="0.25">
      <c r="B566" s="22"/>
      <c r="C566" s="23"/>
      <c r="E566" s="23"/>
      <c r="F566" s="24"/>
      <c r="G566" s="2"/>
      <c r="H566" s="10" t="e">
        <f>_xlfn.XLOOKUP(F566,Viloyatlar24[RegionName],Viloyatlar24[RegionId])</f>
        <v>#N/A</v>
      </c>
      <c r="I566" s="10" t="e">
        <f>_xlfn.XLOOKUP('Кўчмас мулк объектлари'!G566,Tumanlar23[DistrictName],Tumanlar23[DistrictId])</f>
        <v>#N/A</v>
      </c>
      <c r="K566" s="24"/>
      <c r="L566" s="10" t="e">
        <f>_xlfn.XLOOKUP(K566,Ташкилотлар39[Ташкилотлар],Ташкилотлар39[TashklilotID])</f>
        <v>#N/A</v>
      </c>
      <c r="M566" s="26"/>
      <c r="N566" s="26"/>
      <c r="O566" s="24"/>
      <c r="P566" s="2"/>
      <c r="Q566" s="26"/>
      <c r="R566" s="26"/>
      <c r="S566" s="26"/>
      <c r="T566" s="26"/>
      <c r="U566" s="24"/>
      <c r="V566" s="10" t="e">
        <f>_xlfn.XLOOKUP(U566,Таклифлар37[Таклифлар],Таклифлар37[TaklifID])</f>
        <v>#N/A</v>
      </c>
      <c r="W566" s="24"/>
      <c r="X566" s="23"/>
      <c r="Y566" s="7"/>
      <c r="Z566" s="26"/>
      <c r="AB566" s="23"/>
      <c r="AD566" s="2"/>
      <c r="AG566" s="23"/>
      <c r="AI566" s="26"/>
      <c r="AJ566" s="23"/>
      <c r="AM566" s="23"/>
      <c r="AO566" s="32"/>
      <c r="AP566" s="26"/>
      <c r="AR566" s="26"/>
      <c r="AS566" s="27"/>
      <c r="AT566" s="27"/>
      <c r="AU566" s="31"/>
      <c r="AV566" s="24"/>
      <c r="AW566"/>
      <c r="AX566"/>
      <c r="AY566"/>
      <c r="AZ566"/>
      <c r="BA566"/>
      <c r="BB566"/>
      <c r="BC566"/>
      <c r="BD566"/>
      <c r="BE566"/>
      <c r="BF566"/>
      <c r="BG566"/>
    </row>
    <row r="567" spans="2:59" x14ac:dyDescent="0.25">
      <c r="B567" s="22"/>
      <c r="C567" s="23"/>
      <c r="E567" s="23"/>
      <c r="F567" s="24"/>
      <c r="G567" s="2"/>
      <c r="H567" s="10" t="e">
        <f>_xlfn.XLOOKUP(F567,Viloyatlar24[RegionName],Viloyatlar24[RegionId])</f>
        <v>#N/A</v>
      </c>
      <c r="I567" s="10" t="e">
        <f>_xlfn.XLOOKUP('Кўчмас мулк объектлари'!G567,Tumanlar23[DistrictName],Tumanlar23[DistrictId])</f>
        <v>#N/A</v>
      </c>
      <c r="K567" s="24"/>
      <c r="L567" s="10" t="e">
        <f>_xlfn.XLOOKUP(K567,Ташкилотлар39[Ташкилотлар],Ташкилотлар39[TashklilotID])</f>
        <v>#N/A</v>
      </c>
      <c r="M567" s="26"/>
      <c r="N567" s="26"/>
      <c r="O567" s="24"/>
      <c r="P567" s="2"/>
      <c r="Q567" s="26"/>
      <c r="R567" s="26"/>
      <c r="S567" s="26"/>
      <c r="T567" s="26"/>
      <c r="U567" s="24"/>
      <c r="V567" s="10" t="e">
        <f>_xlfn.XLOOKUP(U567,Таклифлар37[Таклифлар],Таклифлар37[TaklifID])</f>
        <v>#N/A</v>
      </c>
      <c r="W567" s="24"/>
      <c r="X567" s="23"/>
      <c r="Y567" s="7"/>
      <c r="Z567" s="26"/>
      <c r="AB567" s="23"/>
      <c r="AD567" s="2"/>
      <c r="AG567" s="23"/>
      <c r="AI567" s="26"/>
      <c r="AJ567" s="23"/>
      <c r="AM567" s="23"/>
      <c r="AO567" s="32"/>
      <c r="AP567" s="26"/>
      <c r="AR567" s="26"/>
      <c r="AS567" s="27"/>
      <c r="AT567" s="27"/>
      <c r="AU567" s="31"/>
      <c r="AV567" s="24"/>
      <c r="AW567"/>
      <c r="AX567"/>
      <c r="AY567"/>
      <c r="AZ567"/>
      <c r="BA567"/>
      <c r="BB567"/>
      <c r="BC567"/>
      <c r="BD567"/>
      <c r="BE567"/>
      <c r="BF567"/>
      <c r="BG567"/>
    </row>
    <row r="568" spans="2:59" x14ac:dyDescent="0.25">
      <c r="B568" s="22"/>
      <c r="C568" s="23"/>
      <c r="E568" s="23"/>
      <c r="F568" s="24"/>
      <c r="G568" s="2"/>
      <c r="H568" s="10" t="e">
        <f>_xlfn.XLOOKUP(F568,Viloyatlar24[RegionName],Viloyatlar24[RegionId])</f>
        <v>#N/A</v>
      </c>
      <c r="I568" s="10" t="e">
        <f>_xlfn.XLOOKUP('Кўчмас мулк объектлари'!G568,Tumanlar23[DistrictName],Tumanlar23[DistrictId])</f>
        <v>#N/A</v>
      </c>
      <c r="K568" s="24"/>
      <c r="L568" s="10" t="e">
        <f>_xlfn.XLOOKUP(K568,Ташкилотлар39[Ташкилотлар],Ташкилотлар39[TashklilotID])</f>
        <v>#N/A</v>
      </c>
      <c r="M568" s="26"/>
      <c r="N568" s="26"/>
      <c r="O568" s="24"/>
      <c r="P568" s="2"/>
      <c r="Q568" s="26"/>
      <c r="R568" s="26"/>
      <c r="S568" s="26"/>
      <c r="T568" s="26"/>
      <c r="U568" s="24"/>
      <c r="V568" s="10" t="e">
        <f>_xlfn.XLOOKUP(U568,Таклифлар37[Таклифлар],Таклифлар37[TaklifID])</f>
        <v>#N/A</v>
      </c>
      <c r="W568" s="24"/>
      <c r="X568" s="23"/>
      <c r="Y568" s="7"/>
      <c r="Z568" s="26"/>
      <c r="AB568" s="23"/>
      <c r="AD568" s="2"/>
      <c r="AG568" s="23"/>
      <c r="AI568" s="26"/>
      <c r="AJ568" s="23"/>
      <c r="AM568" s="23"/>
      <c r="AO568" s="32"/>
      <c r="AP568" s="26"/>
      <c r="AR568" s="26"/>
      <c r="AS568" s="27"/>
      <c r="AT568" s="27"/>
      <c r="AU568" s="31"/>
      <c r="AV568" s="24"/>
      <c r="AW568"/>
      <c r="AX568"/>
      <c r="AY568"/>
      <c r="AZ568"/>
      <c r="BA568"/>
      <c r="BB568"/>
      <c r="BC568"/>
      <c r="BD568"/>
      <c r="BE568"/>
      <c r="BF568"/>
      <c r="BG568"/>
    </row>
    <row r="569" spans="2:59" x14ac:dyDescent="0.25">
      <c r="B569" s="22"/>
      <c r="C569" s="23"/>
      <c r="E569" s="23"/>
      <c r="F569" s="24"/>
      <c r="G569" s="2"/>
      <c r="H569" s="10" t="e">
        <f>_xlfn.XLOOKUP(F569,Viloyatlar24[RegionName],Viloyatlar24[RegionId])</f>
        <v>#N/A</v>
      </c>
      <c r="I569" s="10" t="e">
        <f>_xlfn.XLOOKUP('Кўчмас мулк объектлари'!G569,Tumanlar23[DistrictName],Tumanlar23[DistrictId])</f>
        <v>#N/A</v>
      </c>
      <c r="K569" s="24"/>
      <c r="L569" s="10" t="e">
        <f>_xlfn.XLOOKUP(K569,Ташкилотлар39[Ташкилотлар],Ташкилотлар39[TashklilotID])</f>
        <v>#N/A</v>
      </c>
      <c r="M569" s="26"/>
      <c r="N569" s="26"/>
      <c r="O569" s="24"/>
      <c r="P569" s="2"/>
      <c r="Q569" s="26"/>
      <c r="R569" s="26"/>
      <c r="S569" s="26"/>
      <c r="T569" s="26"/>
      <c r="U569" s="24"/>
      <c r="V569" s="10" t="e">
        <f>_xlfn.XLOOKUP(U569,Таклифлар37[Таклифлар],Таклифлар37[TaklifID])</f>
        <v>#N/A</v>
      </c>
      <c r="W569" s="24"/>
      <c r="X569" s="23"/>
      <c r="Y569" s="7"/>
      <c r="Z569" s="26"/>
      <c r="AB569" s="23"/>
      <c r="AD569" s="2"/>
      <c r="AG569" s="23"/>
      <c r="AI569" s="26"/>
      <c r="AJ569" s="23"/>
      <c r="AM569" s="23"/>
      <c r="AO569" s="32"/>
      <c r="AP569" s="26"/>
      <c r="AR569" s="26"/>
      <c r="AS569" s="27"/>
      <c r="AT569" s="27"/>
      <c r="AU569" s="31"/>
      <c r="AV569" s="24"/>
      <c r="AW569"/>
      <c r="AX569"/>
      <c r="AY569"/>
      <c r="AZ569"/>
      <c r="BA569"/>
      <c r="BB569"/>
      <c r="BC569"/>
      <c r="BD569"/>
      <c r="BE569"/>
      <c r="BF569"/>
      <c r="BG569"/>
    </row>
    <row r="570" spans="2:59" x14ac:dyDescent="0.25">
      <c r="B570" s="22"/>
      <c r="C570" s="23"/>
      <c r="E570" s="23"/>
      <c r="F570" s="24"/>
      <c r="G570" s="2"/>
      <c r="H570" s="10" t="e">
        <f>_xlfn.XLOOKUP(F570,Viloyatlar24[RegionName],Viloyatlar24[RegionId])</f>
        <v>#N/A</v>
      </c>
      <c r="I570" s="10" t="e">
        <f>_xlfn.XLOOKUP('Кўчмас мулк объектлари'!G570,Tumanlar23[DistrictName],Tumanlar23[DistrictId])</f>
        <v>#N/A</v>
      </c>
      <c r="K570" s="24"/>
      <c r="L570" s="10" t="e">
        <f>_xlfn.XLOOKUP(K570,Ташкилотлар39[Ташкилотлар],Ташкилотлар39[TashklilotID])</f>
        <v>#N/A</v>
      </c>
      <c r="M570" s="26"/>
      <c r="N570" s="26"/>
      <c r="O570" s="24"/>
      <c r="P570" s="2"/>
      <c r="Q570" s="26"/>
      <c r="R570" s="26"/>
      <c r="S570" s="26"/>
      <c r="T570" s="26"/>
      <c r="U570" s="24"/>
      <c r="V570" s="10" t="e">
        <f>_xlfn.XLOOKUP(U570,Таклифлар37[Таклифлар],Таклифлар37[TaklifID])</f>
        <v>#N/A</v>
      </c>
      <c r="W570" s="24"/>
      <c r="X570" s="23"/>
      <c r="Y570" s="7"/>
      <c r="Z570" s="26"/>
      <c r="AB570" s="23"/>
      <c r="AD570" s="2"/>
      <c r="AG570" s="23"/>
      <c r="AI570" s="26"/>
      <c r="AJ570" s="23"/>
      <c r="AM570" s="23"/>
      <c r="AO570" s="32"/>
      <c r="AP570" s="26"/>
      <c r="AR570" s="26"/>
      <c r="AS570" s="27"/>
      <c r="AT570" s="27"/>
      <c r="AU570" s="31"/>
      <c r="AV570" s="24"/>
      <c r="AW570"/>
      <c r="AX570"/>
      <c r="AY570"/>
      <c r="AZ570"/>
      <c r="BA570"/>
      <c r="BB570"/>
      <c r="BC570"/>
      <c r="BD570"/>
      <c r="BE570"/>
      <c r="BF570"/>
      <c r="BG570"/>
    </row>
    <row r="571" spans="2:59" x14ac:dyDescent="0.25">
      <c r="B571" s="22"/>
      <c r="C571" s="23"/>
      <c r="E571" s="23"/>
      <c r="F571" s="24"/>
      <c r="G571" s="2"/>
      <c r="H571" s="10" t="e">
        <f>_xlfn.XLOOKUP(F571,Viloyatlar24[RegionName],Viloyatlar24[RegionId])</f>
        <v>#N/A</v>
      </c>
      <c r="I571" s="10" t="e">
        <f>_xlfn.XLOOKUP('Кўчмас мулк объектлари'!G571,Tumanlar23[DistrictName],Tumanlar23[DistrictId])</f>
        <v>#N/A</v>
      </c>
      <c r="K571" s="24"/>
      <c r="L571" s="10" t="e">
        <f>_xlfn.XLOOKUP(K571,Ташкилотлар39[Ташкилотлар],Ташкилотлар39[TashklilotID])</f>
        <v>#N/A</v>
      </c>
      <c r="M571" s="26"/>
      <c r="N571" s="26"/>
      <c r="O571" s="24"/>
      <c r="P571" s="2"/>
      <c r="Q571" s="26"/>
      <c r="R571" s="26"/>
      <c r="S571" s="26"/>
      <c r="T571" s="26"/>
      <c r="U571" s="24"/>
      <c r="V571" s="10" t="e">
        <f>_xlfn.XLOOKUP(U571,Таклифлар37[Таклифлар],Таклифлар37[TaklifID])</f>
        <v>#N/A</v>
      </c>
      <c r="W571" s="24"/>
      <c r="X571" s="23"/>
      <c r="Y571" s="7"/>
      <c r="Z571" s="26"/>
      <c r="AB571" s="23"/>
      <c r="AD571" s="2"/>
      <c r="AG571" s="23"/>
      <c r="AI571" s="26"/>
      <c r="AJ571" s="23"/>
      <c r="AM571" s="23"/>
      <c r="AO571" s="32"/>
      <c r="AP571" s="26"/>
      <c r="AR571" s="26"/>
      <c r="AS571" s="27"/>
      <c r="AT571" s="27"/>
      <c r="AU571" s="31"/>
      <c r="AV571" s="24"/>
      <c r="AW571"/>
      <c r="AX571"/>
      <c r="AY571"/>
      <c r="AZ571"/>
      <c r="BA571"/>
      <c r="BB571"/>
      <c r="BC571"/>
      <c r="BD571"/>
      <c r="BE571"/>
      <c r="BF571"/>
      <c r="BG571"/>
    </row>
    <row r="572" spans="2:59" x14ac:dyDescent="0.25">
      <c r="B572" s="22"/>
      <c r="C572" s="23"/>
      <c r="E572" s="23"/>
      <c r="F572" s="24"/>
      <c r="G572" s="2"/>
      <c r="H572" s="10" t="e">
        <f>_xlfn.XLOOKUP(F572,Viloyatlar24[RegionName],Viloyatlar24[RegionId])</f>
        <v>#N/A</v>
      </c>
      <c r="I572" s="10" t="e">
        <f>_xlfn.XLOOKUP('Кўчмас мулк объектлари'!G572,Tumanlar23[DistrictName],Tumanlar23[DistrictId])</f>
        <v>#N/A</v>
      </c>
      <c r="K572" s="24"/>
      <c r="L572" s="10" t="e">
        <f>_xlfn.XLOOKUP(K572,Ташкилотлар39[Ташкилотлар],Ташкилотлар39[TashklilotID])</f>
        <v>#N/A</v>
      </c>
      <c r="M572" s="26"/>
      <c r="N572" s="26"/>
      <c r="O572" s="24"/>
      <c r="P572" s="2"/>
      <c r="Q572" s="26"/>
      <c r="R572" s="26"/>
      <c r="S572" s="26"/>
      <c r="T572" s="26"/>
      <c r="U572" s="24"/>
      <c r="V572" s="10" t="e">
        <f>_xlfn.XLOOKUP(U572,Таклифлар37[Таклифлар],Таклифлар37[TaklifID])</f>
        <v>#N/A</v>
      </c>
      <c r="W572" s="24"/>
      <c r="X572" s="23"/>
      <c r="Y572" s="7"/>
      <c r="Z572" s="26"/>
      <c r="AB572" s="23"/>
      <c r="AD572" s="2"/>
      <c r="AG572" s="23"/>
      <c r="AI572" s="26"/>
      <c r="AJ572" s="23"/>
      <c r="AM572" s="23"/>
      <c r="AO572" s="32"/>
      <c r="AP572" s="26"/>
      <c r="AR572" s="26"/>
      <c r="AS572" s="27"/>
      <c r="AT572" s="27"/>
      <c r="AU572" s="31"/>
      <c r="AV572" s="24"/>
      <c r="AW572"/>
      <c r="AX572"/>
      <c r="AY572"/>
      <c r="AZ572"/>
      <c r="BA572"/>
      <c r="BB572"/>
      <c r="BC572"/>
      <c r="BD572"/>
      <c r="BE572"/>
      <c r="BF572"/>
      <c r="BG572"/>
    </row>
    <row r="573" spans="2:59" x14ac:dyDescent="0.25">
      <c r="B573" s="22"/>
      <c r="C573" s="23"/>
      <c r="E573" s="23"/>
      <c r="F573" s="24"/>
      <c r="G573" s="2"/>
      <c r="H573" s="10" t="e">
        <f>_xlfn.XLOOKUP(F573,Viloyatlar24[RegionName],Viloyatlar24[RegionId])</f>
        <v>#N/A</v>
      </c>
      <c r="I573" s="10" t="e">
        <f>_xlfn.XLOOKUP('Кўчмас мулк объектлари'!G573,Tumanlar23[DistrictName],Tumanlar23[DistrictId])</f>
        <v>#N/A</v>
      </c>
      <c r="K573" s="24"/>
      <c r="L573" s="10" t="e">
        <f>_xlfn.XLOOKUP(K573,Ташкилотлар39[Ташкилотлар],Ташкилотлар39[TashklilotID])</f>
        <v>#N/A</v>
      </c>
      <c r="M573" s="26"/>
      <c r="N573" s="26"/>
      <c r="O573" s="24"/>
      <c r="P573" s="2"/>
      <c r="Q573" s="26"/>
      <c r="R573" s="26"/>
      <c r="S573" s="26"/>
      <c r="T573" s="26"/>
      <c r="U573" s="24"/>
      <c r="V573" s="10" t="e">
        <f>_xlfn.XLOOKUP(U573,Таклифлар37[Таклифлар],Таклифлар37[TaklifID])</f>
        <v>#N/A</v>
      </c>
      <c r="W573" s="24"/>
      <c r="X573" s="23"/>
      <c r="Y573" s="7"/>
      <c r="Z573" s="26"/>
      <c r="AB573" s="23"/>
      <c r="AD573" s="2"/>
      <c r="AG573" s="23"/>
      <c r="AI573" s="26"/>
      <c r="AJ573" s="23"/>
      <c r="AM573" s="23"/>
      <c r="AO573" s="32"/>
      <c r="AP573" s="26"/>
      <c r="AR573" s="26"/>
      <c r="AS573" s="27"/>
      <c r="AT573" s="27"/>
      <c r="AU573" s="31"/>
      <c r="AV573" s="24"/>
      <c r="AW573"/>
      <c r="AX573"/>
      <c r="AY573"/>
      <c r="AZ573"/>
      <c r="BA573"/>
      <c r="BB573"/>
      <c r="BC573"/>
      <c r="BD573"/>
      <c r="BE573"/>
      <c r="BF573"/>
      <c r="BG573"/>
    </row>
    <row r="574" spans="2:59" x14ac:dyDescent="0.25">
      <c r="B574" s="22"/>
      <c r="C574" s="23"/>
      <c r="E574" s="23"/>
      <c r="F574" s="24"/>
      <c r="G574" s="2"/>
      <c r="H574" s="10" t="e">
        <f>_xlfn.XLOOKUP(F574,Viloyatlar24[RegionName],Viloyatlar24[RegionId])</f>
        <v>#N/A</v>
      </c>
      <c r="I574" s="10" t="e">
        <f>_xlfn.XLOOKUP('Кўчмас мулк объектлари'!G574,Tumanlar23[DistrictName],Tumanlar23[DistrictId])</f>
        <v>#N/A</v>
      </c>
      <c r="K574" s="24"/>
      <c r="L574" s="10" t="e">
        <f>_xlfn.XLOOKUP(K574,Ташкилотлар39[Ташкилотлар],Ташкилотлар39[TashklilotID])</f>
        <v>#N/A</v>
      </c>
      <c r="M574" s="26"/>
      <c r="N574" s="26"/>
      <c r="O574" s="24"/>
      <c r="P574" s="2"/>
      <c r="Q574" s="26"/>
      <c r="R574" s="26"/>
      <c r="S574" s="26"/>
      <c r="T574" s="26"/>
      <c r="U574" s="24"/>
      <c r="V574" s="10" t="e">
        <f>_xlfn.XLOOKUP(U574,Таклифлар37[Таклифлар],Таклифлар37[TaklifID])</f>
        <v>#N/A</v>
      </c>
      <c r="W574" s="24"/>
      <c r="X574" s="23"/>
      <c r="Y574" s="7"/>
      <c r="Z574" s="26"/>
      <c r="AB574" s="23"/>
      <c r="AD574" s="2"/>
      <c r="AG574" s="23"/>
      <c r="AI574" s="26"/>
      <c r="AJ574" s="23"/>
      <c r="AM574" s="23"/>
      <c r="AO574" s="32"/>
      <c r="AP574" s="26"/>
      <c r="AR574" s="26"/>
      <c r="AS574" s="27"/>
      <c r="AT574" s="27"/>
      <c r="AU574" s="31"/>
      <c r="AV574" s="24"/>
      <c r="AW574"/>
      <c r="AX574"/>
      <c r="AY574"/>
      <c r="AZ574"/>
      <c r="BA574"/>
      <c r="BB574"/>
      <c r="BC574"/>
      <c r="BD574"/>
      <c r="BE574"/>
      <c r="BF574"/>
      <c r="BG574"/>
    </row>
    <row r="575" spans="2:59" x14ac:dyDescent="0.25">
      <c r="B575" s="22"/>
      <c r="C575" s="23"/>
      <c r="E575" s="23"/>
      <c r="F575" s="24"/>
      <c r="G575" s="2"/>
      <c r="H575" s="10" t="e">
        <f>_xlfn.XLOOKUP(F575,Viloyatlar24[RegionName],Viloyatlar24[RegionId])</f>
        <v>#N/A</v>
      </c>
      <c r="I575" s="10" t="e">
        <f>_xlfn.XLOOKUP('Кўчмас мулк объектлари'!G575,Tumanlar23[DistrictName],Tumanlar23[DistrictId])</f>
        <v>#N/A</v>
      </c>
      <c r="K575" s="24"/>
      <c r="L575" s="10" t="e">
        <f>_xlfn.XLOOKUP(K575,Ташкилотлар39[Ташкилотлар],Ташкилотлар39[TashklilotID])</f>
        <v>#N/A</v>
      </c>
      <c r="M575" s="26"/>
      <c r="N575" s="26"/>
      <c r="O575" s="24"/>
      <c r="P575" s="2"/>
      <c r="Q575" s="26"/>
      <c r="R575" s="26"/>
      <c r="S575" s="26"/>
      <c r="T575" s="26"/>
      <c r="U575" s="24"/>
      <c r="V575" s="10" t="e">
        <f>_xlfn.XLOOKUP(U575,Таклифлар37[Таклифлар],Таклифлар37[TaklifID])</f>
        <v>#N/A</v>
      </c>
      <c r="W575" s="24"/>
      <c r="X575" s="23"/>
      <c r="Y575" s="7"/>
      <c r="Z575" s="26"/>
      <c r="AB575" s="23"/>
      <c r="AD575" s="2"/>
      <c r="AG575" s="23"/>
      <c r="AI575" s="26"/>
      <c r="AJ575" s="23"/>
      <c r="AM575" s="23"/>
      <c r="AO575" s="32"/>
      <c r="AP575" s="26"/>
      <c r="AR575" s="26"/>
      <c r="AS575" s="27"/>
      <c r="AT575" s="27"/>
      <c r="AU575" s="31"/>
      <c r="AV575" s="24"/>
      <c r="AW575"/>
      <c r="AX575"/>
      <c r="AY575"/>
      <c r="AZ575"/>
      <c r="BA575"/>
      <c r="BB575"/>
      <c r="BC575"/>
      <c r="BD575"/>
      <c r="BE575"/>
      <c r="BF575"/>
      <c r="BG575"/>
    </row>
    <row r="576" spans="2:59" x14ac:dyDescent="0.25">
      <c r="B576" s="22"/>
      <c r="C576" s="23"/>
      <c r="E576" s="23"/>
      <c r="F576" s="24"/>
      <c r="G576" s="2"/>
      <c r="H576" s="10" t="e">
        <f>_xlfn.XLOOKUP(F576,Viloyatlar24[RegionName],Viloyatlar24[RegionId])</f>
        <v>#N/A</v>
      </c>
      <c r="I576" s="10" t="e">
        <f>_xlfn.XLOOKUP('Кўчмас мулк объектлари'!G576,Tumanlar23[DistrictName],Tumanlar23[DistrictId])</f>
        <v>#N/A</v>
      </c>
      <c r="K576" s="24"/>
      <c r="L576" s="10" t="e">
        <f>_xlfn.XLOOKUP(K576,Ташкилотлар39[Ташкилотлар],Ташкилотлар39[TashklilotID])</f>
        <v>#N/A</v>
      </c>
      <c r="M576" s="26"/>
      <c r="N576" s="26"/>
      <c r="O576" s="24"/>
      <c r="P576" s="2"/>
      <c r="Q576" s="26"/>
      <c r="R576" s="26"/>
      <c r="S576" s="26"/>
      <c r="T576" s="26"/>
      <c r="U576" s="24"/>
      <c r="V576" s="10" t="e">
        <f>_xlfn.XLOOKUP(U576,Таклифлар37[Таклифлар],Таклифлар37[TaklifID])</f>
        <v>#N/A</v>
      </c>
      <c r="W576" s="24"/>
      <c r="X576" s="23"/>
      <c r="Y576" s="7"/>
      <c r="Z576" s="26"/>
      <c r="AB576" s="23"/>
      <c r="AD576" s="2"/>
      <c r="AG576" s="23"/>
      <c r="AI576" s="26"/>
      <c r="AJ576" s="23"/>
      <c r="AM576" s="23"/>
      <c r="AO576" s="32"/>
      <c r="AP576" s="26"/>
      <c r="AR576" s="26"/>
      <c r="AS576" s="27"/>
      <c r="AT576" s="27"/>
      <c r="AU576" s="31"/>
      <c r="AV576" s="24"/>
      <c r="AW576"/>
      <c r="AX576"/>
      <c r="AY576"/>
      <c r="AZ576"/>
      <c r="BA576"/>
      <c r="BB576"/>
      <c r="BC576"/>
      <c r="BD576"/>
      <c r="BE576"/>
      <c r="BF576"/>
      <c r="BG576"/>
    </row>
    <row r="577" spans="2:59" x14ac:dyDescent="0.25">
      <c r="B577" s="22"/>
      <c r="C577" s="23"/>
      <c r="E577" s="23"/>
      <c r="F577" s="24"/>
      <c r="G577" s="2"/>
      <c r="H577" s="10" t="e">
        <f>_xlfn.XLOOKUP(F577,Viloyatlar24[RegionName],Viloyatlar24[RegionId])</f>
        <v>#N/A</v>
      </c>
      <c r="I577" s="10" t="e">
        <f>_xlfn.XLOOKUP('Кўчмас мулк объектлари'!G577,Tumanlar23[DistrictName],Tumanlar23[DistrictId])</f>
        <v>#N/A</v>
      </c>
      <c r="K577" s="24"/>
      <c r="L577" s="10" t="e">
        <f>_xlfn.XLOOKUP(K577,Ташкилотлар39[Ташкилотлар],Ташкилотлар39[TashklilotID])</f>
        <v>#N/A</v>
      </c>
      <c r="M577" s="26"/>
      <c r="N577" s="26"/>
      <c r="O577" s="24"/>
      <c r="P577" s="2"/>
      <c r="Q577" s="26"/>
      <c r="R577" s="26"/>
      <c r="S577" s="26"/>
      <c r="T577" s="26"/>
      <c r="U577" s="24"/>
      <c r="V577" s="10" t="e">
        <f>_xlfn.XLOOKUP(U577,Таклифлар37[Таклифлар],Таклифлар37[TaklifID])</f>
        <v>#N/A</v>
      </c>
      <c r="W577" s="24"/>
      <c r="X577" s="23"/>
      <c r="Y577" s="7"/>
      <c r="Z577" s="26"/>
      <c r="AB577" s="23"/>
      <c r="AD577" s="2"/>
      <c r="AG577" s="23"/>
      <c r="AI577" s="26"/>
      <c r="AJ577" s="23"/>
      <c r="AM577" s="23"/>
      <c r="AO577" s="32"/>
      <c r="AP577" s="26"/>
      <c r="AR577" s="26"/>
      <c r="AS577" s="27"/>
      <c r="AT577" s="27"/>
      <c r="AU577" s="31"/>
      <c r="AV577" s="24"/>
      <c r="AW577"/>
      <c r="AX577"/>
      <c r="AY577"/>
      <c r="AZ577"/>
      <c r="BA577"/>
      <c r="BB577"/>
      <c r="BC577"/>
      <c r="BD577"/>
      <c r="BE577"/>
      <c r="BF577"/>
      <c r="BG577"/>
    </row>
    <row r="578" spans="2:59" x14ac:dyDescent="0.25">
      <c r="B578" s="22"/>
      <c r="C578" s="23"/>
      <c r="E578" s="23"/>
      <c r="F578" s="24"/>
      <c r="G578" s="2"/>
      <c r="H578" s="10" t="e">
        <f>_xlfn.XLOOKUP(F578,Viloyatlar24[RegionName],Viloyatlar24[RegionId])</f>
        <v>#N/A</v>
      </c>
      <c r="I578" s="10" t="e">
        <f>_xlfn.XLOOKUP('Кўчмас мулк объектлари'!G578,Tumanlar23[DistrictName],Tumanlar23[DistrictId])</f>
        <v>#N/A</v>
      </c>
      <c r="K578" s="24"/>
      <c r="L578" s="10" t="e">
        <f>_xlfn.XLOOKUP(K578,Ташкилотлар39[Ташкилотлар],Ташкилотлар39[TashklilotID])</f>
        <v>#N/A</v>
      </c>
      <c r="M578" s="26"/>
      <c r="N578" s="26"/>
      <c r="O578" s="24"/>
      <c r="P578" s="2"/>
      <c r="Q578" s="26"/>
      <c r="R578" s="26"/>
      <c r="S578" s="26"/>
      <c r="T578" s="26"/>
      <c r="U578" s="24"/>
      <c r="V578" s="10" t="e">
        <f>_xlfn.XLOOKUP(U578,Таклифлар37[Таклифлар],Таклифлар37[TaklifID])</f>
        <v>#N/A</v>
      </c>
      <c r="W578" s="24"/>
      <c r="X578" s="23"/>
      <c r="Y578" s="7"/>
      <c r="Z578" s="26"/>
      <c r="AB578" s="23"/>
      <c r="AD578" s="2"/>
      <c r="AG578" s="23"/>
      <c r="AI578" s="26"/>
      <c r="AJ578" s="23"/>
      <c r="AM578" s="23"/>
      <c r="AO578" s="32"/>
      <c r="AP578" s="26"/>
      <c r="AR578" s="26"/>
      <c r="AS578" s="27"/>
      <c r="AT578" s="27"/>
      <c r="AU578" s="31"/>
      <c r="AV578" s="24"/>
      <c r="AW578"/>
      <c r="AX578"/>
      <c r="AY578"/>
      <c r="AZ578"/>
      <c r="BA578"/>
      <c r="BB578"/>
      <c r="BC578"/>
      <c r="BD578"/>
      <c r="BE578"/>
      <c r="BF578"/>
      <c r="BG578"/>
    </row>
    <row r="579" spans="2:59" x14ac:dyDescent="0.25">
      <c r="B579" s="22"/>
      <c r="C579" s="23"/>
      <c r="E579" s="23"/>
      <c r="F579" s="24"/>
      <c r="G579" s="2"/>
      <c r="H579" s="10" t="e">
        <f>_xlfn.XLOOKUP(F579,Viloyatlar24[RegionName],Viloyatlar24[RegionId])</f>
        <v>#N/A</v>
      </c>
      <c r="I579" s="10" t="e">
        <f>_xlfn.XLOOKUP('Кўчмас мулк объектлари'!G579,Tumanlar23[DistrictName],Tumanlar23[DistrictId])</f>
        <v>#N/A</v>
      </c>
      <c r="K579" s="24"/>
      <c r="L579" s="10" t="e">
        <f>_xlfn.XLOOKUP(K579,Ташкилотлар39[Ташкилотлар],Ташкилотлар39[TashklilotID])</f>
        <v>#N/A</v>
      </c>
      <c r="M579" s="26"/>
      <c r="N579" s="26"/>
      <c r="O579" s="24"/>
      <c r="P579" s="2"/>
      <c r="Q579" s="26"/>
      <c r="R579" s="26"/>
      <c r="S579" s="26"/>
      <c r="T579" s="26"/>
      <c r="U579" s="24"/>
      <c r="V579" s="10" t="e">
        <f>_xlfn.XLOOKUP(U579,Таклифлар37[Таклифлар],Таклифлар37[TaklifID])</f>
        <v>#N/A</v>
      </c>
      <c r="W579" s="24"/>
      <c r="X579" s="23"/>
      <c r="Y579" s="7"/>
      <c r="Z579" s="26"/>
      <c r="AB579" s="23"/>
      <c r="AD579" s="2"/>
      <c r="AG579" s="23"/>
      <c r="AI579" s="26"/>
      <c r="AJ579" s="23"/>
      <c r="AM579" s="23"/>
      <c r="AO579" s="32"/>
      <c r="AP579" s="26"/>
      <c r="AR579" s="26"/>
      <c r="AS579" s="27"/>
      <c r="AT579" s="27"/>
      <c r="AU579" s="31"/>
      <c r="AV579" s="24"/>
      <c r="AW579"/>
      <c r="AX579"/>
      <c r="AY579"/>
      <c r="AZ579"/>
      <c r="BA579"/>
      <c r="BB579"/>
      <c r="BC579"/>
      <c r="BD579"/>
      <c r="BE579"/>
      <c r="BF579"/>
      <c r="BG579"/>
    </row>
    <row r="580" spans="2:59" x14ac:dyDescent="0.25">
      <c r="B580" s="22"/>
      <c r="C580" s="23"/>
      <c r="E580" s="23"/>
      <c r="F580" s="24"/>
      <c r="G580" s="2"/>
      <c r="H580" s="10" t="e">
        <f>_xlfn.XLOOKUP(F580,Viloyatlar24[RegionName],Viloyatlar24[RegionId])</f>
        <v>#N/A</v>
      </c>
      <c r="I580" s="10" t="e">
        <f>_xlfn.XLOOKUP('Кўчмас мулк объектлари'!G580,Tumanlar23[DistrictName],Tumanlar23[DistrictId])</f>
        <v>#N/A</v>
      </c>
      <c r="K580" s="24"/>
      <c r="L580" s="10" t="e">
        <f>_xlfn.XLOOKUP(K580,Ташкилотлар39[Ташкилотлар],Ташкилотлар39[TashklilotID])</f>
        <v>#N/A</v>
      </c>
      <c r="M580" s="26"/>
      <c r="N580" s="26"/>
      <c r="O580" s="24"/>
      <c r="P580" s="2"/>
      <c r="Q580" s="26"/>
      <c r="R580" s="26"/>
      <c r="S580" s="26"/>
      <c r="T580" s="26"/>
      <c r="U580" s="24"/>
      <c r="V580" s="10" t="e">
        <f>_xlfn.XLOOKUP(U580,Таклифлар37[Таклифлар],Таклифлар37[TaklifID])</f>
        <v>#N/A</v>
      </c>
      <c r="W580" s="24"/>
      <c r="X580" s="23"/>
      <c r="Y580" s="7"/>
      <c r="Z580" s="26"/>
      <c r="AB580" s="23"/>
      <c r="AD580" s="2"/>
      <c r="AG580" s="23"/>
      <c r="AI580" s="26"/>
      <c r="AJ580" s="23"/>
      <c r="AM580" s="23"/>
      <c r="AO580" s="32"/>
      <c r="AP580" s="26"/>
      <c r="AR580" s="26"/>
      <c r="AS580" s="27"/>
      <c r="AT580" s="27"/>
      <c r="AU580" s="31"/>
      <c r="AV580" s="24"/>
      <c r="AW580"/>
      <c r="AX580"/>
      <c r="AY580"/>
      <c r="AZ580"/>
      <c r="BA580"/>
      <c r="BB580"/>
      <c r="BC580"/>
      <c r="BD580"/>
      <c r="BE580"/>
      <c r="BF580"/>
      <c r="BG580"/>
    </row>
    <row r="581" spans="2:59" x14ac:dyDescent="0.25">
      <c r="B581" s="22"/>
      <c r="C581" s="23"/>
      <c r="E581" s="23"/>
      <c r="F581" s="24"/>
      <c r="G581" s="2"/>
      <c r="H581" s="10" t="e">
        <f>_xlfn.XLOOKUP(F581,Viloyatlar24[RegionName],Viloyatlar24[RegionId])</f>
        <v>#N/A</v>
      </c>
      <c r="I581" s="10" t="e">
        <f>_xlfn.XLOOKUP('Кўчмас мулк объектлари'!G581,Tumanlar23[DistrictName],Tumanlar23[DistrictId])</f>
        <v>#N/A</v>
      </c>
      <c r="K581" s="24"/>
      <c r="L581" s="10" t="e">
        <f>_xlfn.XLOOKUP(K581,Ташкилотлар39[Ташкилотлар],Ташкилотлар39[TashklilotID])</f>
        <v>#N/A</v>
      </c>
      <c r="M581" s="26"/>
      <c r="N581" s="26"/>
      <c r="O581" s="24"/>
      <c r="P581" s="2"/>
      <c r="Q581" s="26"/>
      <c r="R581" s="26"/>
      <c r="S581" s="26"/>
      <c r="T581" s="26"/>
      <c r="U581" s="24"/>
      <c r="V581" s="10" t="e">
        <f>_xlfn.XLOOKUP(U581,Таклифлар37[Таклифлар],Таклифлар37[TaklifID])</f>
        <v>#N/A</v>
      </c>
      <c r="W581" s="24"/>
      <c r="X581" s="23"/>
      <c r="Y581" s="7"/>
      <c r="Z581" s="26"/>
      <c r="AB581" s="23"/>
      <c r="AD581" s="2"/>
      <c r="AG581" s="23"/>
      <c r="AI581" s="26"/>
      <c r="AJ581" s="23"/>
      <c r="AM581" s="23"/>
      <c r="AO581" s="32"/>
      <c r="AP581" s="26"/>
      <c r="AR581" s="26"/>
      <c r="AS581" s="27"/>
      <c r="AT581" s="27"/>
      <c r="AU581" s="31"/>
      <c r="AV581" s="24"/>
      <c r="AW581"/>
      <c r="AX581"/>
      <c r="AY581"/>
      <c r="AZ581"/>
      <c r="BA581"/>
      <c r="BB581"/>
      <c r="BC581"/>
      <c r="BD581"/>
      <c r="BE581"/>
      <c r="BF581"/>
      <c r="BG581"/>
    </row>
    <row r="582" spans="2:59" x14ac:dyDescent="0.25">
      <c r="B582" s="22"/>
      <c r="C582" s="23"/>
      <c r="E582" s="23"/>
      <c r="F582" s="24"/>
      <c r="G582" s="2"/>
      <c r="H582" s="10" t="e">
        <f>_xlfn.XLOOKUP(F582,Viloyatlar24[RegionName],Viloyatlar24[RegionId])</f>
        <v>#N/A</v>
      </c>
      <c r="I582" s="10" t="e">
        <f>_xlfn.XLOOKUP('Кўчмас мулк объектлари'!G582,Tumanlar23[DistrictName],Tumanlar23[DistrictId])</f>
        <v>#N/A</v>
      </c>
      <c r="K582" s="24"/>
      <c r="L582" s="10" t="e">
        <f>_xlfn.XLOOKUP(K582,Ташкилотлар39[Ташкилотлар],Ташкилотлар39[TashklilotID])</f>
        <v>#N/A</v>
      </c>
      <c r="M582" s="26"/>
      <c r="N582" s="26"/>
      <c r="O582" s="24"/>
      <c r="P582" s="2"/>
      <c r="Q582" s="26"/>
      <c r="R582" s="26"/>
      <c r="S582" s="26"/>
      <c r="T582" s="26"/>
      <c r="U582" s="24"/>
      <c r="V582" s="10" t="e">
        <f>_xlfn.XLOOKUP(U582,Таклифлар37[Таклифлар],Таклифлар37[TaklifID])</f>
        <v>#N/A</v>
      </c>
      <c r="W582" s="24"/>
      <c r="X582" s="23"/>
      <c r="Y582" s="7"/>
      <c r="Z582" s="26"/>
      <c r="AB582" s="23"/>
      <c r="AD582" s="2"/>
      <c r="AG582" s="23"/>
      <c r="AI582" s="26"/>
      <c r="AJ582" s="23"/>
      <c r="AM582" s="23"/>
      <c r="AO582" s="32"/>
      <c r="AP582" s="26"/>
      <c r="AR582" s="26"/>
      <c r="AS582" s="27"/>
      <c r="AT582" s="27"/>
      <c r="AU582" s="31"/>
      <c r="AV582" s="24"/>
      <c r="AW582"/>
      <c r="AX582"/>
      <c r="AY582"/>
      <c r="AZ582"/>
      <c r="BA582"/>
      <c r="BB582"/>
      <c r="BC582"/>
      <c r="BD582"/>
      <c r="BE582"/>
      <c r="BF582"/>
      <c r="BG582"/>
    </row>
    <row r="583" spans="2:59" x14ac:dyDescent="0.25">
      <c r="B583" s="22"/>
      <c r="C583" s="23"/>
      <c r="E583" s="23"/>
      <c r="F583" s="24"/>
      <c r="G583" s="2"/>
      <c r="H583" s="10" t="e">
        <f>_xlfn.XLOOKUP(F583,Viloyatlar24[RegionName],Viloyatlar24[RegionId])</f>
        <v>#N/A</v>
      </c>
      <c r="I583" s="10" t="e">
        <f>_xlfn.XLOOKUP('Кўчмас мулк объектлари'!G583,Tumanlar23[DistrictName],Tumanlar23[DistrictId])</f>
        <v>#N/A</v>
      </c>
      <c r="K583" s="24"/>
      <c r="L583" s="10" t="e">
        <f>_xlfn.XLOOKUP(K583,Ташкилотлар39[Ташкилотлар],Ташкилотлар39[TashklilotID])</f>
        <v>#N/A</v>
      </c>
      <c r="M583" s="26"/>
      <c r="N583" s="26"/>
      <c r="O583" s="24"/>
      <c r="P583" s="2"/>
      <c r="Q583" s="26"/>
      <c r="R583" s="26"/>
      <c r="S583" s="26"/>
      <c r="T583" s="26"/>
      <c r="U583" s="24"/>
      <c r="V583" s="10" t="e">
        <f>_xlfn.XLOOKUP(U583,Таклифлар37[Таклифлар],Таклифлар37[TaklifID])</f>
        <v>#N/A</v>
      </c>
      <c r="W583" s="24"/>
      <c r="X583" s="23"/>
      <c r="Y583" s="7"/>
      <c r="Z583" s="26"/>
      <c r="AB583" s="23"/>
      <c r="AD583" s="2"/>
      <c r="AG583" s="23"/>
      <c r="AI583" s="26"/>
      <c r="AJ583" s="23"/>
      <c r="AM583" s="23"/>
      <c r="AO583" s="32"/>
      <c r="AP583" s="26"/>
      <c r="AR583" s="26"/>
      <c r="AS583" s="27"/>
      <c r="AT583" s="27"/>
      <c r="AU583" s="31"/>
      <c r="AV583" s="24"/>
      <c r="AW583"/>
      <c r="AX583"/>
      <c r="AY583"/>
      <c r="AZ583"/>
      <c r="BA583"/>
      <c r="BB583"/>
      <c r="BC583"/>
      <c r="BD583"/>
      <c r="BE583"/>
      <c r="BF583"/>
      <c r="BG583"/>
    </row>
    <row r="584" spans="2:59" x14ac:dyDescent="0.25">
      <c r="B584" s="22"/>
      <c r="C584" s="23"/>
      <c r="E584" s="23"/>
      <c r="F584" s="24"/>
      <c r="G584" s="2"/>
      <c r="H584" s="10" t="e">
        <f>_xlfn.XLOOKUP(F584,Viloyatlar24[RegionName],Viloyatlar24[RegionId])</f>
        <v>#N/A</v>
      </c>
      <c r="I584" s="10" t="e">
        <f>_xlfn.XLOOKUP('Кўчмас мулк объектлари'!G584,Tumanlar23[DistrictName],Tumanlar23[DistrictId])</f>
        <v>#N/A</v>
      </c>
      <c r="K584" s="24"/>
      <c r="L584" s="10" t="e">
        <f>_xlfn.XLOOKUP(K584,Ташкилотлар39[Ташкилотлар],Ташкилотлар39[TashklilotID])</f>
        <v>#N/A</v>
      </c>
      <c r="M584" s="26"/>
      <c r="N584" s="26"/>
      <c r="O584" s="24"/>
      <c r="P584" s="2"/>
      <c r="Q584" s="26"/>
      <c r="R584" s="26"/>
      <c r="S584" s="26"/>
      <c r="T584" s="26"/>
      <c r="U584" s="24"/>
      <c r="V584" s="10" t="e">
        <f>_xlfn.XLOOKUP(U584,Таклифлар37[Таклифлар],Таклифлар37[TaklifID])</f>
        <v>#N/A</v>
      </c>
      <c r="W584" s="24"/>
      <c r="X584" s="23"/>
      <c r="Y584" s="7"/>
      <c r="Z584" s="26"/>
      <c r="AB584" s="23"/>
      <c r="AD584" s="2"/>
      <c r="AG584" s="23"/>
      <c r="AI584" s="26"/>
      <c r="AJ584" s="23"/>
      <c r="AM584" s="23"/>
      <c r="AO584" s="32"/>
      <c r="AP584" s="26"/>
      <c r="AR584" s="26"/>
      <c r="AS584" s="27"/>
      <c r="AT584" s="27"/>
      <c r="AU584" s="31"/>
      <c r="AV584" s="24"/>
      <c r="AW584"/>
      <c r="AX584"/>
      <c r="AY584"/>
      <c r="AZ584"/>
      <c r="BA584"/>
      <c r="BB584"/>
      <c r="BC584"/>
      <c r="BD584"/>
      <c r="BE584"/>
      <c r="BF584"/>
      <c r="BG584"/>
    </row>
    <row r="585" spans="2:59" x14ac:dyDescent="0.25">
      <c r="B585" s="22"/>
      <c r="C585" s="23"/>
      <c r="E585" s="23"/>
      <c r="F585" s="24"/>
      <c r="G585" s="2"/>
      <c r="H585" s="10" t="e">
        <f>_xlfn.XLOOKUP(F585,Viloyatlar24[RegionName],Viloyatlar24[RegionId])</f>
        <v>#N/A</v>
      </c>
      <c r="I585" s="10" t="e">
        <f>_xlfn.XLOOKUP('Кўчмас мулк объектлари'!G585,Tumanlar23[DistrictName],Tumanlar23[DistrictId])</f>
        <v>#N/A</v>
      </c>
      <c r="K585" s="24"/>
      <c r="L585" s="10" t="e">
        <f>_xlfn.XLOOKUP(K585,Ташкилотлар39[Ташкилотлар],Ташкилотлар39[TashklilotID])</f>
        <v>#N/A</v>
      </c>
      <c r="M585" s="26"/>
      <c r="N585" s="26"/>
      <c r="O585" s="24"/>
      <c r="P585" s="2"/>
      <c r="Q585" s="26"/>
      <c r="R585" s="26"/>
      <c r="S585" s="26"/>
      <c r="T585" s="26"/>
      <c r="U585" s="24"/>
      <c r="V585" s="10" t="e">
        <f>_xlfn.XLOOKUP(U585,Таклифлар37[Таклифлар],Таклифлар37[TaklifID])</f>
        <v>#N/A</v>
      </c>
      <c r="W585" s="24"/>
      <c r="X585" s="23"/>
      <c r="Y585" s="7"/>
      <c r="Z585" s="26"/>
      <c r="AB585" s="23"/>
      <c r="AD585" s="2"/>
      <c r="AG585" s="23"/>
      <c r="AI585" s="26"/>
      <c r="AJ585" s="23"/>
      <c r="AM585" s="23"/>
      <c r="AO585" s="32"/>
      <c r="AP585" s="26"/>
      <c r="AR585" s="26"/>
      <c r="AS585" s="27"/>
      <c r="AT585" s="27"/>
      <c r="AU585" s="31"/>
      <c r="AV585" s="24"/>
      <c r="AW585"/>
      <c r="AX585"/>
      <c r="AY585"/>
      <c r="AZ585"/>
      <c r="BA585"/>
      <c r="BB585"/>
      <c r="BC585"/>
      <c r="BD585"/>
      <c r="BE585"/>
      <c r="BF585"/>
      <c r="BG585"/>
    </row>
    <row r="586" spans="2:59" x14ac:dyDescent="0.25">
      <c r="B586" s="22"/>
      <c r="C586" s="23"/>
      <c r="E586" s="23"/>
      <c r="F586" s="24"/>
      <c r="G586" s="2"/>
      <c r="H586" s="10" t="e">
        <f>_xlfn.XLOOKUP(F586,Viloyatlar24[RegionName],Viloyatlar24[RegionId])</f>
        <v>#N/A</v>
      </c>
      <c r="I586" s="10" t="e">
        <f>_xlfn.XLOOKUP('Кўчмас мулк объектлари'!G586,Tumanlar23[DistrictName],Tumanlar23[DistrictId])</f>
        <v>#N/A</v>
      </c>
      <c r="K586" s="24"/>
      <c r="L586" s="10" t="e">
        <f>_xlfn.XLOOKUP(K586,Ташкилотлар39[Ташкилотлар],Ташкилотлар39[TashklilotID])</f>
        <v>#N/A</v>
      </c>
      <c r="M586" s="26"/>
      <c r="N586" s="26"/>
      <c r="O586" s="24"/>
      <c r="P586" s="2"/>
      <c r="Q586" s="26"/>
      <c r="R586" s="26"/>
      <c r="S586" s="26"/>
      <c r="T586" s="26"/>
      <c r="U586" s="24"/>
      <c r="V586" s="10" t="e">
        <f>_xlfn.XLOOKUP(U586,Таклифлар37[Таклифлар],Таклифлар37[TaklifID])</f>
        <v>#N/A</v>
      </c>
      <c r="W586" s="24"/>
      <c r="X586" s="23"/>
      <c r="Y586" s="7"/>
      <c r="Z586" s="26"/>
      <c r="AB586" s="23"/>
      <c r="AD586" s="2"/>
      <c r="AG586" s="23"/>
      <c r="AI586" s="26"/>
      <c r="AJ586" s="23"/>
      <c r="AM586" s="23"/>
      <c r="AO586" s="32"/>
      <c r="AP586" s="26"/>
      <c r="AR586" s="26"/>
      <c r="AS586" s="27"/>
      <c r="AT586" s="27"/>
      <c r="AU586" s="31"/>
      <c r="AV586" s="24"/>
      <c r="AW586"/>
      <c r="AX586"/>
      <c r="AY586"/>
      <c r="AZ586"/>
      <c r="BA586"/>
      <c r="BB586"/>
      <c r="BC586"/>
      <c r="BD586"/>
      <c r="BE586"/>
      <c r="BF586"/>
      <c r="BG586"/>
    </row>
    <row r="587" spans="2:59" x14ac:dyDescent="0.25">
      <c r="B587" s="22"/>
      <c r="C587" s="23"/>
      <c r="E587" s="23"/>
      <c r="F587" s="24"/>
      <c r="G587" s="2"/>
      <c r="H587" s="10" t="e">
        <f>_xlfn.XLOOKUP(F587,Viloyatlar24[RegionName],Viloyatlar24[RegionId])</f>
        <v>#N/A</v>
      </c>
      <c r="I587" s="10" t="e">
        <f>_xlfn.XLOOKUP('Кўчмас мулк объектлари'!G587,Tumanlar23[DistrictName],Tumanlar23[DistrictId])</f>
        <v>#N/A</v>
      </c>
      <c r="K587" s="24"/>
      <c r="L587" s="10" t="e">
        <f>_xlfn.XLOOKUP(K587,Ташкилотлар39[Ташкилотлар],Ташкилотлар39[TashklilotID])</f>
        <v>#N/A</v>
      </c>
      <c r="M587" s="26"/>
      <c r="N587" s="26"/>
      <c r="O587" s="24"/>
      <c r="P587" s="2"/>
      <c r="Q587" s="26"/>
      <c r="R587" s="26"/>
      <c r="S587" s="26"/>
      <c r="T587" s="26"/>
      <c r="U587" s="24"/>
      <c r="V587" s="10" t="e">
        <f>_xlfn.XLOOKUP(U587,Таклифлар37[Таклифлар],Таклифлар37[TaklifID])</f>
        <v>#N/A</v>
      </c>
      <c r="W587" s="24"/>
      <c r="X587" s="23"/>
      <c r="Y587" s="7"/>
      <c r="Z587" s="26"/>
      <c r="AB587" s="23"/>
      <c r="AD587" s="2"/>
      <c r="AG587" s="23"/>
      <c r="AI587" s="26"/>
      <c r="AJ587" s="23"/>
      <c r="AM587" s="23"/>
      <c r="AO587" s="32"/>
      <c r="AP587" s="26"/>
      <c r="AR587" s="26"/>
      <c r="AS587" s="27"/>
      <c r="AT587" s="27"/>
      <c r="AU587" s="31"/>
      <c r="AV587" s="24"/>
      <c r="AW587"/>
      <c r="AX587"/>
      <c r="AY587"/>
      <c r="AZ587"/>
      <c r="BA587"/>
      <c r="BB587"/>
      <c r="BC587"/>
      <c r="BD587"/>
      <c r="BE587"/>
      <c r="BF587"/>
      <c r="BG587"/>
    </row>
    <row r="588" spans="2:59" x14ac:dyDescent="0.25">
      <c r="B588" s="22"/>
      <c r="C588" s="23"/>
      <c r="E588" s="23"/>
      <c r="F588" s="24"/>
      <c r="G588" s="2"/>
      <c r="H588" s="10" t="e">
        <f>_xlfn.XLOOKUP(F588,Viloyatlar24[RegionName],Viloyatlar24[RegionId])</f>
        <v>#N/A</v>
      </c>
      <c r="I588" s="10" t="e">
        <f>_xlfn.XLOOKUP('Кўчмас мулк объектлари'!G588,Tumanlar23[DistrictName],Tumanlar23[DistrictId])</f>
        <v>#N/A</v>
      </c>
      <c r="K588" s="24"/>
      <c r="L588" s="10" t="e">
        <f>_xlfn.XLOOKUP(K588,Ташкилотлар39[Ташкилотлар],Ташкилотлар39[TashklilotID])</f>
        <v>#N/A</v>
      </c>
      <c r="M588" s="26"/>
      <c r="N588" s="26"/>
      <c r="O588" s="24"/>
      <c r="P588" s="2"/>
      <c r="Q588" s="26"/>
      <c r="R588" s="26"/>
      <c r="S588" s="26"/>
      <c r="T588" s="26"/>
      <c r="U588" s="24"/>
      <c r="V588" s="10" t="e">
        <f>_xlfn.XLOOKUP(U588,Таклифлар37[Таклифлар],Таклифлар37[TaklifID])</f>
        <v>#N/A</v>
      </c>
      <c r="W588" s="24"/>
      <c r="X588" s="23"/>
      <c r="Y588" s="7"/>
      <c r="Z588" s="26"/>
      <c r="AB588" s="23"/>
      <c r="AD588" s="2"/>
      <c r="AG588" s="23"/>
      <c r="AI588" s="26"/>
      <c r="AJ588" s="23"/>
      <c r="AM588" s="23"/>
      <c r="AO588" s="32"/>
      <c r="AP588" s="26"/>
      <c r="AR588" s="26"/>
      <c r="AS588" s="27"/>
      <c r="AT588" s="27"/>
      <c r="AU588" s="31"/>
      <c r="AV588" s="24"/>
      <c r="AW588"/>
      <c r="AX588"/>
      <c r="AY588"/>
      <c r="AZ588"/>
      <c r="BA588"/>
      <c r="BB588"/>
      <c r="BC588"/>
      <c r="BD588"/>
      <c r="BE588"/>
      <c r="BF588"/>
      <c r="BG588"/>
    </row>
    <row r="589" spans="2:59" x14ac:dyDescent="0.25">
      <c r="B589" s="22"/>
      <c r="C589" s="23"/>
      <c r="E589" s="23"/>
      <c r="F589" s="24"/>
      <c r="G589" s="2"/>
      <c r="H589" s="10" t="e">
        <f>_xlfn.XLOOKUP(F589,Viloyatlar24[RegionName],Viloyatlar24[RegionId])</f>
        <v>#N/A</v>
      </c>
      <c r="I589" s="10" t="e">
        <f>_xlfn.XLOOKUP('Кўчмас мулк объектлари'!G589,Tumanlar23[DistrictName],Tumanlar23[DistrictId])</f>
        <v>#N/A</v>
      </c>
      <c r="K589" s="24"/>
      <c r="L589" s="10" t="e">
        <f>_xlfn.XLOOKUP(K589,Ташкилотлар39[Ташкилотлар],Ташкилотлар39[TashklilotID])</f>
        <v>#N/A</v>
      </c>
      <c r="M589" s="26"/>
      <c r="N589" s="26"/>
      <c r="O589" s="24"/>
      <c r="P589" s="2"/>
      <c r="Q589" s="26"/>
      <c r="R589" s="26"/>
      <c r="S589" s="26"/>
      <c r="T589" s="26"/>
      <c r="U589" s="24"/>
      <c r="V589" s="10" t="e">
        <f>_xlfn.XLOOKUP(U589,Таклифлар37[Таклифлар],Таклифлар37[TaklifID])</f>
        <v>#N/A</v>
      </c>
      <c r="W589" s="24"/>
      <c r="X589" s="23"/>
      <c r="Y589" s="7"/>
      <c r="Z589" s="26"/>
      <c r="AB589" s="23"/>
      <c r="AD589" s="2"/>
      <c r="AG589" s="23"/>
      <c r="AI589" s="26"/>
      <c r="AJ589" s="23"/>
      <c r="AM589" s="23"/>
      <c r="AO589" s="32"/>
      <c r="AP589" s="26"/>
      <c r="AR589" s="26"/>
      <c r="AS589" s="27"/>
      <c r="AT589" s="27"/>
      <c r="AU589" s="31"/>
      <c r="AV589" s="24"/>
      <c r="AW589"/>
      <c r="AX589"/>
      <c r="AY589"/>
      <c r="AZ589"/>
      <c r="BA589"/>
      <c r="BB589"/>
      <c r="BC589"/>
      <c r="BD589"/>
      <c r="BE589"/>
      <c r="BF589"/>
      <c r="BG589"/>
    </row>
    <row r="590" spans="2:59" x14ac:dyDescent="0.25">
      <c r="B590" s="22"/>
      <c r="C590" s="23"/>
      <c r="E590" s="23"/>
      <c r="F590" s="24"/>
      <c r="G590" s="2"/>
      <c r="H590" s="10" t="e">
        <f>_xlfn.XLOOKUP(F590,Viloyatlar24[RegionName],Viloyatlar24[RegionId])</f>
        <v>#N/A</v>
      </c>
      <c r="I590" s="10" t="e">
        <f>_xlfn.XLOOKUP('Кўчмас мулк объектлари'!G590,Tumanlar23[DistrictName],Tumanlar23[DistrictId])</f>
        <v>#N/A</v>
      </c>
      <c r="K590" s="24"/>
      <c r="L590" s="10" t="e">
        <f>_xlfn.XLOOKUP(K590,Ташкилотлар39[Ташкилотлар],Ташкилотлар39[TashklilotID])</f>
        <v>#N/A</v>
      </c>
      <c r="M590" s="26"/>
      <c r="N590" s="26"/>
      <c r="O590" s="24"/>
      <c r="P590" s="2"/>
      <c r="Q590" s="26"/>
      <c r="R590" s="26"/>
      <c r="S590" s="26"/>
      <c r="T590" s="26"/>
      <c r="U590" s="24"/>
      <c r="V590" s="10" t="e">
        <f>_xlfn.XLOOKUP(U590,Таклифлар37[Таклифлар],Таклифлар37[TaklifID])</f>
        <v>#N/A</v>
      </c>
      <c r="W590" s="24"/>
      <c r="X590" s="23"/>
      <c r="Y590" s="7"/>
      <c r="Z590" s="26"/>
      <c r="AB590" s="23"/>
      <c r="AD590" s="2"/>
      <c r="AG590" s="23"/>
      <c r="AI590" s="26"/>
      <c r="AJ590" s="23"/>
      <c r="AM590" s="23"/>
      <c r="AO590" s="32"/>
      <c r="AP590" s="26"/>
      <c r="AR590" s="26"/>
      <c r="AS590" s="27"/>
      <c r="AT590" s="27"/>
      <c r="AU590" s="31"/>
      <c r="AV590" s="24"/>
      <c r="AW590"/>
      <c r="AX590"/>
      <c r="AY590"/>
      <c r="AZ590"/>
      <c r="BA590"/>
      <c r="BB590"/>
      <c r="BC590"/>
      <c r="BD590"/>
      <c r="BE590"/>
      <c r="BF590"/>
      <c r="BG590"/>
    </row>
    <row r="591" spans="2:59" x14ac:dyDescent="0.25">
      <c r="B591" s="22"/>
      <c r="C591" s="23"/>
      <c r="E591" s="23"/>
      <c r="F591" s="24"/>
      <c r="G591" s="2"/>
      <c r="H591" s="10" t="e">
        <f>_xlfn.XLOOKUP(F591,Viloyatlar24[RegionName],Viloyatlar24[RegionId])</f>
        <v>#N/A</v>
      </c>
      <c r="I591" s="10" t="e">
        <f>_xlfn.XLOOKUP('Кўчмас мулк объектлари'!G591,Tumanlar23[DistrictName],Tumanlar23[DistrictId])</f>
        <v>#N/A</v>
      </c>
      <c r="K591" s="24"/>
      <c r="L591" s="10" t="e">
        <f>_xlfn.XLOOKUP(K591,Ташкилотлар39[Ташкилотлар],Ташкилотлар39[TashklilotID])</f>
        <v>#N/A</v>
      </c>
      <c r="M591" s="26"/>
      <c r="N591" s="26"/>
      <c r="O591" s="24"/>
      <c r="P591" s="2"/>
      <c r="Q591" s="26"/>
      <c r="R591" s="26"/>
      <c r="S591" s="26"/>
      <c r="T591" s="26"/>
      <c r="U591" s="24"/>
      <c r="V591" s="10" t="e">
        <f>_xlfn.XLOOKUP(U591,Таклифлар37[Таклифлар],Таклифлар37[TaklifID])</f>
        <v>#N/A</v>
      </c>
      <c r="W591" s="24"/>
      <c r="X591" s="23"/>
      <c r="Y591" s="7"/>
      <c r="Z591" s="26"/>
      <c r="AB591" s="23"/>
      <c r="AD591" s="2"/>
      <c r="AG591" s="23"/>
      <c r="AI591" s="26"/>
      <c r="AJ591" s="23"/>
      <c r="AM591" s="23"/>
      <c r="AO591" s="32"/>
      <c r="AP591" s="26"/>
      <c r="AR591" s="26"/>
      <c r="AS591" s="27"/>
      <c r="AT591" s="27"/>
      <c r="AU591" s="31"/>
      <c r="AV591" s="24"/>
      <c r="AW591"/>
      <c r="AX591"/>
      <c r="AY591"/>
      <c r="AZ591"/>
      <c r="BA591"/>
      <c r="BB591"/>
      <c r="BC591"/>
      <c r="BD591"/>
      <c r="BE591"/>
      <c r="BF591"/>
      <c r="BG591"/>
    </row>
    <row r="592" spans="2:59" x14ac:dyDescent="0.25">
      <c r="B592" s="22"/>
      <c r="C592" s="23"/>
      <c r="E592" s="23"/>
      <c r="F592" s="24"/>
      <c r="G592" s="2"/>
      <c r="H592" s="10" t="e">
        <f>_xlfn.XLOOKUP(F592,Viloyatlar24[RegionName],Viloyatlar24[RegionId])</f>
        <v>#N/A</v>
      </c>
      <c r="I592" s="10" t="e">
        <f>_xlfn.XLOOKUP('Кўчмас мулк объектлари'!G592,Tumanlar23[DistrictName],Tumanlar23[DistrictId])</f>
        <v>#N/A</v>
      </c>
      <c r="K592" s="24"/>
      <c r="L592" s="10" t="e">
        <f>_xlfn.XLOOKUP(K592,Ташкилотлар39[Ташкилотлар],Ташкилотлар39[TashklilotID])</f>
        <v>#N/A</v>
      </c>
      <c r="M592" s="26"/>
      <c r="N592" s="26"/>
      <c r="O592" s="24"/>
      <c r="P592" s="2"/>
      <c r="Q592" s="26"/>
      <c r="R592" s="26"/>
      <c r="S592" s="26"/>
      <c r="T592" s="26"/>
      <c r="U592" s="24"/>
      <c r="V592" s="10" t="e">
        <f>_xlfn.XLOOKUP(U592,Таклифлар37[Таклифлар],Таклифлар37[TaklifID])</f>
        <v>#N/A</v>
      </c>
      <c r="W592" s="24"/>
      <c r="X592" s="23"/>
      <c r="Y592" s="7"/>
      <c r="Z592" s="26"/>
      <c r="AB592" s="23"/>
      <c r="AD592" s="2"/>
      <c r="AG592" s="23"/>
      <c r="AI592" s="26"/>
      <c r="AJ592" s="23"/>
      <c r="AM592" s="23"/>
      <c r="AO592" s="32"/>
      <c r="AP592" s="26"/>
      <c r="AR592" s="26"/>
      <c r="AS592" s="27"/>
      <c r="AT592" s="27"/>
      <c r="AU592" s="31"/>
      <c r="AV592" s="24"/>
      <c r="AW592"/>
      <c r="AX592"/>
      <c r="AY592"/>
      <c r="AZ592"/>
      <c r="BA592"/>
      <c r="BB592"/>
      <c r="BC592"/>
      <c r="BD592"/>
      <c r="BE592"/>
      <c r="BF592"/>
      <c r="BG592"/>
    </row>
    <row r="593" spans="2:59" x14ac:dyDescent="0.25">
      <c r="B593" s="22"/>
      <c r="C593" s="23"/>
      <c r="E593" s="23"/>
      <c r="F593" s="24"/>
      <c r="G593" s="2"/>
      <c r="H593" s="10" t="e">
        <f>_xlfn.XLOOKUP(F593,Viloyatlar24[RegionName],Viloyatlar24[RegionId])</f>
        <v>#N/A</v>
      </c>
      <c r="I593" s="10" t="e">
        <f>_xlfn.XLOOKUP('Кўчмас мулк объектлари'!G593,Tumanlar23[DistrictName],Tumanlar23[DistrictId])</f>
        <v>#N/A</v>
      </c>
      <c r="K593" s="24"/>
      <c r="L593" s="10" t="e">
        <f>_xlfn.XLOOKUP(K593,Ташкилотлар39[Ташкилотлар],Ташкилотлар39[TashklilotID])</f>
        <v>#N/A</v>
      </c>
      <c r="M593" s="26"/>
      <c r="N593" s="26"/>
      <c r="O593" s="24"/>
      <c r="P593" s="2"/>
      <c r="Q593" s="26"/>
      <c r="R593" s="26"/>
      <c r="S593" s="26"/>
      <c r="T593" s="26"/>
      <c r="U593" s="24"/>
      <c r="V593" s="10" t="e">
        <f>_xlfn.XLOOKUP(U593,Таклифлар37[Таклифлар],Таклифлар37[TaklifID])</f>
        <v>#N/A</v>
      </c>
      <c r="W593" s="24"/>
      <c r="X593" s="23"/>
      <c r="Y593" s="7"/>
      <c r="Z593" s="26"/>
      <c r="AB593" s="23"/>
      <c r="AD593" s="2"/>
      <c r="AG593" s="23"/>
      <c r="AI593" s="26"/>
      <c r="AJ593" s="23"/>
      <c r="AM593" s="23"/>
      <c r="AO593" s="32"/>
      <c r="AP593" s="26"/>
      <c r="AR593" s="26"/>
      <c r="AS593" s="27"/>
      <c r="AT593" s="27"/>
      <c r="AU593" s="31"/>
      <c r="AV593" s="24"/>
      <c r="AW593"/>
      <c r="AX593"/>
      <c r="AY593"/>
      <c r="AZ593"/>
      <c r="BA593"/>
      <c r="BB593"/>
      <c r="BC593"/>
      <c r="BD593"/>
      <c r="BE593"/>
      <c r="BF593"/>
      <c r="BG593"/>
    </row>
    <row r="594" spans="2:59" x14ac:dyDescent="0.25">
      <c r="B594" s="22"/>
      <c r="C594" s="23"/>
      <c r="E594" s="23"/>
      <c r="F594" s="24"/>
      <c r="G594" s="2"/>
      <c r="H594" s="10" t="e">
        <f>_xlfn.XLOOKUP(F594,Viloyatlar24[RegionName],Viloyatlar24[RegionId])</f>
        <v>#N/A</v>
      </c>
      <c r="I594" s="10" t="e">
        <f>_xlfn.XLOOKUP('Кўчмас мулк объектлари'!G594,Tumanlar23[DistrictName],Tumanlar23[DistrictId])</f>
        <v>#N/A</v>
      </c>
      <c r="K594" s="24"/>
      <c r="L594" s="10" t="e">
        <f>_xlfn.XLOOKUP(K594,Ташкилотлар39[Ташкилотлар],Ташкилотлар39[TashklilotID])</f>
        <v>#N/A</v>
      </c>
      <c r="M594" s="26"/>
      <c r="N594" s="26"/>
      <c r="O594" s="24"/>
      <c r="P594" s="2"/>
      <c r="Q594" s="26"/>
      <c r="R594" s="26"/>
      <c r="S594" s="26"/>
      <c r="T594" s="26"/>
      <c r="U594" s="24"/>
      <c r="V594" s="10" t="e">
        <f>_xlfn.XLOOKUP(U594,Таклифлар37[Таклифлар],Таклифлар37[TaklifID])</f>
        <v>#N/A</v>
      </c>
      <c r="W594" s="24"/>
      <c r="X594" s="23"/>
      <c r="Y594" s="7"/>
      <c r="Z594" s="26"/>
      <c r="AB594" s="23"/>
      <c r="AD594" s="2"/>
      <c r="AG594" s="23"/>
      <c r="AI594" s="26"/>
      <c r="AJ594" s="23"/>
      <c r="AM594" s="23"/>
      <c r="AO594" s="32"/>
      <c r="AP594" s="26"/>
      <c r="AR594" s="26"/>
      <c r="AS594" s="27"/>
      <c r="AT594" s="27"/>
      <c r="AU594" s="31"/>
      <c r="AV594" s="24"/>
      <c r="AW594"/>
      <c r="AX594"/>
      <c r="AY594"/>
      <c r="AZ594"/>
      <c r="BA594"/>
      <c r="BB594"/>
      <c r="BC594"/>
      <c r="BD594"/>
      <c r="BE594"/>
      <c r="BF594"/>
      <c r="BG594"/>
    </row>
    <row r="595" spans="2:59" x14ac:dyDescent="0.25">
      <c r="B595" s="22"/>
      <c r="C595" s="23"/>
      <c r="E595" s="23"/>
      <c r="F595" s="24"/>
      <c r="G595" s="2"/>
      <c r="H595" s="10" t="e">
        <f>_xlfn.XLOOKUP(F595,Viloyatlar24[RegionName],Viloyatlar24[RegionId])</f>
        <v>#N/A</v>
      </c>
      <c r="I595" s="10" t="e">
        <f>_xlfn.XLOOKUP('Кўчмас мулк объектлари'!G595,Tumanlar23[DistrictName],Tumanlar23[DistrictId])</f>
        <v>#N/A</v>
      </c>
      <c r="K595" s="24"/>
      <c r="L595" s="10" t="e">
        <f>_xlfn.XLOOKUP(K595,Ташкилотлар39[Ташкилотлар],Ташкилотлар39[TashklilotID])</f>
        <v>#N/A</v>
      </c>
      <c r="M595" s="26"/>
      <c r="N595" s="26"/>
      <c r="O595" s="24"/>
      <c r="P595" s="2"/>
      <c r="Q595" s="26"/>
      <c r="R595" s="26"/>
      <c r="S595" s="26"/>
      <c r="T595" s="26"/>
      <c r="U595" s="24"/>
      <c r="V595" s="10" t="e">
        <f>_xlfn.XLOOKUP(U595,Таклифлар37[Таклифлар],Таклифлар37[TaklifID])</f>
        <v>#N/A</v>
      </c>
      <c r="W595" s="24"/>
      <c r="X595" s="23"/>
      <c r="Y595" s="7"/>
      <c r="Z595" s="26"/>
      <c r="AB595" s="23"/>
      <c r="AD595" s="2"/>
      <c r="AG595" s="23"/>
      <c r="AI595" s="26"/>
      <c r="AJ595" s="23"/>
      <c r="AM595" s="23"/>
      <c r="AO595" s="32"/>
      <c r="AP595" s="26"/>
      <c r="AR595" s="26"/>
      <c r="AS595" s="27"/>
      <c r="AT595" s="27"/>
      <c r="AU595" s="31"/>
      <c r="AV595" s="24"/>
      <c r="AW595"/>
      <c r="AX595"/>
      <c r="AY595"/>
      <c r="AZ595"/>
      <c r="BA595"/>
      <c r="BB595"/>
      <c r="BC595"/>
      <c r="BD595"/>
      <c r="BE595"/>
      <c r="BF595"/>
      <c r="BG595"/>
    </row>
    <row r="596" spans="2:59" x14ac:dyDescent="0.25">
      <c r="B596" s="22"/>
      <c r="C596" s="23"/>
      <c r="E596" s="23"/>
      <c r="F596" s="24"/>
      <c r="G596" s="2"/>
      <c r="H596" s="10" t="e">
        <f>_xlfn.XLOOKUP(F596,Viloyatlar24[RegionName],Viloyatlar24[RegionId])</f>
        <v>#N/A</v>
      </c>
      <c r="I596" s="10" t="e">
        <f>_xlfn.XLOOKUP('Кўчмас мулк объектлари'!G596,Tumanlar23[DistrictName],Tumanlar23[DistrictId])</f>
        <v>#N/A</v>
      </c>
      <c r="K596" s="24"/>
      <c r="L596" s="10" t="e">
        <f>_xlfn.XLOOKUP(K596,Ташкилотлар39[Ташкилотлар],Ташкилотлар39[TashklilotID])</f>
        <v>#N/A</v>
      </c>
      <c r="M596" s="26"/>
      <c r="N596" s="26"/>
      <c r="O596" s="24"/>
      <c r="P596" s="2"/>
      <c r="Q596" s="26"/>
      <c r="R596" s="26"/>
      <c r="S596" s="26"/>
      <c r="T596" s="26"/>
      <c r="U596" s="24"/>
      <c r="V596" s="10" t="e">
        <f>_xlfn.XLOOKUP(U596,Таклифлар37[Таклифлар],Таклифлар37[TaklifID])</f>
        <v>#N/A</v>
      </c>
      <c r="W596" s="24"/>
      <c r="X596" s="23"/>
      <c r="Y596" s="7"/>
      <c r="Z596" s="26"/>
      <c r="AB596" s="23"/>
      <c r="AD596" s="2"/>
      <c r="AG596" s="23"/>
      <c r="AI596" s="26"/>
      <c r="AJ596" s="23"/>
      <c r="AM596" s="23"/>
      <c r="AO596" s="32"/>
      <c r="AP596" s="26"/>
      <c r="AR596" s="26"/>
      <c r="AS596" s="27"/>
      <c r="AT596" s="27"/>
      <c r="AU596" s="31"/>
      <c r="AV596" s="24"/>
      <c r="AW596"/>
      <c r="AX596"/>
      <c r="AY596"/>
      <c r="AZ596"/>
      <c r="BA596"/>
      <c r="BB596"/>
      <c r="BC596"/>
      <c r="BD596"/>
      <c r="BE596"/>
      <c r="BF596"/>
      <c r="BG596"/>
    </row>
    <row r="597" spans="2:59" x14ac:dyDescent="0.25">
      <c r="B597" s="22"/>
      <c r="C597" s="23"/>
      <c r="E597" s="23"/>
      <c r="F597" s="24"/>
      <c r="G597" s="2"/>
      <c r="H597" s="10" t="e">
        <f>_xlfn.XLOOKUP(F597,Viloyatlar24[RegionName],Viloyatlar24[RegionId])</f>
        <v>#N/A</v>
      </c>
      <c r="I597" s="10" t="e">
        <f>_xlfn.XLOOKUP('Кўчмас мулк объектлари'!G597,Tumanlar23[DistrictName],Tumanlar23[DistrictId])</f>
        <v>#N/A</v>
      </c>
      <c r="K597" s="24"/>
      <c r="L597" s="10" t="e">
        <f>_xlfn.XLOOKUP(K597,Ташкилотлар39[Ташкилотлар],Ташкилотлар39[TashklilotID])</f>
        <v>#N/A</v>
      </c>
      <c r="M597" s="26"/>
      <c r="N597" s="26"/>
      <c r="O597" s="24"/>
      <c r="P597" s="2"/>
      <c r="Q597" s="26"/>
      <c r="R597" s="26"/>
      <c r="S597" s="26"/>
      <c r="T597" s="26"/>
      <c r="U597" s="24"/>
      <c r="V597" s="10" t="e">
        <f>_xlfn.XLOOKUP(U597,Таклифлар37[Таклифлар],Таклифлар37[TaklifID])</f>
        <v>#N/A</v>
      </c>
      <c r="W597" s="24"/>
      <c r="X597" s="23"/>
      <c r="Y597" s="7"/>
      <c r="Z597" s="26"/>
      <c r="AB597" s="23"/>
      <c r="AD597" s="2"/>
      <c r="AG597" s="23"/>
      <c r="AI597" s="26"/>
      <c r="AJ597" s="23"/>
      <c r="AM597" s="23"/>
      <c r="AO597" s="32"/>
      <c r="AP597" s="26"/>
      <c r="AR597" s="26"/>
      <c r="AS597" s="27"/>
      <c r="AT597" s="27"/>
      <c r="AU597" s="31"/>
      <c r="AV597" s="24"/>
      <c r="AW597"/>
      <c r="AX597"/>
      <c r="AY597"/>
      <c r="AZ597"/>
      <c r="BA597"/>
      <c r="BB597"/>
      <c r="BC597"/>
      <c r="BD597"/>
      <c r="BE597"/>
      <c r="BF597"/>
      <c r="BG597"/>
    </row>
    <row r="598" spans="2:59" x14ac:dyDescent="0.25">
      <c r="B598" s="22"/>
      <c r="C598" s="23"/>
      <c r="E598" s="23"/>
      <c r="F598" s="24"/>
      <c r="G598" s="2"/>
      <c r="H598" s="10" t="e">
        <f>_xlfn.XLOOKUP(F598,Viloyatlar24[RegionName],Viloyatlar24[RegionId])</f>
        <v>#N/A</v>
      </c>
      <c r="I598" s="10" t="e">
        <f>_xlfn.XLOOKUP('Кўчмас мулк объектлари'!G598,Tumanlar23[DistrictName],Tumanlar23[DistrictId])</f>
        <v>#N/A</v>
      </c>
      <c r="K598" s="24"/>
      <c r="L598" s="10" t="e">
        <f>_xlfn.XLOOKUP(K598,Ташкилотлар39[Ташкилотлар],Ташкилотлар39[TashklilotID])</f>
        <v>#N/A</v>
      </c>
      <c r="M598" s="26"/>
      <c r="N598" s="26"/>
      <c r="O598" s="24"/>
      <c r="P598" s="2"/>
      <c r="Q598" s="26"/>
      <c r="R598" s="26"/>
      <c r="S598" s="26"/>
      <c r="T598" s="26"/>
      <c r="U598" s="24"/>
      <c r="V598" s="10" t="e">
        <f>_xlfn.XLOOKUP(U598,Таклифлар37[Таклифлар],Таклифлар37[TaklifID])</f>
        <v>#N/A</v>
      </c>
      <c r="W598" s="24"/>
      <c r="X598" s="23"/>
      <c r="Y598" s="7"/>
      <c r="Z598" s="26"/>
      <c r="AB598" s="23"/>
      <c r="AD598" s="2"/>
      <c r="AG598" s="23"/>
      <c r="AI598" s="26"/>
      <c r="AJ598" s="23"/>
      <c r="AM598" s="23"/>
      <c r="AO598" s="32"/>
      <c r="AP598" s="26"/>
      <c r="AR598" s="26"/>
      <c r="AS598" s="27"/>
      <c r="AT598" s="27"/>
      <c r="AU598" s="31"/>
      <c r="AV598" s="24"/>
      <c r="AW598"/>
      <c r="AX598"/>
      <c r="AY598"/>
      <c r="AZ598"/>
      <c r="BA598"/>
      <c r="BB598"/>
      <c r="BC598"/>
      <c r="BD598"/>
      <c r="BE598"/>
      <c r="BF598"/>
      <c r="BG598"/>
    </row>
    <row r="599" spans="2:59" x14ac:dyDescent="0.25">
      <c r="B599" s="22"/>
      <c r="C599" s="23"/>
      <c r="E599" s="23"/>
      <c r="F599" s="24"/>
      <c r="G599" s="2"/>
      <c r="H599" s="10" t="e">
        <f>_xlfn.XLOOKUP(F599,Viloyatlar24[RegionName],Viloyatlar24[RegionId])</f>
        <v>#N/A</v>
      </c>
      <c r="I599" s="10" t="e">
        <f>_xlfn.XLOOKUP('Кўчмас мулк объектлари'!G599,Tumanlar23[DistrictName],Tumanlar23[DistrictId])</f>
        <v>#N/A</v>
      </c>
      <c r="K599" s="24"/>
      <c r="L599" s="10" t="e">
        <f>_xlfn.XLOOKUP(K599,Ташкилотлар39[Ташкилотлар],Ташкилотлар39[TashklilotID])</f>
        <v>#N/A</v>
      </c>
      <c r="M599" s="26"/>
      <c r="N599" s="26"/>
      <c r="O599" s="24"/>
      <c r="P599" s="2"/>
      <c r="Q599" s="26"/>
      <c r="R599" s="26"/>
      <c r="S599" s="26"/>
      <c r="T599" s="26"/>
      <c r="U599" s="24"/>
      <c r="V599" s="10" t="e">
        <f>_xlfn.XLOOKUP(U599,Таклифлар37[Таклифлар],Таклифлар37[TaklifID])</f>
        <v>#N/A</v>
      </c>
      <c r="W599" s="24"/>
      <c r="X599" s="23"/>
      <c r="Y599" s="7"/>
      <c r="Z599" s="26"/>
      <c r="AB599" s="23"/>
      <c r="AD599" s="2"/>
      <c r="AG599" s="23"/>
      <c r="AI599" s="26"/>
      <c r="AJ599" s="23"/>
      <c r="AM599" s="23"/>
      <c r="AO599" s="32"/>
      <c r="AP599" s="26"/>
      <c r="AR599" s="26"/>
      <c r="AS599" s="27"/>
      <c r="AT599" s="27"/>
      <c r="AU599" s="31"/>
      <c r="AV599" s="24"/>
      <c r="AW599"/>
      <c r="AX599"/>
      <c r="AY599"/>
      <c r="AZ599"/>
      <c r="BA599"/>
      <c r="BB599"/>
      <c r="BC599"/>
      <c r="BD599"/>
      <c r="BE599"/>
      <c r="BF599"/>
      <c r="BG599"/>
    </row>
    <row r="600" spans="2:59" x14ac:dyDescent="0.25">
      <c r="B600" s="22"/>
      <c r="C600" s="23"/>
      <c r="E600" s="23"/>
      <c r="F600" s="24"/>
      <c r="G600" s="2"/>
      <c r="H600" s="10" t="e">
        <f>_xlfn.XLOOKUP(F600,Viloyatlar24[RegionName],Viloyatlar24[RegionId])</f>
        <v>#N/A</v>
      </c>
      <c r="I600" s="10" t="e">
        <f>_xlfn.XLOOKUP('Кўчмас мулк объектлари'!G600,Tumanlar23[DistrictName],Tumanlar23[DistrictId])</f>
        <v>#N/A</v>
      </c>
      <c r="K600" s="24"/>
      <c r="L600" s="10" t="e">
        <f>_xlfn.XLOOKUP(K600,Ташкилотлар39[Ташкилотлар],Ташкилотлар39[TashklilotID])</f>
        <v>#N/A</v>
      </c>
      <c r="M600" s="26"/>
      <c r="N600" s="26"/>
      <c r="O600" s="24"/>
      <c r="P600" s="2"/>
      <c r="Q600" s="26"/>
      <c r="R600" s="26"/>
      <c r="S600" s="26"/>
      <c r="T600" s="26"/>
      <c r="U600" s="24"/>
      <c r="V600" s="10" t="e">
        <f>_xlfn.XLOOKUP(U600,Таклифлар37[Таклифлар],Таклифлар37[TaklifID])</f>
        <v>#N/A</v>
      </c>
      <c r="W600" s="24"/>
      <c r="X600" s="23"/>
      <c r="Y600" s="7"/>
      <c r="Z600" s="26"/>
      <c r="AB600" s="23"/>
      <c r="AD600" s="2"/>
      <c r="AG600" s="23"/>
      <c r="AI600" s="26"/>
      <c r="AJ600" s="23"/>
      <c r="AM600" s="23"/>
      <c r="AO600" s="32"/>
      <c r="AP600" s="26"/>
      <c r="AR600" s="26"/>
      <c r="AS600" s="27"/>
      <c r="AT600" s="27"/>
      <c r="AU600" s="31"/>
      <c r="AV600" s="24"/>
      <c r="AW600"/>
      <c r="AX600"/>
      <c r="AY600"/>
      <c r="AZ600"/>
      <c r="BA600"/>
      <c r="BB600"/>
      <c r="BC600"/>
      <c r="BD600"/>
      <c r="BE600"/>
      <c r="BF600"/>
      <c r="BG600"/>
    </row>
    <row r="601" spans="2:59" x14ac:dyDescent="0.25">
      <c r="B601" s="22"/>
      <c r="C601" s="23"/>
      <c r="E601" s="23"/>
      <c r="F601" s="24"/>
      <c r="G601" s="2"/>
      <c r="H601" s="10" t="e">
        <f>_xlfn.XLOOKUP(F601,Viloyatlar24[RegionName],Viloyatlar24[RegionId])</f>
        <v>#N/A</v>
      </c>
      <c r="I601" s="10" t="e">
        <f>_xlfn.XLOOKUP('Кўчмас мулк объектлари'!G601,Tumanlar23[DistrictName],Tumanlar23[DistrictId])</f>
        <v>#N/A</v>
      </c>
      <c r="K601" s="24"/>
      <c r="L601" s="10" t="e">
        <f>_xlfn.XLOOKUP(K601,Ташкилотлар39[Ташкилотлар],Ташкилотлар39[TashklilotID])</f>
        <v>#N/A</v>
      </c>
      <c r="M601" s="26"/>
      <c r="N601" s="26"/>
      <c r="O601" s="24"/>
      <c r="P601" s="2"/>
      <c r="Q601" s="26"/>
      <c r="R601" s="26"/>
      <c r="S601" s="26"/>
      <c r="T601" s="26"/>
      <c r="U601" s="24"/>
      <c r="V601" s="10" t="e">
        <f>_xlfn.XLOOKUP(U601,Таклифлар37[Таклифлар],Таклифлар37[TaklifID])</f>
        <v>#N/A</v>
      </c>
      <c r="W601" s="24"/>
      <c r="X601" s="23"/>
      <c r="Y601" s="7"/>
      <c r="Z601" s="26"/>
      <c r="AB601" s="23"/>
      <c r="AD601" s="2"/>
      <c r="AG601" s="23"/>
      <c r="AI601" s="26"/>
      <c r="AJ601" s="23"/>
      <c r="AM601" s="23"/>
      <c r="AO601" s="32"/>
      <c r="AP601" s="26"/>
      <c r="AR601" s="26"/>
      <c r="AS601" s="27"/>
      <c r="AT601" s="27"/>
      <c r="AU601" s="31"/>
      <c r="AV601" s="24"/>
      <c r="AW601"/>
      <c r="AX601"/>
      <c r="AY601"/>
      <c r="AZ601"/>
      <c r="BA601"/>
      <c r="BB601"/>
      <c r="BC601"/>
      <c r="BD601"/>
      <c r="BE601"/>
      <c r="BF601"/>
      <c r="BG601"/>
    </row>
    <row r="602" spans="2:59" x14ac:dyDescent="0.25">
      <c r="B602" s="22"/>
      <c r="C602" s="23"/>
      <c r="E602" s="23"/>
      <c r="F602" s="24"/>
      <c r="G602" s="2"/>
      <c r="H602" s="10" t="e">
        <f>_xlfn.XLOOKUP(F602,Viloyatlar24[RegionName],Viloyatlar24[RegionId])</f>
        <v>#N/A</v>
      </c>
      <c r="I602" s="10" t="e">
        <f>_xlfn.XLOOKUP('Кўчмас мулк объектлари'!G602,Tumanlar23[DistrictName],Tumanlar23[DistrictId])</f>
        <v>#N/A</v>
      </c>
      <c r="K602" s="24"/>
      <c r="L602" s="10" t="e">
        <f>_xlfn.XLOOKUP(K602,Ташкилотлар39[Ташкилотлар],Ташкилотлар39[TashklilotID])</f>
        <v>#N/A</v>
      </c>
      <c r="M602" s="26"/>
      <c r="N602" s="26"/>
      <c r="O602" s="24"/>
      <c r="P602" s="2"/>
      <c r="Q602" s="26"/>
      <c r="R602" s="26"/>
      <c r="S602" s="26"/>
      <c r="T602" s="26"/>
      <c r="U602" s="24"/>
      <c r="V602" s="10" t="e">
        <f>_xlfn.XLOOKUP(U602,Таклифлар37[Таклифлар],Таклифлар37[TaklifID])</f>
        <v>#N/A</v>
      </c>
      <c r="W602" s="24"/>
      <c r="X602" s="23"/>
      <c r="Y602" s="7"/>
      <c r="Z602" s="26"/>
      <c r="AB602" s="23"/>
      <c r="AD602" s="2"/>
      <c r="AG602" s="23"/>
      <c r="AI602" s="26"/>
      <c r="AJ602" s="23"/>
      <c r="AM602" s="23"/>
      <c r="AO602" s="32"/>
      <c r="AP602" s="26"/>
      <c r="AR602" s="26"/>
      <c r="AS602" s="27"/>
      <c r="AT602" s="27"/>
      <c r="AU602" s="31"/>
      <c r="AV602" s="24"/>
      <c r="AW602"/>
      <c r="AX602"/>
      <c r="AY602"/>
      <c r="AZ602"/>
      <c r="BA602"/>
      <c r="BB602"/>
      <c r="BC602"/>
      <c r="BD602"/>
      <c r="BE602"/>
      <c r="BF602"/>
      <c r="BG602"/>
    </row>
    <row r="603" spans="2:59" x14ac:dyDescent="0.25">
      <c r="B603" s="22"/>
      <c r="C603" s="23"/>
      <c r="E603" s="23"/>
      <c r="F603" s="24"/>
      <c r="G603" s="2"/>
      <c r="H603" s="10" t="e">
        <f>_xlfn.XLOOKUP(F603,Viloyatlar24[RegionName],Viloyatlar24[RegionId])</f>
        <v>#N/A</v>
      </c>
      <c r="I603" s="10" t="e">
        <f>_xlfn.XLOOKUP('Кўчмас мулк объектлари'!G603,Tumanlar23[DistrictName],Tumanlar23[DistrictId])</f>
        <v>#N/A</v>
      </c>
      <c r="K603" s="24"/>
      <c r="L603" s="10" t="e">
        <f>_xlfn.XLOOKUP(K603,Ташкилотлар39[Ташкилотлар],Ташкилотлар39[TashklilotID])</f>
        <v>#N/A</v>
      </c>
      <c r="M603" s="26"/>
      <c r="N603" s="26"/>
      <c r="O603" s="24"/>
      <c r="P603" s="2"/>
      <c r="Q603" s="26"/>
      <c r="R603" s="26"/>
      <c r="S603" s="26"/>
      <c r="T603" s="26"/>
      <c r="U603" s="24"/>
      <c r="V603" s="10" t="e">
        <f>_xlfn.XLOOKUP(U603,Таклифлар37[Таклифлар],Таклифлар37[TaklifID])</f>
        <v>#N/A</v>
      </c>
      <c r="W603" s="24"/>
      <c r="X603" s="23"/>
      <c r="Y603" s="7"/>
      <c r="Z603" s="26"/>
      <c r="AB603" s="23"/>
      <c r="AD603" s="2"/>
      <c r="AG603" s="23"/>
      <c r="AI603" s="26"/>
      <c r="AJ603" s="23"/>
      <c r="AM603" s="23"/>
      <c r="AO603" s="32"/>
      <c r="AP603" s="26"/>
      <c r="AR603" s="26"/>
      <c r="AS603" s="27"/>
      <c r="AT603" s="27"/>
      <c r="AU603" s="31"/>
      <c r="AV603" s="24"/>
      <c r="AW603"/>
      <c r="AX603"/>
      <c r="AY603"/>
      <c r="AZ603"/>
      <c r="BA603"/>
      <c r="BB603"/>
      <c r="BC603"/>
      <c r="BD603"/>
      <c r="BE603"/>
      <c r="BF603"/>
      <c r="BG603"/>
    </row>
    <row r="604" spans="2:59" x14ac:dyDescent="0.25">
      <c r="B604" s="22"/>
      <c r="C604" s="23"/>
      <c r="E604" s="23"/>
      <c r="F604" s="24"/>
      <c r="G604" s="2"/>
      <c r="H604" s="10" t="e">
        <f>_xlfn.XLOOKUP(F604,Viloyatlar24[RegionName],Viloyatlar24[RegionId])</f>
        <v>#N/A</v>
      </c>
      <c r="I604" s="10" t="e">
        <f>_xlfn.XLOOKUP('Кўчмас мулк объектлари'!G604,Tumanlar23[DistrictName],Tumanlar23[DistrictId])</f>
        <v>#N/A</v>
      </c>
      <c r="K604" s="24"/>
      <c r="L604" s="10" t="e">
        <f>_xlfn.XLOOKUP(K604,Ташкилотлар39[Ташкилотлар],Ташкилотлар39[TashklilotID])</f>
        <v>#N/A</v>
      </c>
      <c r="M604" s="26"/>
      <c r="N604" s="26"/>
      <c r="O604" s="24"/>
      <c r="P604" s="2"/>
      <c r="Q604" s="26"/>
      <c r="R604" s="26"/>
      <c r="S604" s="26"/>
      <c r="T604" s="26"/>
      <c r="U604" s="24"/>
      <c r="V604" s="10" t="e">
        <f>_xlfn.XLOOKUP(U604,Таклифлар37[Таклифлар],Таклифлар37[TaklifID])</f>
        <v>#N/A</v>
      </c>
      <c r="W604" s="24"/>
      <c r="X604" s="23"/>
      <c r="Y604" s="7"/>
      <c r="Z604" s="26"/>
      <c r="AB604" s="23"/>
      <c r="AD604" s="2"/>
      <c r="AG604" s="23"/>
      <c r="AI604" s="26"/>
      <c r="AJ604" s="23"/>
      <c r="AM604" s="23"/>
      <c r="AO604" s="32"/>
      <c r="AP604" s="26"/>
      <c r="AR604" s="26"/>
      <c r="AS604" s="27"/>
      <c r="AT604" s="27"/>
      <c r="AU604" s="31"/>
      <c r="AV604" s="24"/>
      <c r="AW604"/>
      <c r="AX604"/>
      <c r="AY604"/>
      <c r="AZ604"/>
      <c r="BA604"/>
      <c r="BB604"/>
      <c r="BC604"/>
      <c r="BD604"/>
      <c r="BE604"/>
      <c r="BF604"/>
      <c r="BG604"/>
    </row>
    <row r="605" spans="2:59" x14ac:dyDescent="0.25">
      <c r="B605" s="22"/>
      <c r="C605" s="23"/>
      <c r="E605" s="23"/>
      <c r="F605" s="24"/>
      <c r="G605" s="2"/>
      <c r="H605" s="10" t="e">
        <f>_xlfn.XLOOKUP(F605,Viloyatlar24[RegionName],Viloyatlar24[RegionId])</f>
        <v>#N/A</v>
      </c>
      <c r="I605" s="10" t="e">
        <f>_xlfn.XLOOKUP('Кўчмас мулк объектлари'!G605,Tumanlar23[DistrictName],Tumanlar23[DistrictId])</f>
        <v>#N/A</v>
      </c>
      <c r="K605" s="24"/>
      <c r="L605" s="10" t="e">
        <f>_xlfn.XLOOKUP(K605,Ташкилотлар39[Ташкилотлар],Ташкилотлар39[TashklilotID])</f>
        <v>#N/A</v>
      </c>
      <c r="M605" s="26"/>
      <c r="N605" s="26"/>
      <c r="O605" s="24"/>
      <c r="P605" s="2"/>
      <c r="Q605" s="26"/>
      <c r="R605" s="26"/>
      <c r="S605" s="26"/>
      <c r="T605" s="26"/>
      <c r="U605" s="24"/>
      <c r="V605" s="10" t="e">
        <f>_xlfn.XLOOKUP(U605,Таклифлар37[Таклифлар],Таклифлар37[TaklifID])</f>
        <v>#N/A</v>
      </c>
      <c r="W605" s="24"/>
      <c r="X605" s="23"/>
      <c r="Y605" s="7"/>
      <c r="Z605" s="26"/>
      <c r="AB605" s="23"/>
      <c r="AD605" s="2"/>
      <c r="AG605" s="23"/>
      <c r="AI605" s="26"/>
      <c r="AJ605" s="23"/>
      <c r="AM605" s="23"/>
      <c r="AO605" s="32"/>
      <c r="AP605" s="26"/>
      <c r="AR605" s="26"/>
      <c r="AS605" s="27"/>
      <c r="AT605" s="27"/>
      <c r="AU605" s="31"/>
      <c r="AV605" s="24"/>
      <c r="AW605"/>
      <c r="AX605"/>
      <c r="AY605"/>
      <c r="AZ605"/>
      <c r="BA605"/>
      <c r="BB605"/>
      <c r="BC605"/>
      <c r="BD605"/>
      <c r="BE605"/>
      <c r="BF605"/>
      <c r="BG605"/>
    </row>
    <row r="606" spans="2:59" x14ac:dyDescent="0.25">
      <c r="B606" s="22"/>
      <c r="C606" s="23"/>
      <c r="E606" s="23"/>
      <c r="F606" s="24"/>
      <c r="G606" s="2"/>
      <c r="H606" s="10" t="e">
        <f>_xlfn.XLOOKUP(F606,Viloyatlar24[RegionName],Viloyatlar24[RegionId])</f>
        <v>#N/A</v>
      </c>
      <c r="I606" s="10" t="e">
        <f>_xlfn.XLOOKUP('Кўчмас мулк объектлари'!G606,Tumanlar23[DistrictName],Tumanlar23[DistrictId])</f>
        <v>#N/A</v>
      </c>
      <c r="K606" s="24"/>
      <c r="L606" s="10" t="e">
        <f>_xlfn.XLOOKUP(K606,Ташкилотлар39[Ташкилотлар],Ташкилотлар39[TashklilotID])</f>
        <v>#N/A</v>
      </c>
      <c r="M606" s="26"/>
      <c r="N606" s="26"/>
      <c r="O606" s="24"/>
      <c r="P606" s="2"/>
      <c r="Q606" s="26"/>
      <c r="R606" s="26"/>
      <c r="S606" s="26"/>
      <c r="T606" s="26"/>
      <c r="U606" s="24"/>
      <c r="V606" s="10" t="e">
        <f>_xlfn.XLOOKUP(U606,Таклифлар37[Таклифлар],Таклифлар37[TaklifID])</f>
        <v>#N/A</v>
      </c>
      <c r="W606" s="24"/>
      <c r="X606" s="23"/>
      <c r="Y606" s="7"/>
      <c r="Z606" s="26"/>
      <c r="AB606" s="23"/>
      <c r="AD606" s="2"/>
      <c r="AG606" s="23"/>
      <c r="AI606" s="26"/>
      <c r="AJ606" s="23"/>
      <c r="AM606" s="23"/>
      <c r="AO606" s="32"/>
      <c r="AP606" s="26"/>
      <c r="AR606" s="26"/>
      <c r="AS606" s="27"/>
      <c r="AT606" s="27"/>
      <c r="AU606" s="31"/>
      <c r="AV606" s="24"/>
      <c r="AW606"/>
      <c r="AX606"/>
      <c r="AY606"/>
      <c r="AZ606"/>
      <c r="BA606"/>
      <c r="BB606"/>
      <c r="BC606"/>
      <c r="BD606"/>
      <c r="BE606"/>
      <c r="BF606"/>
      <c r="BG606"/>
    </row>
    <row r="607" spans="2:59" x14ac:dyDescent="0.25">
      <c r="B607" s="22"/>
      <c r="C607" s="23"/>
      <c r="E607" s="23"/>
      <c r="F607" s="24"/>
      <c r="G607" s="2"/>
      <c r="H607" s="10" t="e">
        <f>_xlfn.XLOOKUP(F607,Viloyatlar24[RegionName],Viloyatlar24[RegionId])</f>
        <v>#N/A</v>
      </c>
      <c r="I607" s="10" t="e">
        <f>_xlfn.XLOOKUP('Кўчмас мулк объектлари'!G607,Tumanlar23[DistrictName],Tumanlar23[DistrictId])</f>
        <v>#N/A</v>
      </c>
      <c r="K607" s="24"/>
      <c r="L607" s="10" t="e">
        <f>_xlfn.XLOOKUP(K607,Ташкилотлар39[Ташкилотлар],Ташкилотлар39[TashklilotID])</f>
        <v>#N/A</v>
      </c>
      <c r="M607" s="26"/>
      <c r="N607" s="26"/>
      <c r="O607" s="24"/>
      <c r="P607" s="2"/>
      <c r="Q607" s="26"/>
      <c r="R607" s="26"/>
      <c r="S607" s="26"/>
      <c r="T607" s="26"/>
      <c r="U607" s="24"/>
      <c r="V607" s="10" t="e">
        <f>_xlfn.XLOOKUP(U607,Таклифлар37[Таклифлар],Таклифлар37[TaklifID])</f>
        <v>#N/A</v>
      </c>
      <c r="W607" s="24"/>
      <c r="X607" s="23"/>
      <c r="Y607" s="7"/>
      <c r="Z607" s="26"/>
      <c r="AB607" s="23"/>
      <c r="AD607" s="2"/>
      <c r="AG607" s="23"/>
      <c r="AI607" s="26"/>
      <c r="AJ607" s="23"/>
      <c r="AM607" s="23"/>
      <c r="AO607" s="32"/>
      <c r="AP607" s="26"/>
      <c r="AR607" s="26"/>
      <c r="AS607" s="27"/>
      <c r="AT607" s="27"/>
      <c r="AU607" s="31"/>
      <c r="AV607" s="24"/>
      <c r="AW607"/>
      <c r="AX607"/>
      <c r="AY607"/>
      <c r="AZ607"/>
      <c r="BA607"/>
      <c r="BB607"/>
      <c r="BC607"/>
      <c r="BD607"/>
      <c r="BE607"/>
      <c r="BF607"/>
      <c r="BG607"/>
    </row>
    <row r="608" spans="2:59" x14ac:dyDescent="0.25">
      <c r="B608" s="22"/>
      <c r="C608" s="23"/>
      <c r="E608" s="23"/>
      <c r="F608" s="24"/>
      <c r="G608" s="2"/>
      <c r="H608" s="10" t="e">
        <f>_xlfn.XLOOKUP(F608,Viloyatlar24[RegionName],Viloyatlar24[RegionId])</f>
        <v>#N/A</v>
      </c>
      <c r="I608" s="10" t="e">
        <f>_xlfn.XLOOKUP('Кўчмас мулк объектлари'!G608,Tumanlar23[DistrictName],Tumanlar23[DistrictId])</f>
        <v>#N/A</v>
      </c>
      <c r="K608" s="24"/>
      <c r="L608" s="10" t="e">
        <f>_xlfn.XLOOKUP(K608,Ташкилотлар39[Ташкилотлар],Ташкилотлар39[TashklilotID])</f>
        <v>#N/A</v>
      </c>
      <c r="M608" s="26"/>
      <c r="N608" s="26"/>
      <c r="O608" s="24"/>
      <c r="P608" s="2"/>
      <c r="Q608" s="26"/>
      <c r="R608" s="26"/>
      <c r="S608" s="26"/>
      <c r="T608" s="26"/>
      <c r="U608" s="24"/>
      <c r="V608" s="10" t="e">
        <f>_xlfn.XLOOKUP(U608,Таклифлар37[Таклифлар],Таклифлар37[TaklifID])</f>
        <v>#N/A</v>
      </c>
      <c r="W608" s="24"/>
      <c r="X608" s="23"/>
      <c r="Y608" s="7"/>
      <c r="Z608" s="26"/>
      <c r="AB608" s="23"/>
      <c r="AD608" s="2"/>
      <c r="AG608" s="23"/>
      <c r="AI608" s="26"/>
      <c r="AJ608" s="23"/>
      <c r="AM608" s="23"/>
      <c r="AO608" s="32"/>
      <c r="AP608" s="26"/>
      <c r="AR608" s="26"/>
      <c r="AS608" s="27"/>
      <c r="AT608" s="27"/>
      <c r="AU608" s="31"/>
      <c r="AV608" s="24"/>
      <c r="AW608"/>
      <c r="AX608"/>
      <c r="AY608"/>
      <c r="AZ608"/>
      <c r="BA608"/>
      <c r="BB608"/>
      <c r="BC608"/>
      <c r="BD608"/>
      <c r="BE608"/>
      <c r="BF608"/>
      <c r="BG608"/>
    </row>
    <row r="609" spans="2:59" x14ac:dyDescent="0.25">
      <c r="B609" s="22"/>
      <c r="C609" s="23"/>
      <c r="E609" s="23"/>
      <c r="F609" s="24"/>
      <c r="G609" s="2"/>
      <c r="H609" s="10" t="e">
        <f>_xlfn.XLOOKUP(F609,Viloyatlar24[RegionName],Viloyatlar24[RegionId])</f>
        <v>#N/A</v>
      </c>
      <c r="I609" s="10" t="e">
        <f>_xlfn.XLOOKUP('Кўчмас мулк объектлари'!G609,Tumanlar23[DistrictName],Tumanlar23[DistrictId])</f>
        <v>#N/A</v>
      </c>
      <c r="K609" s="24"/>
      <c r="L609" s="10" t="e">
        <f>_xlfn.XLOOKUP(K609,Ташкилотлар39[Ташкилотлар],Ташкилотлар39[TashklilotID])</f>
        <v>#N/A</v>
      </c>
      <c r="M609" s="26"/>
      <c r="N609" s="26"/>
      <c r="O609" s="24"/>
      <c r="P609" s="2"/>
      <c r="Q609" s="26"/>
      <c r="R609" s="26"/>
      <c r="S609" s="26"/>
      <c r="T609" s="26"/>
      <c r="U609" s="24"/>
      <c r="V609" s="10" t="e">
        <f>_xlfn.XLOOKUP(U609,Таклифлар37[Таклифлар],Таклифлар37[TaklifID])</f>
        <v>#N/A</v>
      </c>
      <c r="W609" s="24"/>
      <c r="X609" s="23"/>
      <c r="Y609" s="7"/>
      <c r="Z609" s="26"/>
      <c r="AB609" s="23"/>
      <c r="AD609" s="2"/>
      <c r="AG609" s="23"/>
      <c r="AI609" s="26"/>
      <c r="AJ609" s="23"/>
      <c r="AM609" s="23"/>
      <c r="AO609" s="32"/>
      <c r="AP609" s="26"/>
      <c r="AR609" s="26"/>
      <c r="AS609" s="27"/>
      <c r="AT609" s="27"/>
      <c r="AU609" s="31"/>
      <c r="AV609" s="24"/>
      <c r="AW609"/>
      <c r="AX609"/>
      <c r="AY609"/>
      <c r="AZ609"/>
      <c r="BA609"/>
      <c r="BB609"/>
      <c r="BC609"/>
      <c r="BD609"/>
      <c r="BE609"/>
      <c r="BF609"/>
      <c r="BG609"/>
    </row>
    <row r="610" spans="2:59" x14ac:dyDescent="0.25">
      <c r="B610" s="22"/>
      <c r="C610" s="23"/>
      <c r="E610" s="23"/>
      <c r="F610" s="24"/>
      <c r="G610" s="2"/>
      <c r="H610" s="10" t="e">
        <f>_xlfn.XLOOKUP(F610,Viloyatlar24[RegionName],Viloyatlar24[RegionId])</f>
        <v>#N/A</v>
      </c>
      <c r="I610" s="10" t="e">
        <f>_xlfn.XLOOKUP('Кўчмас мулк объектлари'!G610,Tumanlar23[DistrictName],Tumanlar23[DistrictId])</f>
        <v>#N/A</v>
      </c>
      <c r="K610" s="24"/>
      <c r="L610" s="10" t="e">
        <f>_xlfn.XLOOKUP(K610,Ташкилотлар39[Ташкилотлар],Ташкилотлар39[TashklilotID])</f>
        <v>#N/A</v>
      </c>
      <c r="M610" s="26"/>
      <c r="N610" s="26"/>
      <c r="O610" s="24"/>
      <c r="P610" s="2"/>
      <c r="Q610" s="26"/>
      <c r="R610" s="26"/>
      <c r="S610" s="26"/>
      <c r="T610" s="26"/>
      <c r="U610" s="24"/>
      <c r="V610" s="10" t="e">
        <f>_xlfn.XLOOKUP(U610,Таклифлар37[Таклифлар],Таклифлар37[TaklifID])</f>
        <v>#N/A</v>
      </c>
      <c r="W610" s="24"/>
      <c r="X610" s="23"/>
      <c r="Y610" s="7"/>
      <c r="Z610" s="26"/>
      <c r="AB610" s="23"/>
      <c r="AD610" s="2"/>
      <c r="AG610" s="23"/>
      <c r="AI610" s="26"/>
      <c r="AJ610" s="23"/>
      <c r="AM610" s="23"/>
      <c r="AO610" s="32"/>
      <c r="AP610" s="26"/>
      <c r="AR610" s="26"/>
      <c r="AS610" s="27"/>
      <c r="AT610" s="27"/>
      <c r="AU610" s="31"/>
      <c r="AV610" s="24"/>
      <c r="AW610"/>
      <c r="AX610"/>
      <c r="AY610"/>
      <c r="AZ610"/>
      <c r="BA610"/>
      <c r="BB610"/>
      <c r="BC610"/>
      <c r="BD610"/>
      <c r="BE610"/>
      <c r="BF610"/>
      <c r="BG610"/>
    </row>
    <row r="611" spans="2:59" x14ac:dyDescent="0.25">
      <c r="B611" s="22"/>
      <c r="C611" s="23"/>
      <c r="E611" s="23"/>
      <c r="F611" s="24"/>
      <c r="G611" s="2"/>
      <c r="H611" s="10" t="e">
        <f>_xlfn.XLOOKUP(F611,Viloyatlar24[RegionName],Viloyatlar24[RegionId])</f>
        <v>#N/A</v>
      </c>
      <c r="I611" s="10" t="e">
        <f>_xlfn.XLOOKUP('Кўчмас мулк объектлари'!G611,Tumanlar23[DistrictName],Tumanlar23[DistrictId])</f>
        <v>#N/A</v>
      </c>
      <c r="K611" s="24"/>
      <c r="L611" s="10" t="e">
        <f>_xlfn.XLOOKUP(K611,Ташкилотлар39[Ташкилотлар],Ташкилотлар39[TashklilotID])</f>
        <v>#N/A</v>
      </c>
      <c r="M611" s="26"/>
      <c r="N611" s="26"/>
      <c r="O611" s="24"/>
      <c r="P611" s="2"/>
      <c r="Q611" s="26"/>
      <c r="R611" s="26"/>
      <c r="S611" s="26"/>
      <c r="T611" s="26"/>
      <c r="U611" s="24"/>
      <c r="V611" s="10" t="e">
        <f>_xlfn.XLOOKUP(U611,Таклифлар37[Таклифлар],Таклифлар37[TaklifID])</f>
        <v>#N/A</v>
      </c>
      <c r="W611" s="24"/>
      <c r="X611" s="23"/>
      <c r="Y611" s="7"/>
      <c r="Z611" s="26"/>
      <c r="AB611" s="23"/>
      <c r="AD611" s="2"/>
      <c r="AG611" s="23"/>
      <c r="AI611" s="26"/>
      <c r="AJ611" s="23"/>
      <c r="AM611" s="23"/>
      <c r="AO611" s="32"/>
      <c r="AP611" s="26"/>
      <c r="AR611" s="26"/>
      <c r="AS611" s="27"/>
      <c r="AT611" s="27"/>
      <c r="AU611" s="31"/>
      <c r="AV611" s="24"/>
      <c r="AW611"/>
      <c r="AX611"/>
      <c r="AY611"/>
      <c r="AZ611"/>
      <c r="BA611"/>
      <c r="BB611"/>
      <c r="BC611"/>
      <c r="BD611"/>
      <c r="BE611"/>
      <c r="BF611"/>
      <c r="BG611"/>
    </row>
    <row r="612" spans="2:59" x14ac:dyDescent="0.25">
      <c r="B612" s="22"/>
      <c r="C612" s="23"/>
      <c r="E612" s="23"/>
      <c r="F612" s="24"/>
      <c r="G612" s="2"/>
      <c r="H612" s="10" t="e">
        <f>_xlfn.XLOOKUP(F612,Viloyatlar24[RegionName],Viloyatlar24[RegionId])</f>
        <v>#N/A</v>
      </c>
      <c r="I612" s="10" t="e">
        <f>_xlfn.XLOOKUP('Кўчмас мулк объектлари'!G612,Tumanlar23[DistrictName],Tumanlar23[DistrictId])</f>
        <v>#N/A</v>
      </c>
      <c r="K612" s="24"/>
      <c r="L612" s="10" t="e">
        <f>_xlfn.XLOOKUP(K612,Ташкилотлар39[Ташкилотлар],Ташкилотлар39[TashklilotID])</f>
        <v>#N/A</v>
      </c>
      <c r="M612" s="26"/>
      <c r="N612" s="26"/>
      <c r="O612" s="24"/>
      <c r="P612" s="2"/>
      <c r="Q612" s="26"/>
      <c r="R612" s="26"/>
      <c r="S612" s="26"/>
      <c r="T612" s="26"/>
      <c r="U612" s="24"/>
      <c r="V612" s="10" t="e">
        <f>_xlfn.XLOOKUP(U612,Таклифлар37[Таклифлар],Таклифлар37[TaklifID])</f>
        <v>#N/A</v>
      </c>
      <c r="W612" s="24"/>
      <c r="X612" s="23"/>
      <c r="Y612" s="7"/>
      <c r="Z612" s="26"/>
      <c r="AB612" s="23"/>
      <c r="AD612" s="2"/>
      <c r="AG612" s="23"/>
      <c r="AI612" s="26"/>
      <c r="AJ612" s="23"/>
      <c r="AM612" s="23"/>
      <c r="AO612" s="32"/>
      <c r="AP612" s="26"/>
      <c r="AR612" s="26"/>
      <c r="AS612" s="27"/>
      <c r="AT612" s="27"/>
      <c r="AU612" s="31"/>
      <c r="AV612" s="24"/>
      <c r="AW612"/>
      <c r="AX612"/>
      <c r="AY612"/>
      <c r="AZ612"/>
      <c r="BA612"/>
      <c r="BB612"/>
      <c r="BC612"/>
      <c r="BD612"/>
      <c r="BE612"/>
      <c r="BF612"/>
      <c r="BG612"/>
    </row>
    <row r="613" spans="2:59" x14ac:dyDescent="0.25">
      <c r="B613" s="22"/>
      <c r="C613" s="23"/>
      <c r="E613" s="23"/>
      <c r="F613" s="24"/>
      <c r="G613" s="2"/>
      <c r="H613" s="10" t="e">
        <f>_xlfn.XLOOKUP(F613,Viloyatlar24[RegionName],Viloyatlar24[RegionId])</f>
        <v>#N/A</v>
      </c>
      <c r="I613" s="10" t="e">
        <f>_xlfn.XLOOKUP('Кўчмас мулк объектлари'!G613,Tumanlar23[DistrictName],Tumanlar23[DistrictId])</f>
        <v>#N/A</v>
      </c>
      <c r="K613" s="24"/>
      <c r="L613" s="10" t="e">
        <f>_xlfn.XLOOKUP(K613,Ташкилотлар39[Ташкилотлар],Ташкилотлар39[TashklilotID])</f>
        <v>#N/A</v>
      </c>
      <c r="M613" s="26"/>
      <c r="N613" s="26"/>
      <c r="O613" s="24"/>
      <c r="P613" s="2"/>
      <c r="Q613" s="26"/>
      <c r="R613" s="26"/>
      <c r="S613" s="26"/>
      <c r="T613" s="26"/>
      <c r="U613" s="24"/>
      <c r="V613" s="10" t="e">
        <f>_xlfn.XLOOKUP(U613,Таклифлар37[Таклифлар],Таклифлар37[TaklifID])</f>
        <v>#N/A</v>
      </c>
      <c r="W613" s="24"/>
      <c r="X613" s="23"/>
      <c r="Y613" s="7"/>
      <c r="Z613" s="26"/>
      <c r="AB613" s="23"/>
      <c r="AD613" s="2"/>
      <c r="AG613" s="23"/>
      <c r="AI613" s="26"/>
      <c r="AJ613" s="23"/>
      <c r="AM613" s="23"/>
      <c r="AO613" s="32"/>
      <c r="AP613" s="26"/>
      <c r="AR613" s="26"/>
      <c r="AS613" s="27"/>
      <c r="AT613" s="27"/>
      <c r="AU613" s="31"/>
      <c r="AV613" s="24"/>
      <c r="AW613"/>
      <c r="AX613"/>
      <c r="AY613"/>
      <c r="AZ613"/>
      <c r="BA613"/>
      <c r="BB613"/>
      <c r="BC613"/>
      <c r="BD613"/>
      <c r="BE613"/>
      <c r="BF613"/>
      <c r="BG613"/>
    </row>
    <row r="614" spans="2:59" x14ac:dyDescent="0.25">
      <c r="B614" s="22"/>
      <c r="C614" s="23"/>
      <c r="E614" s="23"/>
      <c r="F614" s="24"/>
      <c r="G614" s="2"/>
      <c r="H614" s="10" t="e">
        <f>_xlfn.XLOOKUP(F614,Viloyatlar24[RegionName],Viloyatlar24[RegionId])</f>
        <v>#N/A</v>
      </c>
      <c r="I614" s="10" t="e">
        <f>_xlfn.XLOOKUP('Кўчмас мулк объектлари'!G614,Tumanlar23[DistrictName],Tumanlar23[DistrictId])</f>
        <v>#N/A</v>
      </c>
      <c r="K614" s="24"/>
      <c r="L614" s="10" t="e">
        <f>_xlfn.XLOOKUP(K614,Ташкилотлар39[Ташкилотлар],Ташкилотлар39[TashklilotID])</f>
        <v>#N/A</v>
      </c>
      <c r="M614" s="26"/>
      <c r="N614" s="26"/>
      <c r="O614" s="24"/>
      <c r="P614" s="2"/>
      <c r="Q614" s="26"/>
      <c r="R614" s="26"/>
      <c r="S614" s="26"/>
      <c r="T614" s="26"/>
      <c r="U614" s="24"/>
      <c r="V614" s="10" t="e">
        <f>_xlfn.XLOOKUP(U614,Таклифлар37[Таклифлар],Таклифлар37[TaklifID])</f>
        <v>#N/A</v>
      </c>
      <c r="W614" s="24"/>
      <c r="X614" s="23"/>
      <c r="Y614" s="7"/>
      <c r="Z614" s="26"/>
      <c r="AB614" s="23"/>
      <c r="AD614" s="2"/>
      <c r="AG614" s="23"/>
      <c r="AI614" s="26"/>
      <c r="AJ614" s="23"/>
      <c r="AM614" s="23"/>
      <c r="AO614" s="32"/>
      <c r="AP614" s="26"/>
      <c r="AR614" s="26"/>
      <c r="AS614" s="27"/>
      <c r="AT614" s="27"/>
      <c r="AU614" s="31"/>
      <c r="AV614" s="24"/>
      <c r="AW614"/>
      <c r="AX614"/>
      <c r="AY614"/>
      <c r="AZ614"/>
      <c r="BA614"/>
      <c r="BB614"/>
      <c r="BC614"/>
      <c r="BD614"/>
      <c r="BE614"/>
      <c r="BF614"/>
      <c r="BG614"/>
    </row>
    <row r="615" spans="2:59" x14ac:dyDescent="0.25">
      <c r="B615" s="22"/>
      <c r="C615" s="23"/>
      <c r="E615" s="23"/>
      <c r="F615" s="24"/>
      <c r="G615" s="2"/>
      <c r="H615" s="10" t="e">
        <f>_xlfn.XLOOKUP(F615,Viloyatlar24[RegionName],Viloyatlar24[RegionId])</f>
        <v>#N/A</v>
      </c>
      <c r="I615" s="10" t="e">
        <f>_xlfn.XLOOKUP('Кўчмас мулк объектлари'!G615,Tumanlar23[DistrictName],Tumanlar23[DistrictId])</f>
        <v>#N/A</v>
      </c>
      <c r="K615" s="24"/>
      <c r="L615" s="10" t="e">
        <f>_xlfn.XLOOKUP(K615,Ташкилотлар39[Ташкилотлар],Ташкилотлар39[TashklilotID])</f>
        <v>#N/A</v>
      </c>
      <c r="M615" s="26"/>
      <c r="N615" s="26"/>
      <c r="O615" s="24"/>
      <c r="P615" s="2"/>
      <c r="Q615" s="26"/>
      <c r="R615" s="26"/>
      <c r="S615" s="26"/>
      <c r="T615" s="26"/>
      <c r="U615" s="24"/>
      <c r="V615" s="10" t="e">
        <f>_xlfn.XLOOKUP(U615,Таклифлар37[Таклифлар],Таклифлар37[TaklifID])</f>
        <v>#N/A</v>
      </c>
      <c r="W615" s="24"/>
      <c r="X615" s="23"/>
      <c r="Y615" s="7"/>
      <c r="Z615" s="26"/>
      <c r="AB615" s="23"/>
      <c r="AD615" s="2"/>
      <c r="AG615" s="23"/>
      <c r="AI615" s="26"/>
      <c r="AJ615" s="23"/>
      <c r="AM615" s="23"/>
      <c r="AO615" s="32"/>
      <c r="AP615" s="26"/>
      <c r="AR615" s="26"/>
      <c r="AS615" s="27"/>
      <c r="AT615" s="27"/>
      <c r="AU615" s="31"/>
      <c r="AV615" s="24"/>
      <c r="AW615"/>
      <c r="AX615"/>
      <c r="AY615"/>
      <c r="AZ615"/>
      <c r="BA615"/>
      <c r="BB615"/>
      <c r="BC615"/>
      <c r="BD615"/>
      <c r="BE615"/>
      <c r="BF615"/>
      <c r="BG615"/>
    </row>
    <row r="616" spans="2:59" x14ac:dyDescent="0.25">
      <c r="B616" s="22"/>
      <c r="C616" s="23"/>
      <c r="E616" s="23"/>
      <c r="F616" s="24"/>
      <c r="G616" s="2"/>
      <c r="H616" s="10" t="e">
        <f>_xlfn.XLOOKUP(F616,Viloyatlar24[RegionName],Viloyatlar24[RegionId])</f>
        <v>#N/A</v>
      </c>
      <c r="I616" s="10" t="e">
        <f>_xlfn.XLOOKUP('Кўчмас мулк объектлари'!G616,Tumanlar23[DistrictName],Tumanlar23[DistrictId])</f>
        <v>#N/A</v>
      </c>
      <c r="K616" s="24"/>
      <c r="L616" s="10" t="e">
        <f>_xlfn.XLOOKUP(K616,Ташкилотлар39[Ташкилотлар],Ташкилотлар39[TashklilotID])</f>
        <v>#N/A</v>
      </c>
      <c r="M616" s="26"/>
      <c r="N616" s="26"/>
      <c r="O616" s="24"/>
      <c r="P616" s="2"/>
      <c r="Q616" s="26"/>
      <c r="R616" s="26"/>
      <c r="S616" s="26"/>
      <c r="T616" s="26"/>
      <c r="U616" s="24"/>
      <c r="V616" s="10" t="e">
        <f>_xlfn.XLOOKUP(U616,Таклифлар37[Таклифлар],Таклифлар37[TaklifID])</f>
        <v>#N/A</v>
      </c>
      <c r="W616" s="24"/>
      <c r="X616" s="23"/>
      <c r="Y616" s="7"/>
      <c r="Z616" s="26"/>
      <c r="AB616" s="23"/>
      <c r="AD616" s="2"/>
      <c r="AG616" s="23"/>
      <c r="AI616" s="26"/>
      <c r="AJ616" s="23"/>
      <c r="AM616" s="23"/>
      <c r="AO616" s="32"/>
      <c r="AP616" s="26"/>
      <c r="AR616" s="26"/>
      <c r="AS616" s="27"/>
      <c r="AT616" s="27"/>
      <c r="AU616" s="31"/>
      <c r="AV616" s="24"/>
      <c r="AW616"/>
      <c r="AX616"/>
      <c r="AY616"/>
      <c r="AZ616"/>
      <c r="BA616"/>
      <c r="BB616"/>
      <c r="BC616"/>
      <c r="BD616"/>
      <c r="BE616"/>
      <c r="BF616"/>
      <c r="BG616"/>
    </row>
    <row r="617" spans="2:59" x14ac:dyDescent="0.25">
      <c r="B617" s="22"/>
      <c r="C617" s="23"/>
      <c r="E617" s="23"/>
      <c r="F617" s="24"/>
      <c r="G617" s="2"/>
      <c r="H617" s="10" t="e">
        <f>_xlfn.XLOOKUP(F617,Viloyatlar24[RegionName],Viloyatlar24[RegionId])</f>
        <v>#N/A</v>
      </c>
      <c r="I617" s="10" t="e">
        <f>_xlfn.XLOOKUP('Кўчмас мулк объектлари'!G617,Tumanlar23[DistrictName],Tumanlar23[DistrictId])</f>
        <v>#N/A</v>
      </c>
      <c r="K617" s="24"/>
      <c r="L617" s="10" t="e">
        <f>_xlfn.XLOOKUP(K617,Ташкилотлар39[Ташкилотлар],Ташкилотлар39[TashklilotID])</f>
        <v>#N/A</v>
      </c>
      <c r="M617" s="26"/>
      <c r="N617" s="26"/>
      <c r="O617" s="24"/>
      <c r="P617" s="2"/>
      <c r="Q617" s="26"/>
      <c r="R617" s="26"/>
      <c r="S617" s="26"/>
      <c r="T617" s="26"/>
      <c r="U617" s="24"/>
      <c r="V617" s="10" t="e">
        <f>_xlfn.XLOOKUP(U617,Таклифлар37[Таклифлар],Таклифлар37[TaklifID])</f>
        <v>#N/A</v>
      </c>
      <c r="W617" s="24"/>
      <c r="X617" s="23"/>
      <c r="Y617" s="7"/>
      <c r="Z617" s="26"/>
      <c r="AB617" s="23"/>
      <c r="AD617" s="2"/>
      <c r="AG617" s="23"/>
      <c r="AI617" s="26"/>
      <c r="AJ617" s="23"/>
      <c r="AM617" s="23"/>
      <c r="AO617" s="32"/>
      <c r="AP617" s="26"/>
      <c r="AR617" s="26"/>
      <c r="AS617" s="27"/>
      <c r="AT617" s="27"/>
      <c r="AU617" s="31"/>
      <c r="AV617" s="24"/>
      <c r="AW617"/>
      <c r="AX617"/>
      <c r="AY617"/>
      <c r="AZ617"/>
      <c r="BA617"/>
      <c r="BB617"/>
      <c r="BC617"/>
      <c r="BD617"/>
      <c r="BE617"/>
      <c r="BF617"/>
      <c r="BG617"/>
    </row>
    <row r="618" spans="2:59" x14ac:dyDescent="0.25">
      <c r="B618" s="22"/>
      <c r="C618" s="23"/>
      <c r="E618" s="23"/>
      <c r="F618" s="24"/>
      <c r="G618" s="2"/>
      <c r="H618" s="10" t="e">
        <f>_xlfn.XLOOKUP(F618,Viloyatlar24[RegionName],Viloyatlar24[RegionId])</f>
        <v>#N/A</v>
      </c>
      <c r="I618" s="10" t="e">
        <f>_xlfn.XLOOKUP('Кўчмас мулк объектлари'!G618,Tumanlar23[DistrictName],Tumanlar23[DistrictId])</f>
        <v>#N/A</v>
      </c>
      <c r="K618" s="24"/>
      <c r="L618" s="10" t="e">
        <f>_xlfn.XLOOKUP(K618,Ташкилотлар39[Ташкилотлар],Ташкилотлар39[TashklilotID])</f>
        <v>#N/A</v>
      </c>
      <c r="M618" s="26"/>
      <c r="N618" s="26"/>
      <c r="O618" s="24"/>
      <c r="P618" s="2"/>
      <c r="Q618" s="26"/>
      <c r="R618" s="26"/>
      <c r="S618" s="26"/>
      <c r="T618" s="26"/>
      <c r="U618" s="24"/>
      <c r="V618" s="10" t="e">
        <f>_xlfn.XLOOKUP(U618,Таклифлар37[Таклифлар],Таклифлар37[TaklifID])</f>
        <v>#N/A</v>
      </c>
      <c r="W618" s="24"/>
      <c r="X618" s="23"/>
      <c r="Y618" s="7"/>
      <c r="Z618" s="26"/>
      <c r="AB618" s="23"/>
      <c r="AD618" s="2"/>
      <c r="AG618" s="23"/>
      <c r="AI618" s="26"/>
      <c r="AJ618" s="23"/>
      <c r="AM618" s="23"/>
      <c r="AO618" s="32"/>
      <c r="AP618" s="26"/>
      <c r="AR618" s="26"/>
      <c r="AS618" s="27"/>
      <c r="AT618" s="27"/>
      <c r="AU618" s="31"/>
      <c r="AV618" s="24"/>
      <c r="AW618"/>
      <c r="AX618"/>
      <c r="AY618"/>
      <c r="AZ618"/>
      <c r="BA618"/>
      <c r="BB618"/>
      <c r="BC618"/>
      <c r="BD618"/>
      <c r="BE618"/>
      <c r="BF618"/>
      <c r="BG618"/>
    </row>
    <row r="619" spans="2:59" x14ac:dyDescent="0.25">
      <c r="B619" s="22"/>
      <c r="C619" s="23"/>
      <c r="E619" s="23"/>
      <c r="F619" s="24"/>
      <c r="G619" s="2"/>
      <c r="H619" s="10" t="e">
        <f>_xlfn.XLOOKUP(F619,Viloyatlar24[RegionName],Viloyatlar24[RegionId])</f>
        <v>#N/A</v>
      </c>
      <c r="I619" s="10" t="e">
        <f>_xlfn.XLOOKUP('Кўчмас мулк объектлари'!G619,Tumanlar23[DistrictName],Tumanlar23[DistrictId])</f>
        <v>#N/A</v>
      </c>
      <c r="K619" s="24"/>
      <c r="L619" s="10" t="e">
        <f>_xlfn.XLOOKUP(K619,Ташкилотлар39[Ташкилотлар],Ташкилотлар39[TashklilotID])</f>
        <v>#N/A</v>
      </c>
      <c r="M619" s="26"/>
      <c r="N619" s="26"/>
      <c r="O619" s="24"/>
      <c r="P619" s="2"/>
      <c r="Q619" s="26"/>
      <c r="R619" s="26"/>
      <c r="S619" s="26"/>
      <c r="T619" s="26"/>
      <c r="U619" s="24"/>
      <c r="V619" s="10" t="e">
        <f>_xlfn.XLOOKUP(U619,Таклифлар37[Таклифлар],Таклифлар37[TaklifID])</f>
        <v>#N/A</v>
      </c>
      <c r="W619" s="24"/>
      <c r="X619" s="23"/>
      <c r="Y619" s="7"/>
      <c r="Z619" s="26"/>
      <c r="AB619" s="23"/>
      <c r="AD619" s="2"/>
      <c r="AG619" s="23"/>
      <c r="AI619" s="26"/>
      <c r="AJ619" s="23"/>
      <c r="AM619" s="23"/>
      <c r="AO619" s="32"/>
      <c r="AP619" s="26"/>
      <c r="AR619" s="26"/>
      <c r="AS619" s="27"/>
      <c r="AT619" s="27"/>
      <c r="AU619" s="31"/>
      <c r="AV619" s="24"/>
      <c r="AW619"/>
      <c r="AX619"/>
      <c r="AY619"/>
      <c r="AZ619"/>
      <c r="BA619"/>
      <c r="BB619"/>
      <c r="BC619"/>
      <c r="BD619"/>
      <c r="BE619"/>
      <c r="BF619"/>
      <c r="BG619"/>
    </row>
    <row r="620" spans="2:59" x14ac:dyDescent="0.25">
      <c r="B620" s="22"/>
      <c r="C620" s="23"/>
      <c r="E620" s="23"/>
      <c r="F620" s="24"/>
      <c r="G620" s="2"/>
      <c r="H620" s="10" t="e">
        <f>_xlfn.XLOOKUP(F620,Viloyatlar24[RegionName],Viloyatlar24[RegionId])</f>
        <v>#N/A</v>
      </c>
      <c r="I620" s="10" t="e">
        <f>_xlfn.XLOOKUP('Кўчмас мулк объектлари'!G620,Tumanlar23[DistrictName],Tumanlar23[DistrictId])</f>
        <v>#N/A</v>
      </c>
      <c r="K620" s="24"/>
      <c r="L620" s="10" t="e">
        <f>_xlfn.XLOOKUP(K620,Ташкилотлар39[Ташкилотлар],Ташкилотлар39[TashklilotID])</f>
        <v>#N/A</v>
      </c>
      <c r="M620" s="26"/>
      <c r="N620" s="26"/>
      <c r="O620" s="24"/>
      <c r="P620" s="2"/>
      <c r="Q620" s="26"/>
      <c r="R620" s="26"/>
      <c r="S620" s="26"/>
      <c r="T620" s="26"/>
      <c r="U620" s="24"/>
      <c r="V620" s="10" t="e">
        <f>_xlfn.XLOOKUP(U620,Таклифлар37[Таклифлар],Таклифлар37[TaklifID])</f>
        <v>#N/A</v>
      </c>
      <c r="W620" s="24"/>
      <c r="X620" s="23"/>
      <c r="Y620" s="7"/>
      <c r="Z620" s="26"/>
      <c r="AB620" s="23"/>
      <c r="AD620" s="2"/>
      <c r="AG620" s="23"/>
      <c r="AI620" s="26"/>
      <c r="AJ620" s="23"/>
      <c r="AM620" s="23"/>
      <c r="AO620" s="32"/>
      <c r="AP620" s="26"/>
      <c r="AR620" s="26"/>
      <c r="AS620" s="27"/>
      <c r="AT620" s="27"/>
      <c r="AU620" s="31"/>
      <c r="AV620" s="24"/>
      <c r="AW620"/>
      <c r="AX620"/>
      <c r="AY620"/>
      <c r="AZ620"/>
      <c r="BA620"/>
      <c r="BB620"/>
      <c r="BC620"/>
      <c r="BD620"/>
      <c r="BE620"/>
      <c r="BF620"/>
      <c r="BG620"/>
    </row>
    <row r="621" spans="2:59" x14ac:dyDescent="0.25">
      <c r="B621" s="22"/>
      <c r="C621" s="23"/>
      <c r="E621" s="23"/>
      <c r="F621" s="24"/>
      <c r="G621" s="2"/>
      <c r="H621" s="10" t="e">
        <f>_xlfn.XLOOKUP(F621,Viloyatlar24[RegionName],Viloyatlar24[RegionId])</f>
        <v>#N/A</v>
      </c>
      <c r="I621" s="10" t="e">
        <f>_xlfn.XLOOKUP('Кўчмас мулк объектлари'!G621,Tumanlar23[DistrictName],Tumanlar23[DistrictId])</f>
        <v>#N/A</v>
      </c>
      <c r="K621" s="24"/>
      <c r="L621" s="10" t="e">
        <f>_xlfn.XLOOKUP(K621,Ташкилотлар39[Ташкилотлар],Ташкилотлар39[TashklilotID])</f>
        <v>#N/A</v>
      </c>
      <c r="M621" s="26"/>
      <c r="N621" s="26"/>
      <c r="O621" s="24"/>
      <c r="P621" s="2"/>
      <c r="Q621" s="26"/>
      <c r="R621" s="26"/>
      <c r="S621" s="26"/>
      <c r="T621" s="26"/>
      <c r="U621" s="24"/>
      <c r="V621" s="10" t="e">
        <f>_xlfn.XLOOKUP(U621,Таклифлар37[Таклифлар],Таклифлар37[TaklifID])</f>
        <v>#N/A</v>
      </c>
      <c r="W621" s="24"/>
      <c r="X621" s="23"/>
      <c r="Y621" s="7"/>
      <c r="Z621" s="26"/>
      <c r="AB621" s="23"/>
      <c r="AD621" s="2"/>
      <c r="AG621" s="23"/>
      <c r="AI621" s="26"/>
      <c r="AJ621" s="23"/>
      <c r="AM621" s="23"/>
      <c r="AO621" s="32"/>
      <c r="AP621" s="26"/>
      <c r="AR621" s="26"/>
      <c r="AS621" s="27"/>
      <c r="AT621" s="27"/>
      <c r="AU621" s="31"/>
      <c r="AV621" s="24"/>
      <c r="AW621"/>
      <c r="AX621"/>
      <c r="AY621"/>
      <c r="AZ621"/>
      <c r="BA621"/>
      <c r="BB621"/>
      <c r="BC621"/>
      <c r="BD621"/>
      <c r="BE621"/>
      <c r="BF621"/>
      <c r="BG621"/>
    </row>
    <row r="622" spans="2:59" x14ac:dyDescent="0.25">
      <c r="B622" s="22"/>
      <c r="C622" s="23"/>
      <c r="E622" s="23"/>
      <c r="F622" s="24"/>
      <c r="G622" s="2"/>
      <c r="H622" s="10" t="e">
        <f>_xlfn.XLOOKUP(F622,Viloyatlar24[RegionName],Viloyatlar24[RegionId])</f>
        <v>#N/A</v>
      </c>
      <c r="I622" s="10" t="e">
        <f>_xlfn.XLOOKUP('Кўчмас мулк объектлари'!G622,Tumanlar23[DistrictName],Tumanlar23[DistrictId])</f>
        <v>#N/A</v>
      </c>
      <c r="K622" s="24"/>
      <c r="L622" s="10" t="e">
        <f>_xlfn.XLOOKUP(K622,Ташкилотлар39[Ташкилотлар],Ташкилотлар39[TashklilotID])</f>
        <v>#N/A</v>
      </c>
      <c r="M622" s="26"/>
      <c r="N622" s="26"/>
      <c r="O622" s="24"/>
      <c r="P622" s="2"/>
      <c r="Q622" s="26"/>
      <c r="R622" s="26"/>
      <c r="S622" s="26"/>
      <c r="T622" s="26"/>
      <c r="U622" s="24"/>
      <c r="V622" s="10" t="e">
        <f>_xlfn.XLOOKUP(U622,Таклифлар37[Таклифлар],Таклифлар37[TaklifID])</f>
        <v>#N/A</v>
      </c>
      <c r="W622" s="24"/>
      <c r="X622" s="23"/>
      <c r="Y622" s="7"/>
      <c r="Z622" s="26"/>
      <c r="AB622" s="23"/>
      <c r="AD622" s="2"/>
      <c r="AG622" s="23"/>
      <c r="AI622" s="26"/>
      <c r="AJ622" s="23"/>
      <c r="AM622" s="23"/>
      <c r="AO622" s="32"/>
      <c r="AP622" s="26"/>
      <c r="AR622" s="26"/>
      <c r="AS622" s="27"/>
      <c r="AT622" s="27"/>
      <c r="AU622" s="31"/>
      <c r="AV622" s="24"/>
      <c r="AW622"/>
      <c r="AX622"/>
      <c r="AY622"/>
      <c r="AZ622"/>
      <c r="BA622"/>
      <c r="BB622"/>
      <c r="BC622"/>
      <c r="BD622"/>
      <c r="BE622"/>
      <c r="BF622"/>
      <c r="BG622"/>
    </row>
    <row r="623" spans="2:59" x14ac:dyDescent="0.25">
      <c r="B623" s="22"/>
      <c r="C623" s="23"/>
      <c r="E623" s="23"/>
      <c r="F623" s="24"/>
      <c r="G623" s="2"/>
      <c r="H623" s="10" t="e">
        <f>_xlfn.XLOOKUP(F623,Viloyatlar24[RegionName],Viloyatlar24[RegionId])</f>
        <v>#N/A</v>
      </c>
      <c r="I623" s="10" t="e">
        <f>_xlfn.XLOOKUP('Кўчмас мулк объектлари'!G623,Tumanlar23[DistrictName],Tumanlar23[DistrictId])</f>
        <v>#N/A</v>
      </c>
      <c r="K623" s="24"/>
      <c r="L623" s="10" t="e">
        <f>_xlfn.XLOOKUP(K623,Ташкилотлар39[Ташкилотлар],Ташкилотлар39[TashklilotID])</f>
        <v>#N/A</v>
      </c>
      <c r="M623" s="26"/>
      <c r="N623" s="26"/>
      <c r="O623" s="24"/>
      <c r="P623" s="2"/>
      <c r="Q623" s="26"/>
      <c r="R623" s="26"/>
      <c r="S623" s="26"/>
      <c r="T623" s="26"/>
      <c r="U623" s="24"/>
      <c r="V623" s="10" t="e">
        <f>_xlfn.XLOOKUP(U623,Таклифлар37[Таклифлар],Таклифлар37[TaklifID])</f>
        <v>#N/A</v>
      </c>
      <c r="W623" s="24"/>
      <c r="X623" s="23"/>
      <c r="Y623" s="7"/>
      <c r="Z623" s="26"/>
      <c r="AB623" s="23"/>
      <c r="AD623" s="2"/>
      <c r="AG623" s="23"/>
      <c r="AI623" s="26"/>
      <c r="AJ623" s="23"/>
      <c r="AM623" s="23"/>
      <c r="AO623" s="32"/>
      <c r="AP623" s="26"/>
      <c r="AR623" s="26"/>
      <c r="AS623" s="27"/>
      <c r="AT623" s="27"/>
      <c r="AU623" s="31"/>
      <c r="AV623" s="24"/>
      <c r="AW623"/>
      <c r="AX623"/>
      <c r="AY623"/>
      <c r="AZ623"/>
      <c r="BA623"/>
      <c r="BB623"/>
      <c r="BC623"/>
      <c r="BD623"/>
      <c r="BE623"/>
      <c r="BF623"/>
      <c r="BG623"/>
    </row>
    <row r="624" spans="2:59" x14ac:dyDescent="0.25">
      <c r="B624" s="22"/>
      <c r="C624" s="23"/>
      <c r="E624" s="23"/>
      <c r="F624" s="24"/>
      <c r="G624" s="2"/>
      <c r="H624" s="10" t="e">
        <f>_xlfn.XLOOKUP(F624,Viloyatlar24[RegionName],Viloyatlar24[RegionId])</f>
        <v>#N/A</v>
      </c>
      <c r="I624" s="10" t="e">
        <f>_xlfn.XLOOKUP('Кўчмас мулк объектлари'!G624,Tumanlar23[DistrictName],Tumanlar23[DistrictId])</f>
        <v>#N/A</v>
      </c>
      <c r="K624" s="24"/>
      <c r="L624" s="10" t="e">
        <f>_xlfn.XLOOKUP(K624,Ташкилотлар39[Ташкилотлар],Ташкилотлар39[TashklilotID])</f>
        <v>#N/A</v>
      </c>
      <c r="M624" s="26"/>
      <c r="N624" s="26"/>
      <c r="O624" s="24"/>
      <c r="P624" s="2"/>
      <c r="Q624" s="26"/>
      <c r="R624" s="26"/>
      <c r="S624" s="26"/>
      <c r="T624" s="26"/>
      <c r="U624" s="24"/>
      <c r="V624" s="10" t="e">
        <f>_xlfn.XLOOKUP(U624,Таклифлар37[Таклифлар],Таклифлар37[TaklifID])</f>
        <v>#N/A</v>
      </c>
      <c r="W624" s="24"/>
      <c r="X624" s="23"/>
      <c r="Y624" s="7"/>
      <c r="Z624" s="26"/>
      <c r="AB624" s="23"/>
      <c r="AD624" s="2"/>
      <c r="AG624" s="23"/>
      <c r="AI624" s="26"/>
      <c r="AJ624" s="23"/>
      <c r="AM624" s="23"/>
      <c r="AO624" s="32"/>
      <c r="AP624" s="26"/>
      <c r="AR624" s="26"/>
      <c r="AS624" s="27"/>
      <c r="AT624" s="27"/>
      <c r="AU624" s="31"/>
      <c r="AV624" s="24"/>
      <c r="AW624"/>
      <c r="AX624"/>
      <c r="AY624"/>
      <c r="AZ624"/>
      <c r="BA624"/>
      <c r="BB624"/>
      <c r="BC624"/>
      <c r="BD624"/>
      <c r="BE624"/>
      <c r="BF624"/>
      <c r="BG624"/>
    </row>
    <row r="625" spans="2:59" x14ac:dyDescent="0.25">
      <c r="B625" s="22"/>
      <c r="C625" s="23"/>
      <c r="E625" s="23"/>
      <c r="F625" s="24"/>
      <c r="G625" s="2"/>
      <c r="H625" s="10" t="e">
        <f>_xlfn.XLOOKUP(F625,Viloyatlar24[RegionName],Viloyatlar24[RegionId])</f>
        <v>#N/A</v>
      </c>
      <c r="I625" s="10" t="e">
        <f>_xlfn.XLOOKUP('Кўчмас мулк объектлари'!G625,Tumanlar23[DistrictName],Tumanlar23[DistrictId])</f>
        <v>#N/A</v>
      </c>
      <c r="K625" s="24"/>
      <c r="L625" s="10" t="e">
        <f>_xlfn.XLOOKUP(K625,Ташкилотлар39[Ташкилотлар],Ташкилотлар39[TashklilotID])</f>
        <v>#N/A</v>
      </c>
      <c r="M625" s="26"/>
      <c r="N625" s="26"/>
      <c r="O625" s="24"/>
      <c r="P625" s="2"/>
      <c r="Q625" s="26"/>
      <c r="R625" s="26"/>
      <c r="S625" s="26"/>
      <c r="T625" s="26"/>
      <c r="U625" s="24"/>
      <c r="V625" s="10" t="e">
        <f>_xlfn.XLOOKUP(U625,Таклифлар37[Таклифлар],Таклифлар37[TaklifID])</f>
        <v>#N/A</v>
      </c>
      <c r="W625" s="24"/>
      <c r="X625" s="23"/>
      <c r="Y625" s="7"/>
      <c r="Z625" s="26"/>
      <c r="AB625" s="23"/>
      <c r="AD625" s="2"/>
      <c r="AG625" s="23"/>
      <c r="AI625" s="26"/>
      <c r="AJ625" s="23"/>
      <c r="AM625" s="23"/>
      <c r="AO625" s="32"/>
      <c r="AP625" s="26"/>
      <c r="AR625" s="26"/>
      <c r="AS625" s="27"/>
      <c r="AT625" s="27"/>
      <c r="AU625" s="31"/>
      <c r="AV625" s="24"/>
      <c r="AW625"/>
      <c r="AX625"/>
      <c r="AY625"/>
      <c r="AZ625"/>
      <c r="BA625"/>
      <c r="BB625"/>
      <c r="BC625"/>
      <c r="BD625"/>
      <c r="BE625"/>
      <c r="BF625"/>
      <c r="BG625"/>
    </row>
    <row r="626" spans="2:59" x14ac:dyDescent="0.25">
      <c r="B626" s="22"/>
      <c r="C626" s="23"/>
      <c r="E626" s="23"/>
      <c r="F626" s="24"/>
      <c r="G626" s="2"/>
      <c r="H626" s="10" t="e">
        <f>_xlfn.XLOOKUP(F626,Viloyatlar24[RegionName],Viloyatlar24[RegionId])</f>
        <v>#N/A</v>
      </c>
      <c r="I626" s="10" t="e">
        <f>_xlfn.XLOOKUP('Кўчмас мулк объектлари'!G626,Tumanlar23[DistrictName],Tumanlar23[DistrictId])</f>
        <v>#N/A</v>
      </c>
      <c r="K626" s="24"/>
      <c r="L626" s="10" t="e">
        <f>_xlfn.XLOOKUP(K626,Ташкилотлар39[Ташкилотлар],Ташкилотлар39[TashklilotID])</f>
        <v>#N/A</v>
      </c>
      <c r="M626" s="26"/>
      <c r="N626" s="26"/>
      <c r="O626" s="24"/>
      <c r="P626" s="2"/>
      <c r="Q626" s="26"/>
      <c r="R626" s="26"/>
      <c r="S626" s="26"/>
      <c r="T626" s="26"/>
      <c r="U626" s="24"/>
      <c r="V626" s="10" t="e">
        <f>_xlfn.XLOOKUP(U626,Таклифлар37[Таклифлар],Таклифлар37[TaklifID])</f>
        <v>#N/A</v>
      </c>
      <c r="W626" s="24"/>
      <c r="X626" s="23"/>
      <c r="Y626" s="7"/>
      <c r="Z626" s="26"/>
      <c r="AB626" s="23"/>
      <c r="AD626" s="2"/>
      <c r="AG626" s="23"/>
      <c r="AI626" s="26"/>
      <c r="AJ626" s="23"/>
      <c r="AM626" s="23"/>
      <c r="AO626" s="32"/>
      <c r="AP626" s="26"/>
      <c r="AR626" s="26"/>
      <c r="AS626" s="27"/>
      <c r="AT626" s="27"/>
      <c r="AU626" s="31"/>
      <c r="AV626" s="24"/>
      <c r="AW626"/>
      <c r="AX626"/>
      <c r="AY626"/>
      <c r="AZ626"/>
      <c r="BA626"/>
      <c r="BB626"/>
      <c r="BC626"/>
      <c r="BD626"/>
      <c r="BE626"/>
      <c r="BF626"/>
      <c r="BG626"/>
    </row>
    <row r="627" spans="2:59" x14ac:dyDescent="0.25">
      <c r="B627" s="22"/>
      <c r="C627" s="23"/>
      <c r="E627" s="23"/>
      <c r="F627" s="24"/>
      <c r="G627" s="2"/>
      <c r="H627" s="10" t="e">
        <f>_xlfn.XLOOKUP(F627,Viloyatlar24[RegionName],Viloyatlar24[RegionId])</f>
        <v>#N/A</v>
      </c>
      <c r="I627" s="10" t="e">
        <f>_xlfn.XLOOKUP('Кўчмас мулк объектлари'!G627,Tumanlar23[DistrictName],Tumanlar23[DistrictId])</f>
        <v>#N/A</v>
      </c>
      <c r="K627" s="24"/>
      <c r="L627" s="10" t="e">
        <f>_xlfn.XLOOKUP(K627,Ташкилотлар39[Ташкилотлар],Ташкилотлар39[TashklilotID])</f>
        <v>#N/A</v>
      </c>
      <c r="M627" s="26"/>
      <c r="N627" s="26"/>
      <c r="O627" s="24"/>
      <c r="P627" s="2"/>
      <c r="Q627" s="26"/>
      <c r="R627" s="26"/>
      <c r="S627" s="26"/>
      <c r="T627" s="26"/>
      <c r="U627" s="24"/>
      <c r="V627" s="10" t="e">
        <f>_xlfn.XLOOKUP(U627,Таклифлар37[Таклифлар],Таклифлар37[TaklifID])</f>
        <v>#N/A</v>
      </c>
      <c r="W627" s="24"/>
      <c r="X627" s="23"/>
      <c r="Y627" s="7"/>
      <c r="Z627" s="26"/>
      <c r="AB627" s="23"/>
      <c r="AD627" s="2"/>
      <c r="AG627" s="23"/>
      <c r="AI627" s="26"/>
      <c r="AJ627" s="23"/>
      <c r="AM627" s="23"/>
      <c r="AO627" s="32"/>
      <c r="AP627" s="26"/>
      <c r="AR627" s="26"/>
      <c r="AS627" s="27"/>
      <c r="AT627" s="27"/>
      <c r="AU627" s="31"/>
      <c r="AV627" s="24"/>
      <c r="AW627"/>
      <c r="AX627"/>
      <c r="AY627"/>
      <c r="AZ627"/>
      <c r="BA627"/>
      <c r="BB627"/>
      <c r="BC627"/>
      <c r="BD627"/>
      <c r="BE627"/>
      <c r="BF627"/>
      <c r="BG627"/>
    </row>
    <row r="628" spans="2:59" x14ac:dyDescent="0.25">
      <c r="B628" s="22"/>
      <c r="C628" s="23"/>
      <c r="E628" s="23"/>
      <c r="F628" s="24"/>
      <c r="G628" s="2"/>
      <c r="H628" s="10" t="e">
        <f>_xlfn.XLOOKUP(F628,Viloyatlar24[RegionName],Viloyatlar24[RegionId])</f>
        <v>#N/A</v>
      </c>
      <c r="I628" s="10" t="e">
        <f>_xlfn.XLOOKUP('Кўчмас мулк объектлари'!G628,Tumanlar23[DistrictName],Tumanlar23[DistrictId])</f>
        <v>#N/A</v>
      </c>
      <c r="K628" s="24"/>
      <c r="L628" s="10" t="e">
        <f>_xlfn.XLOOKUP(K628,Ташкилотлар39[Ташкилотлар],Ташкилотлар39[TashklilotID])</f>
        <v>#N/A</v>
      </c>
      <c r="M628" s="26"/>
      <c r="N628" s="26"/>
      <c r="O628" s="24"/>
      <c r="P628" s="2"/>
      <c r="Q628" s="26"/>
      <c r="R628" s="26"/>
      <c r="S628" s="26"/>
      <c r="T628" s="26"/>
      <c r="U628" s="24"/>
      <c r="V628" s="10" t="e">
        <f>_xlfn.XLOOKUP(U628,Таклифлар37[Таклифлар],Таклифлар37[TaklifID])</f>
        <v>#N/A</v>
      </c>
      <c r="W628" s="24"/>
      <c r="X628" s="23"/>
      <c r="Y628" s="7"/>
      <c r="Z628" s="26"/>
      <c r="AB628" s="23"/>
      <c r="AD628" s="2"/>
      <c r="AG628" s="23"/>
      <c r="AI628" s="26"/>
      <c r="AJ628" s="23"/>
      <c r="AM628" s="23"/>
      <c r="AO628" s="32"/>
      <c r="AP628" s="26"/>
      <c r="AR628" s="26"/>
      <c r="AS628" s="27"/>
      <c r="AT628" s="27"/>
      <c r="AU628" s="31"/>
      <c r="AV628" s="24"/>
      <c r="AW628"/>
      <c r="AX628"/>
      <c r="AY628"/>
      <c r="AZ628"/>
      <c r="BA628"/>
      <c r="BB628"/>
      <c r="BC628"/>
      <c r="BD628"/>
      <c r="BE628"/>
      <c r="BF628"/>
      <c r="BG628"/>
    </row>
    <row r="629" spans="2:59" x14ac:dyDescent="0.25">
      <c r="B629" s="22"/>
      <c r="C629" s="23"/>
      <c r="E629" s="23"/>
      <c r="F629" s="24"/>
      <c r="G629" s="2"/>
      <c r="H629" s="10" t="e">
        <f>_xlfn.XLOOKUP(F629,Viloyatlar24[RegionName],Viloyatlar24[RegionId])</f>
        <v>#N/A</v>
      </c>
      <c r="I629" s="10" t="e">
        <f>_xlfn.XLOOKUP('Кўчмас мулк объектлари'!G629,Tumanlar23[DistrictName],Tumanlar23[DistrictId])</f>
        <v>#N/A</v>
      </c>
      <c r="K629" s="24"/>
      <c r="L629" s="10" t="e">
        <f>_xlfn.XLOOKUP(K629,Ташкилотлар39[Ташкилотлар],Ташкилотлар39[TashklilotID])</f>
        <v>#N/A</v>
      </c>
      <c r="M629" s="26"/>
      <c r="N629" s="26"/>
      <c r="O629" s="24"/>
      <c r="P629" s="2"/>
      <c r="Q629" s="26"/>
      <c r="R629" s="26"/>
      <c r="S629" s="26"/>
      <c r="T629" s="26"/>
      <c r="U629" s="24"/>
      <c r="V629" s="10" t="e">
        <f>_xlfn.XLOOKUP(U629,Таклифлар37[Таклифлар],Таклифлар37[TaklifID])</f>
        <v>#N/A</v>
      </c>
      <c r="W629" s="24"/>
      <c r="X629" s="23"/>
      <c r="Y629" s="7"/>
      <c r="Z629" s="26"/>
      <c r="AB629" s="23"/>
      <c r="AD629" s="2"/>
      <c r="AG629" s="23"/>
      <c r="AI629" s="26"/>
      <c r="AJ629" s="23"/>
      <c r="AM629" s="23"/>
      <c r="AO629" s="32"/>
      <c r="AP629" s="26"/>
      <c r="AR629" s="26"/>
      <c r="AS629" s="27"/>
      <c r="AT629" s="27"/>
      <c r="AU629" s="31"/>
      <c r="AV629" s="24"/>
      <c r="AW629"/>
      <c r="AX629"/>
      <c r="AY629"/>
      <c r="AZ629"/>
      <c r="BA629"/>
      <c r="BB629"/>
      <c r="BC629"/>
      <c r="BD629"/>
      <c r="BE629"/>
      <c r="BF629"/>
      <c r="BG629"/>
    </row>
    <row r="630" spans="2:59" x14ac:dyDescent="0.25">
      <c r="B630" s="22"/>
      <c r="C630" s="23"/>
      <c r="E630" s="23"/>
      <c r="F630" s="24"/>
      <c r="G630" s="2"/>
      <c r="H630" s="10" t="e">
        <f>_xlfn.XLOOKUP(F630,Viloyatlar24[RegionName],Viloyatlar24[RegionId])</f>
        <v>#N/A</v>
      </c>
      <c r="I630" s="10" t="e">
        <f>_xlfn.XLOOKUP('Кўчмас мулк объектлари'!G630,Tumanlar23[DistrictName],Tumanlar23[DistrictId])</f>
        <v>#N/A</v>
      </c>
      <c r="K630" s="24"/>
      <c r="L630" s="10" t="e">
        <f>_xlfn.XLOOKUP(K630,Ташкилотлар39[Ташкилотлар],Ташкилотлар39[TashklilotID])</f>
        <v>#N/A</v>
      </c>
      <c r="M630" s="26"/>
      <c r="N630" s="26"/>
      <c r="O630" s="24"/>
      <c r="P630" s="2"/>
      <c r="Q630" s="26"/>
      <c r="R630" s="26"/>
      <c r="S630" s="26"/>
      <c r="T630" s="26"/>
      <c r="U630" s="24"/>
      <c r="V630" s="10" t="e">
        <f>_xlfn.XLOOKUP(U630,Таклифлар37[Таклифлар],Таклифлар37[TaklifID])</f>
        <v>#N/A</v>
      </c>
      <c r="W630" s="24"/>
      <c r="X630" s="23"/>
      <c r="Y630" s="7"/>
      <c r="Z630" s="26"/>
      <c r="AB630" s="23"/>
      <c r="AD630" s="2"/>
      <c r="AG630" s="23"/>
      <c r="AI630" s="26"/>
      <c r="AJ630" s="23"/>
      <c r="AM630" s="23"/>
      <c r="AO630" s="32"/>
      <c r="AP630" s="26"/>
      <c r="AR630" s="26"/>
      <c r="AS630" s="27"/>
      <c r="AT630" s="27"/>
      <c r="AU630" s="31"/>
      <c r="AV630" s="24"/>
      <c r="AW630"/>
      <c r="AX630"/>
      <c r="AY630"/>
      <c r="AZ630"/>
      <c r="BA630"/>
      <c r="BB630"/>
      <c r="BC630"/>
      <c r="BD630"/>
      <c r="BE630"/>
      <c r="BF630"/>
      <c r="BG630"/>
    </row>
    <row r="631" spans="2:59" x14ac:dyDescent="0.25">
      <c r="B631" s="22"/>
      <c r="C631" s="23"/>
      <c r="E631" s="23"/>
      <c r="F631" s="24"/>
      <c r="G631" s="2"/>
      <c r="H631" s="10" t="e">
        <f>_xlfn.XLOOKUP(F631,Viloyatlar24[RegionName],Viloyatlar24[RegionId])</f>
        <v>#N/A</v>
      </c>
      <c r="I631" s="10" t="e">
        <f>_xlfn.XLOOKUP('Кўчмас мулк объектлари'!G631,Tumanlar23[DistrictName],Tumanlar23[DistrictId])</f>
        <v>#N/A</v>
      </c>
      <c r="K631" s="24"/>
      <c r="L631" s="10" t="e">
        <f>_xlfn.XLOOKUP(K631,Ташкилотлар39[Ташкилотлар],Ташкилотлар39[TashklilotID])</f>
        <v>#N/A</v>
      </c>
      <c r="M631" s="26"/>
      <c r="N631" s="26"/>
      <c r="O631" s="24"/>
      <c r="P631" s="2"/>
      <c r="Q631" s="26"/>
      <c r="R631" s="26"/>
      <c r="S631" s="26"/>
      <c r="T631" s="26"/>
      <c r="U631" s="24"/>
      <c r="V631" s="10" t="e">
        <f>_xlfn.XLOOKUP(U631,Таклифлар37[Таклифлар],Таклифлар37[TaklifID])</f>
        <v>#N/A</v>
      </c>
      <c r="W631" s="24"/>
      <c r="X631" s="23"/>
      <c r="Y631" s="7"/>
      <c r="Z631" s="26"/>
      <c r="AB631" s="23"/>
      <c r="AD631" s="2"/>
      <c r="AG631" s="23"/>
      <c r="AI631" s="26"/>
      <c r="AJ631" s="23"/>
      <c r="AM631" s="23"/>
      <c r="AO631" s="32"/>
      <c r="AP631" s="26"/>
      <c r="AR631" s="26"/>
      <c r="AS631" s="27"/>
      <c r="AT631" s="27"/>
      <c r="AU631" s="31"/>
      <c r="AV631" s="24"/>
      <c r="AW631"/>
      <c r="AX631"/>
      <c r="AY631"/>
      <c r="AZ631"/>
      <c r="BA631"/>
      <c r="BB631"/>
      <c r="BC631"/>
      <c r="BD631"/>
      <c r="BE631"/>
      <c r="BF631"/>
      <c r="BG631"/>
    </row>
    <row r="632" spans="2:59" x14ac:dyDescent="0.25">
      <c r="B632" s="22"/>
      <c r="C632" s="23"/>
      <c r="E632" s="23"/>
      <c r="F632" s="24"/>
      <c r="G632" s="2"/>
      <c r="H632" s="10" t="e">
        <f>_xlfn.XLOOKUP(F632,Viloyatlar24[RegionName],Viloyatlar24[RegionId])</f>
        <v>#N/A</v>
      </c>
      <c r="I632" s="10" t="e">
        <f>_xlfn.XLOOKUP('Кўчмас мулк объектлари'!G632,Tumanlar23[DistrictName],Tumanlar23[DistrictId])</f>
        <v>#N/A</v>
      </c>
      <c r="K632" s="24"/>
      <c r="L632" s="10" t="e">
        <f>_xlfn.XLOOKUP(K632,Ташкилотлар39[Ташкилотлар],Ташкилотлар39[TashklilotID])</f>
        <v>#N/A</v>
      </c>
      <c r="M632" s="26"/>
      <c r="N632" s="26"/>
      <c r="O632" s="24"/>
      <c r="P632" s="2"/>
      <c r="Q632" s="26"/>
      <c r="R632" s="26"/>
      <c r="S632" s="26"/>
      <c r="T632" s="26"/>
      <c r="U632" s="24"/>
      <c r="V632" s="10" t="e">
        <f>_xlfn.XLOOKUP(U632,Таклифлар37[Таклифлар],Таклифлар37[TaklifID])</f>
        <v>#N/A</v>
      </c>
      <c r="W632" s="24"/>
      <c r="X632" s="23"/>
      <c r="Y632" s="7"/>
      <c r="Z632" s="26"/>
      <c r="AB632" s="23"/>
      <c r="AD632" s="2"/>
      <c r="AG632" s="23"/>
      <c r="AI632" s="26"/>
      <c r="AJ632" s="23"/>
      <c r="AM632" s="23"/>
      <c r="AO632" s="32"/>
      <c r="AP632" s="26"/>
      <c r="AR632" s="26"/>
      <c r="AS632" s="27"/>
      <c r="AT632" s="27"/>
      <c r="AU632" s="31"/>
      <c r="AV632" s="24"/>
      <c r="AW632"/>
      <c r="AX632"/>
      <c r="AY632"/>
      <c r="AZ632"/>
      <c r="BA632"/>
      <c r="BB632"/>
      <c r="BC632"/>
      <c r="BD632"/>
      <c r="BE632"/>
      <c r="BF632"/>
      <c r="BG632"/>
    </row>
    <row r="633" spans="2:59" x14ac:dyDescent="0.25">
      <c r="B633" s="22"/>
      <c r="C633" s="23"/>
      <c r="E633" s="23"/>
      <c r="F633" s="24"/>
      <c r="G633" s="2"/>
      <c r="H633" s="10" t="e">
        <f>_xlfn.XLOOKUP(F633,Viloyatlar24[RegionName],Viloyatlar24[RegionId])</f>
        <v>#N/A</v>
      </c>
      <c r="I633" s="10" t="e">
        <f>_xlfn.XLOOKUP('Кўчмас мулк объектлари'!G633,Tumanlar23[DistrictName],Tumanlar23[DistrictId])</f>
        <v>#N/A</v>
      </c>
      <c r="K633" s="24"/>
      <c r="L633" s="10" t="e">
        <f>_xlfn.XLOOKUP(K633,Ташкилотлар39[Ташкилотлар],Ташкилотлар39[TashklilotID])</f>
        <v>#N/A</v>
      </c>
      <c r="M633" s="26"/>
      <c r="N633" s="26"/>
      <c r="O633" s="24"/>
      <c r="P633" s="2"/>
      <c r="Q633" s="26"/>
      <c r="R633" s="26"/>
      <c r="S633" s="26"/>
      <c r="T633" s="26"/>
      <c r="U633" s="24"/>
      <c r="V633" s="10" t="e">
        <f>_xlfn.XLOOKUP(U633,Таклифлар37[Таклифлар],Таклифлар37[TaklifID])</f>
        <v>#N/A</v>
      </c>
      <c r="W633" s="24"/>
      <c r="X633" s="23"/>
      <c r="Y633" s="7"/>
      <c r="Z633" s="26"/>
      <c r="AB633" s="23"/>
      <c r="AD633" s="2"/>
      <c r="AG633" s="23"/>
      <c r="AI633" s="26"/>
      <c r="AJ633" s="23"/>
      <c r="AM633" s="23"/>
      <c r="AO633" s="32"/>
      <c r="AP633" s="26"/>
      <c r="AR633" s="26"/>
      <c r="AS633" s="27"/>
      <c r="AT633" s="27"/>
      <c r="AU633" s="31"/>
      <c r="AV633" s="24"/>
      <c r="AW633"/>
      <c r="AX633"/>
      <c r="AY633"/>
      <c r="AZ633"/>
      <c r="BA633"/>
      <c r="BB633"/>
      <c r="BC633"/>
      <c r="BD633"/>
      <c r="BE633"/>
      <c r="BF633"/>
      <c r="BG633"/>
    </row>
    <row r="634" spans="2:59" x14ac:dyDescent="0.25">
      <c r="B634" s="22"/>
      <c r="C634" s="23"/>
      <c r="E634" s="23"/>
      <c r="F634" s="24"/>
      <c r="G634" s="2"/>
      <c r="H634" s="10" t="e">
        <f>_xlfn.XLOOKUP(F634,Viloyatlar24[RegionName],Viloyatlar24[RegionId])</f>
        <v>#N/A</v>
      </c>
      <c r="I634" s="10" t="e">
        <f>_xlfn.XLOOKUP('Кўчмас мулк объектлари'!G634,Tumanlar23[DistrictName],Tumanlar23[DistrictId])</f>
        <v>#N/A</v>
      </c>
      <c r="K634" s="24"/>
      <c r="L634" s="10" t="e">
        <f>_xlfn.XLOOKUP(K634,Ташкилотлар39[Ташкилотлар],Ташкилотлар39[TashklilotID])</f>
        <v>#N/A</v>
      </c>
      <c r="M634" s="26"/>
      <c r="N634" s="26"/>
      <c r="O634" s="24"/>
      <c r="P634" s="2"/>
      <c r="Q634" s="26"/>
      <c r="R634" s="26"/>
      <c r="S634" s="26"/>
      <c r="T634" s="26"/>
      <c r="U634" s="24"/>
      <c r="V634" s="10" t="e">
        <f>_xlfn.XLOOKUP(U634,Таклифлар37[Таклифлар],Таклифлар37[TaklifID])</f>
        <v>#N/A</v>
      </c>
      <c r="W634" s="24"/>
      <c r="X634" s="23"/>
      <c r="Y634" s="7"/>
      <c r="Z634" s="26"/>
      <c r="AB634" s="23"/>
      <c r="AD634" s="2"/>
      <c r="AG634" s="23"/>
      <c r="AI634" s="26"/>
      <c r="AJ634" s="23"/>
      <c r="AM634" s="23"/>
      <c r="AO634" s="32"/>
      <c r="AP634" s="26"/>
      <c r="AR634" s="26"/>
      <c r="AS634" s="27"/>
      <c r="AT634" s="27"/>
      <c r="AU634" s="31"/>
      <c r="AV634" s="24"/>
      <c r="AW634"/>
      <c r="AX634"/>
      <c r="AY634"/>
      <c r="AZ634"/>
      <c r="BA634"/>
      <c r="BB634"/>
      <c r="BC634"/>
      <c r="BD634"/>
      <c r="BE634"/>
      <c r="BF634"/>
      <c r="BG634"/>
    </row>
    <row r="635" spans="2:59" x14ac:dyDescent="0.25">
      <c r="B635" s="22"/>
      <c r="C635" s="23"/>
      <c r="E635" s="23"/>
      <c r="F635" s="24"/>
      <c r="G635" s="2"/>
      <c r="H635" s="10" t="e">
        <f>_xlfn.XLOOKUP(F635,Viloyatlar24[RegionName],Viloyatlar24[RegionId])</f>
        <v>#N/A</v>
      </c>
      <c r="I635" s="10" t="e">
        <f>_xlfn.XLOOKUP('Кўчмас мулк объектлари'!G635,Tumanlar23[DistrictName],Tumanlar23[DistrictId])</f>
        <v>#N/A</v>
      </c>
      <c r="K635" s="24"/>
      <c r="L635" s="10" t="e">
        <f>_xlfn.XLOOKUP(K635,Ташкилотлар39[Ташкилотлар],Ташкилотлар39[TashklilotID])</f>
        <v>#N/A</v>
      </c>
      <c r="M635" s="26"/>
      <c r="N635" s="26"/>
      <c r="O635" s="24"/>
      <c r="P635" s="2"/>
      <c r="Q635" s="26"/>
      <c r="R635" s="26"/>
      <c r="S635" s="26"/>
      <c r="T635" s="26"/>
      <c r="U635" s="24"/>
      <c r="V635" s="10" t="e">
        <f>_xlfn.XLOOKUP(U635,Таклифлар37[Таклифлар],Таклифлар37[TaklifID])</f>
        <v>#N/A</v>
      </c>
      <c r="W635" s="24"/>
      <c r="X635" s="23"/>
      <c r="Y635" s="7"/>
      <c r="Z635" s="26"/>
      <c r="AB635" s="23"/>
      <c r="AD635" s="2"/>
      <c r="AG635" s="23"/>
      <c r="AI635" s="26"/>
      <c r="AJ635" s="23"/>
      <c r="AM635" s="23"/>
      <c r="AO635" s="32"/>
      <c r="AP635" s="26"/>
      <c r="AR635" s="26"/>
      <c r="AS635" s="27"/>
      <c r="AT635" s="27"/>
      <c r="AU635" s="31"/>
      <c r="AV635" s="24"/>
      <c r="AW635"/>
      <c r="AX635"/>
      <c r="AY635"/>
      <c r="AZ635"/>
      <c r="BA635"/>
      <c r="BB635"/>
      <c r="BC635"/>
      <c r="BD635"/>
      <c r="BE635"/>
      <c r="BF635"/>
      <c r="BG635"/>
    </row>
    <row r="636" spans="2:59" x14ac:dyDescent="0.25">
      <c r="B636" s="22"/>
      <c r="C636" s="23"/>
      <c r="E636" s="23"/>
      <c r="F636" s="24"/>
      <c r="G636" s="2"/>
      <c r="H636" s="10" t="e">
        <f>_xlfn.XLOOKUP(F636,Viloyatlar24[RegionName],Viloyatlar24[RegionId])</f>
        <v>#N/A</v>
      </c>
      <c r="I636" s="10" t="e">
        <f>_xlfn.XLOOKUP('Кўчмас мулк объектлари'!G636,Tumanlar23[DistrictName],Tumanlar23[DistrictId])</f>
        <v>#N/A</v>
      </c>
      <c r="K636" s="24"/>
      <c r="L636" s="10" t="e">
        <f>_xlfn.XLOOKUP(K636,Ташкилотлар39[Ташкилотлар],Ташкилотлар39[TashklilotID])</f>
        <v>#N/A</v>
      </c>
      <c r="M636" s="26"/>
      <c r="N636" s="26"/>
      <c r="O636" s="24"/>
      <c r="P636" s="2"/>
      <c r="Q636" s="26"/>
      <c r="R636" s="26"/>
      <c r="S636" s="26"/>
      <c r="T636" s="26"/>
      <c r="U636" s="24"/>
      <c r="V636" s="10" t="e">
        <f>_xlfn.XLOOKUP(U636,Таклифлар37[Таклифлар],Таклифлар37[TaklifID])</f>
        <v>#N/A</v>
      </c>
      <c r="W636" s="24"/>
      <c r="X636" s="23"/>
      <c r="Y636" s="7"/>
      <c r="Z636" s="26"/>
      <c r="AB636" s="23"/>
      <c r="AD636" s="2"/>
      <c r="AG636" s="23"/>
      <c r="AI636" s="26"/>
      <c r="AJ636" s="23"/>
      <c r="AM636" s="23"/>
      <c r="AO636" s="32"/>
      <c r="AP636" s="26"/>
      <c r="AR636" s="26"/>
      <c r="AS636" s="27"/>
      <c r="AT636" s="27"/>
      <c r="AU636" s="31"/>
      <c r="AV636" s="24"/>
      <c r="AW636"/>
      <c r="AX636"/>
      <c r="AY636"/>
      <c r="AZ636"/>
      <c r="BA636"/>
      <c r="BB636"/>
      <c r="BC636"/>
      <c r="BD636"/>
      <c r="BE636"/>
      <c r="BF636"/>
      <c r="BG636"/>
    </row>
    <row r="637" spans="2:59" x14ac:dyDescent="0.25">
      <c r="B637" s="22"/>
      <c r="C637" s="23"/>
      <c r="E637" s="23"/>
      <c r="F637" s="24"/>
      <c r="G637" s="2"/>
      <c r="H637" s="10" t="e">
        <f>_xlfn.XLOOKUP(F637,Viloyatlar24[RegionName],Viloyatlar24[RegionId])</f>
        <v>#N/A</v>
      </c>
      <c r="I637" s="10" t="e">
        <f>_xlfn.XLOOKUP('Кўчмас мулк объектлари'!G637,Tumanlar23[DistrictName],Tumanlar23[DistrictId])</f>
        <v>#N/A</v>
      </c>
      <c r="K637" s="24"/>
      <c r="L637" s="10" t="e">
        <f>_xlfn.XLOOKUP(K637,Ташкилотлар39[Ташкилотлар],Ташкилотлар39[TashklilotID])</f>
        <v>#N/A</v>
      </c>
      <c r="M637" s="26"/>
      <c r="N637" s="26"/>
      <c r="O637" s="24"/>
      <c r="P637" s="2"/>
      <c r="Q637" s="26"/>
      <c r="R637" s="26"/>
      <c r="S637" s="26"/>
      <c r="T637" s="26"/>
      <c r="U637" s="24"/>
      <c r="V637" s="10" t="e">
        <f>_xlfn.XLOOKUP(U637,Таклифлар37[Таклифлар],Таклифлар37[TaklifID])</f>
        <v>#N/A</v>
      </c>
      <c r="W637" s="24"/>
      <c r="X637" s="23"/>
      <c r="Y637" s="7"/>
      <c r="Z637" s="26"/>
      <c r="AB637" s="23"/>
      <c r="AD637" s="2"/>
      <c r="AG637" s="23"/>
      <c r="AI637" s="26"/>
      <c r="AJ637" s="23"/>
      <c r="AM637" s="23"/>
      <c r="AO637" s="32"/>
      <c r="AP637" s="26"/>
      <c r="AR637" s="26"/>
      <c r="AS637" s="27"/>
      <c r="AT637" s="27"/>
      <c r="AU637" s="31"/>
      <c r="AV637" s="24"/>
      <c r="AW637"/>
      <c r="AX637"/>
      <c r="AY637"/>
      <c r="AZ637"/>
      <c r="BA637"/>
      <c r="BB637"/>
      <c r="BC637"/>
      <c r="BD637"/>
      <c r="BE637"/>
      <c r="BF637"/>
      <c r="BG637"/>
    </row>
    <row r="638" spans="2:59" x14ac:dyDescent="0.25">
      <c r="B638" s="22"/>
      <c r="C638" s="23"/>
      <c r="E638" s="23"/>
      <c r="F638" s="24"/>
      <c r="G638" s="2"/>
      <c r="H638" s="10" t="e">
        <f>_xlfn.XLOOKUP(F638,Viloyatlar24[RegionName],Viloyatlar24[RegionId])</f>
        <v>#N/A</v>
      </c>
      <c r="I638" s="10" t="e">
        <f>_xlfn.XLOOKUP('Кўчмас мулк объектлари'!G638,Tumanlar23[DistrictName],Tumanlar23[DistrictId])</f>
        <v>#N/A</v>
      </c>
      <c r="K638" s="24"/>
      <c r="L638" s="10" t="e">
        <f>_xlfn.XLOOKUP(K638,Ташкилотлар39[Ташкилотлар],Ташкилотлар39[TashklilotID])</f>
        <v>#N/A</v>
      </c>
      <c r="M638" s="26"/>
      <c r="N638" s="26"/>
      <c r="O638" s="24"/>
      <c r="P638" s="2"/>
      <c r="Q638" s="26"/>
      <c r="R638" s="26"/>
      <c r="S638" s="26"/>
      <c r="T638" s="26"/>
      <c r="U638" s="24"/>
      <c r="V638" s="10" t="e">
        <f>_xlfn.XLOOKUP(U638,Таклифлар37[Таклифлар],Таклифлар37[TaklifID])</f>
        <v>#N/A</v>
      </c>
      <c r="W638" s="24"/>
      <c r="X638" s="23"/>
      <c r="Y638" s="7"/>
      <c r="Z638" s="26"/>
      <c r="AB638" s="23"/>
      <c r="AD638" s="2"/>
      <c r="AG638" s="23"/>
      <c r="AI638" s="26"/>
      <c r="AJ638" s="23"/>
      <c r="AM638" s="23"/>
      <c r="AO638" s="32"/>
      <c r="AP638" s="26"/>
      <c r="AR638" s="26"/>
      <c r="AS638" s="27"/>
      <c r="AT638" s="27"/>
      <c r="AU638" s="31"/>
      <c r="AV638" s="24"/>
      <c r="AW638"/>
      <c r="AX638"/>
      <c r="AY638"/>
      <c r="AZ638"/>
      <c r="BA638"/>
      <c r="BB638"/>
      <c r="BC638"/>
      <c r="BD638"/>
      <c r="BE638"/>
      <c r="BF638"/>
      <c r="BG638"/>
    </row>
    <row r="639" spans="2:59" x14ac:dyDescent="0.25">
      <c r="B639" s="22"/>
      <c r="C639" s="23"/>
      <c r="E639" s="23"/>
      <c r="F639" s="24"/>
      <c r="G639" s="2"/>
      <c r="H639" s="10" t="e">
        <f>_xlfn.XLOOKUP(F639,Viloyatlar24[RegionName],Viloyatlar24[RegionId])</f>
        <v>#N/A</v>
      </c>
      <c r="I639" s="10" t="e">
        <f>_xlfn.XLOOKUP('Кўчмас мулк объектлари'!G639,Tumanlar23[DistrictName],Tumanlar23[DistrictId])</f>
        <v>#N/A</v>
      </c>
      <c r="K639" s="24"/>
      <c r="L639" s="10" t="e">
        <f>_xlfn.XLOOKUP(K639,Ташкилотлар39[Ташкилотлар],Ташкилотлар39[TashklilotID])</f>
        <v>#N/A</v>
      </c>
      <c r="M639" s="26"/>
      <c r="N639" s="26"/>
      <c r="O639" s="24"/>
      <c r="P639" s="2"/>
      <c r="Q639" s="26"/>
      <c r="R639" s="26"/>
      <c r="S639" s="26"/>
      <c r="T639" s="26"/>
      <c r="U639" s="24"/>
      <c r="V639" s="10" t="e">
        <f>_xlfn.XLOOKUP(U639,Таклифлар37[Таклифлар],Таклифлар37[TaklifID])</f>
        <v>#N/A</v>
      </c>
      <c r="W639" s="24"/>
      <c r="X639" s="23"/>
      <c r="Y639" s="7"/>
      <c r="Z639" s="26"/>
      <c r="AB639" s="23"/>
      <c r="AD639" s="2"/>
      <c r="AG639" s="23"/>
      <c r="AI639" s="26"/>
      <c r="AJ639" s="23"/>
      <c r="AM639" s="23"/>
      <c r="AO639" s="32"/>
      <c r="AP639" s="26"/>
      <c r="AR639" s="26"/>
      <c r="AS639" s="27"/>
      <c r="AT639" s="27"/>
      <c r="AU639" s="31"/>
      <c r="AV639" s="24"/>
      <c r="AW639"/>
      <c r="AX639"/>
      <c r="AY639"/>
      <c r="AZ639"/>
      <c r="BA639"/>
      <c r="BB639"/>
      <c r="BC639"/>
      <c r="BD639"/>
      <c r="BE639"/>
      <c r="BF639"/>
      <c r="BG639"/>
    </row>
    <row r="640" spans="2:59" x14ac:dyDescent="0.25">
      <c r="B640" s="22"/>
      <c r="C640" s="23"/>
      <c r="E640" s="23"/>
      <c r="F640" s="24"/>
      <c r="G640" s="2"/>
      <c r="H640" s="10" t="e">
        <f>_xlfn.XLOOKUP(F640,Viloyatlar24[RegionName],Viloyatlar24[RegionId])</f>
        <v>#N/A</v>
      </c>
      <c r="I640" s="10" t="e">
        <f>_xlfn.XLOOKUP('Кўчмас мулк объектлари'!G640,Tumanlar23[DistrictName],Tumanlar23[DistrictId])</f>
        <v>#N/A</v>
      </c>
      <c r="K640" s="24"/>
      <c r="L640" s="10" t="e">
        <f>_xlfn.XLOOKUP(K640,Ташкилотлар39[Ташкилотлар],Ташкилотлар39[TashklilotID])</f>
        <v>#N/A</v>
      </c>
      <c r="M640" s="26"/>
      <c r="N640" s="26"/>
      <c r="O640" s="24"/>
      <c r="P640" s="2"/>
      <c r="Q640" s="26"/>
      <c r="R640" s="26"/>
      <c r="S640" s="26"/>
      <c r="T640" s="26"/>
      <c r="U640" s="24"/>
      <c r="V640" s="10" t="e">
        <f>_xlfn.XLOOKUP(U640,Таклифлар37[Таклифлар],Таклифлар37[TaklifID])</f>
        <v>#N/A</v>
      </c>
      <c r="W640" s="24"/>
      <c r="X640" s="23"/>
      <c r="Y640" s="7"/>
      <c r="Z640" s="26"/>
      <c r="AB640" s="23"/>
      <c r="AD640" s="2"/>
      <c r="AG640" s="23"/>
      <c r="AI640" s="26"/>
      <c r="AJ640" s="23"/>
      <c r="AM640" s="23"/>
      <c r="AO640" s="32"/>
      <c r="AP640" s="26"/>
      <c r="AR640" s="26"/>
      <c r="AS640" s="27"/>
      <c r="AT640" s="27"/>
      <c r="AU640" s="31"/>
      <c r="AV640" s="24"/>
      <c r="AW640"/>
      <c r="AX640"/>
      <c r="AY640"/>
      <c r="AZ640"/>
      <c r="BA640"/>
      <c r="BB640"/>
      <c r="BC640"/>
      <c r="BD640"/>
      <c r="BE640"/>
      <c r="BF640"/>
      <c r="BG640"/>
    </row>
    <row r="641" spans="2:59" x14ac:dyDescent="0.25">
      <c r="B641" s="22"/>
      <c r="C641" s="23"/>
      <c r="E641" s="23"/>
      <c r="F641" s="24"/>
      <c r="G641" s="2"/>
      <c r="H641" s="10" t="e">
        <f>_xlfn.XLOOKUP(F641,Viloyatlar24[RegionName],Viloyatlar24[RegionId])</f>
        <v>#N/A</v>
      </c>
      <c r="I641" s="10" t="e">
        <f>_xlfn.XLOOKUP('Кўчмас мулк объектлари'!G641,Tumanlar23[DistrictName],Tumanlar23[DistrictId])</f>
        <v>#N/A</v>
      </c>
      <c r="K641" s="24"/>
      <c r="L641" s="10" t="e">
        <f>_xlfn.XLOOKUP(K641,Ташкилотлар39[Ташкилотлар],Ташкилотлар39[TashklilotID])</f>
        <v>#N/A</v>
      </c>
      <c r="M641" s="26"/>
      <c r="N641" s="26"/>
      <c r="O641" s="24"/>
      <c r="P641" s="2"/>
      <c r="Q641" s="26"/>
      <c r="R641" s="26"/>
      <c r="S641" s="26"/>
      <c r="T641" s="26"/>
      <c r="U641" s="24"/>
      <c r="V641" s="10" t="e">
        <f>_xlfn.XLOOKUP(U641,Таклифлар37[Таклифлар],Таклифлар37[TaklifID])</f>
        <v>#N/A</v>
      </c>
      <c r="W641" s="24"/>
      <c r="X641" s="23"/>
      <c r="Y641" s="7"/>
      <c r="Z641" s="26"/>
      <c r="AB641" s="23"/>
      <c r="AD641" s="2"/>
      <c r="AG641" s="23"/>
      <c r="AI641" s="26"/>
      <c r="AJ641" s="23"/>
      <c r="AM641" s="23"/>
      <c r="AO641" s="32"/>
      <c r="AP641" s="26"/>
      <c r="AR641" s="26"/>
      <c r="AS641" s="27"/>
      <c r="AT641" s="27"/>
      <c r="AU641" s="31"/>
      <c r="AV641" s="24"/>
      <c r="AW641"/>
      <c r="AX641"/>
      <c r="AY641"/>
      <c r="AZ641"/>
      <c r="BA641"/>
      <c r="BB641"/>
      <c r="BC641"/>
      <c r="BD641"/>
      <c r="BE641"/>
      <c r="BF641"/>
      <c r="BG641"/>
    </row>
    <row r="642" spans="2:59" x14ac:dyDescent="0.25">
      <c r="B642" s="22"/>
      <c r="C642" s="23"/>
      <c r="E642" s="23"/>
      <c r="F642" s="24"/>
      <c r="G642" s="2"/>
      <c r="H642" s="10" t="e">
        <f>_xlfn.XLOOKUP(F642,Viloyatlar24[RegionName],Viloyatlar24[RegionId])</f>
        <v>#N/A</v>
      </c>
      <c r="I642" s="10" t="e">
        <f>_xlfn.XLOOKUP('Кўчмас мулк объектлари'!G642,Tumanlar23[DistrictName],Tumanlar23[DistrictId])</f>
        <v>#N/A</v>
      </c>
      <c r="K642" s="24"/>
      <c r="L642" s="10" t="e">
        <f>_xlfn.XLOOKUP(K642,Ташкилотлар39[Ташкилотлар],Ташкилотлар39[TashklilotID])</f>
        <v>#N/A</v>
      </c>
      <c r="M642" s="26"/>
      <c r="N642" s="26"/>
      <c r="O642" s="24"/>
      <c r="P642" s="2"/>
      <c r="Q642" s="26"/>
      <c r="R642" s="26"/>
      <c r="S642" s="26"/>
      <c r="T642" s="26"/>
      <c r="U642" s="24"/>
      <c r="V642" s="10" t="e">
        <f>_xlfn.XLOOKUP(U642,Таклифлар37[Таклифлар],Таклифлар37[TaklifID])</f>
        <v>#N/A</v>
      </c>
      <c r="W642" s="24"/>
      <c r="X642" s="23"/>
      <c r="Y642" s="7"/>
      <c r="Z642" s="26"/>
      <c r="AB642" s="23"/>
      <c r="AD642" s="2"/>
      <c r="AG642" s="23"/>
      <c r="AI642" s="26"/>
      <c r="AJ642" s="23"/>
      <c r="AM642" s="23"/>
      <c r="AO642" s="32"/>
      <c r="AP642" s="26"/>
      <c r="AR642" s="26"/>
      <c r="AS642" s="27"/>
      <c r="AT642" s="27"/>
      <c r="AU642" s="31"/>
      <c r="AV642" s="24"/>
      <c r="AW642"/>
      <c r="AX642"/>
      <c r="AY642"/>
      <c r="AZ642"/>
      <c r="BA642"/>
      <c r="BB642"/>
      <c r="BC642"/>
      <c r="BD642"/>
      <c r="BE642"/>
      <c r="BF642"/>
      <c r="BG642"/>
    </row>
    <row r="643" spans="2:59" x14ac:dyDescent="0.25">
      <c r="B643" s="22"/>
      <c r="C643" s="23"/>
      <c r="E643" s="23"/>
      <c r="F643" s="24"/>
      <c r="G643" s="2"/>
      <c r="H643" s="10" t="e">
        <f>_xlfn.XLOOKUP(F643,Viloyatlar24[RegionName],Viloyatlar24[RegionId])</f>
        <v>#N/A</v>
      </c>
      <c r="I643" s="10" t="e">
        <f>_xlfn.XLOOKUP('Кўчмас мулк объектлари'!G643,Tumanlar23[DistrictName],Tumanlar23[DistrictId])</f>
        <v>#N/A</v>
      </c>
      <c r="K643" s="24"/>
      <c r="L643" s="10" t="e">
        <f>_xlfn.XLOOKUP(K643,Ташкилотлар39[Ташкилотлар],Ташкилотлар39[TashklilotID])</f>
        <v>#N/A</v>
      </c>
      <c r="M643" s="26"/>
      <c r="N643" s="26"/>
      <c r="O643" s="24"/>
      <c r="P643" s="2"/>
      <c r="Q643" s="26"/>
      <c r="R643" s="26"/>
      <c r="S643" s="26"/>
      <c r="T643" s="26"/>
      <c r="U643" s="24"/>
      <c r="V643" s="10" t="e">
        <f>_xlfn.XLOOKUP(U643,Таклифлар37[Таклифлар],Таклифлар37[TaklifID])</f>
        <v>#N/A</v>
      </c>
      <c r="W643" s="24"/>
      <c r="X643" s="23"/>
      <c r="Y643" s="7"/>
      <c r="Z643" s="26"/>
      <c r="AB643" s="23"/>
      <c r="AD643" s="2"/>
      <c r="AG643" s="23"/>
      <c r="AI643" s="26"/>
      <c r="AJ643" s="23"/>
      <c r="AM643" s="23"/>
      <c r="AO643" s="32"/>
      <c r="AP643" s="26"/>
      <c r="AR643" s="26"/>
      <c r="AS643" s="27"/>
      <c r="AT643" s="27"/>
      <c r="AU643" s="31"/>
      <c r="AV643" s="24"/>
      <c r="AW643"/>
      <c r="AX643"/>
      <c r="AY643"/>
      <c r="AZ643"/>
      <c r="BA643"/>
      <c r="BB643"/>
      <c r="BC643"/>
      <c r="BD643"/>
      <c r="BE643"/>
      <c r="BF643"/>
      <c r="BG643"/>
    </row>
    <row r="644" spans="2:59" x14ac:dyDescent="0.25">
      <c r="B644" s="22"/>
      <c r="C644" s="23"/>
      <c r="E644" s="23"/>
      <c r="F644" s="24"/>
      <c r="G644" s="2"/>
      <c r="H644" s="10" t="e">
        <f>_xlfn.XLOOKUP(F644,Viloyatlar24[RegionName],Viloyatlar24[RegionId])</f>
        <v>#N/A</v>
      </c>
      <c r="I644" s="10" t="e">
        <f>_xlfn.XLOOKUP('Кўчмас мулк объектлари'!G644,Tumanlar23[DistrictName],Tumanlar23[DistrictId])</f>
        <v>#N/A</v>
      </c>
      <c r="K644" s="24"/>
      <c r="L644" s="10" t="e">
        <f>_xlfn.XLOOKUP(K644,Ташкилотлар39[Ташкилотлар],Ташкилотлар39[TashklilotID])</f>
        <v>#N/A</v>
      </c>
      <c r="M644" s="26"/>
      <c r="N644" s="26"/>
      <c r="O644" s="24"/>
      <c r="P644" s="2"/>
      <c r="Q644" s="26"/>
      <c r="R644" s="26"/>
      <c r="S644" s="26"/>
      <c r="T644" s="26"/>
      <c r="U644" s="24"/>
      <c r="V644" s="10" t="e">
        <f>_xlfn.XLOOKUP(U644,Таклифлар37[Таклифлар],Таклифлар37[TaklifID])</f>
        <v>#N/A</v>
      </c>
      <c r="W644" s="24"/>
      <c r="X644" s="23"/>
      <c r="Y644" s="7"/>
      <c r="Z644" s="26"/>
      <c r="AB644" s="23"/>
      <c r="AD644" s="2"/>
      <c r="AG644" s="23"/>
      <c r="AI644" s="26"/>
      <c r="AJ644" s="23"/>
      <c r="AM644" s="23"/>
      <c r="AO644" s="32"/>
      <c r="AP644" s="26"/>
      <c r="AR644" s="26"/>
      <c r="AS644" s="27"/>
      <c r="AT644" s="27"/>
      <c r="AU644" s="31"/>
      <c r="AV644" s="24"/>
      <c r="AW644"/>
      <c r="AX644"/>
      <c r="AY644"/>
      <c r="AZ644"/>
      <c r="BA644"/>
      <c r="BB644"/>
      <c r="BC644"/>
      <c r="BD644"/>
      <c r="BE644"/>
      <c r="BF644"/>
      <c r="BG644"/>
    </row>
    <row r="645" spans="2:59" x14ac:dyDescent="0.25">
      <c r="B645" s="22"/>
      <c r="C645" s="23"/>
      <c r="E645" s="23"/>
      <c r="F645" s="24"/>
      <c r="G645" s="2"/>
      <c r="H645" s="10" t="e">
        <f>_xlfn.XLOOKUP(F645,Viloyatlar24[RegionName],Viloyatlar24[RegionId])</f>
        <v>#N/A</v>
      </c>
      <c r="I645" s="10" t="e">
        <f>_xlfn.XLOOKUP('Кўчмас мулк объектлари'!G645,Tumanlar23[DistrictName],Tumanlar23[DistrictId])</f>
        <v>#N/A</v>
      </c>
      <c r="K645" s="24"/>
      <c r="L645" s="10" t="e">
        <f>_xlfn.XLOOKUP(K645,Ташкилотлар39[Ташкилотлар],Ташкилотлар39[TashklilotID])</f>
        <v>#N/A</v>
      </c>
      <c r="M645" s="26"/>
      <c r="N645" s="26"/>
      <c r="O645" s="24"/>
      <c r="P645" s="2"/>
      <c r="Q645" s="26"/>
      <c r="R645" s="26"/>
      <c r="S645" s="26"/>
      <c r="T645" s="26"/>
      <c r="U645" s="24"/>
      <c r="V645" s="10" t="e">
        <f>_xlfn.XLOOKUP(U645,Таклифлар37[Таклифлар],Таклифлар37[TaklifID])</f>
        <v>#N/A</v>
      </c>
      <c r="W645" s="24"/>
      <c r="X645" s="23"/>
      <c r="Y645" s="7"/>
      <c r="Z645" s="26"/>
      <c r="AB645" s="23"/>
      <c r="AD645" s="2"/>
      <c r="AG645" s="23"/>
      <c r="AI645" s="26"/>
      <c r="AJ645" s="23"/>
      <c r="AM645" s="23"/>
      <c r="AO645" s="32"/>
      <c r="AP645" s="26"/>
      <c r="AR645" s="26"/>
      <c r="AS645" s="27"/>
      <c r="AT645" s="27"/>
      <c r="AU645" s="31"/>
      <c r="AV645" s="24"/>
      <c r="AW645"/>
      <c r="AX645"/>
      <c r="AY645"/>
      <c r="AZ645"/>
      <c r="BA645"/>
      <c r="BB645"/>
      <c r="BC645"/>
      <c r="BD645"/>
      <c r="BE645"/>
      <c r="BF645"/>
      <c r="BG645"/>
    </row>
    <row r="646" spans="2:59" x14ac:dyDescent="0.25">
      <c r="B646" s="22"/>
      <c r="C646" s="23"/>
      <c r="E646" s="23"/>
      <c r="F646" s="24"/>
      <c r="G646" s="2"/>
      <c r="H646" s="10" t="e">
        <f>_xlfn.XLOOKUP(F646,Viloyatlar24[RegionName],Viloyatlar24[RegionId])</f>
        <v>#N/A</v>
      </c>
      <c r="I646" s="10" t="e">
        <f>_xlfn.XLOOKUP('Кўчмас мулк объектлари'!G646,Tumanlar23[DistrictName],Tumanlar23[DistrictId])</f>
        <v>#N/A</v>
      </c>
      <c r="K646" s="24"/>
      <c r="L646" s="10" t="e">
        <f>_xlfn.XLOOKUP(K646,Ташкилотлар39[Ташкилотлар],Ташкилотлар39[TashklilotID])</f>
        <v>#N/A</v>
      </c>
      <c r="M646" s="26"/>
      <c r="N646" s="26"/>
      <c r="O646" s="24"/>
      <c r="P646" s="2"/>
      <c r="Q646" s="26"/>
      <c r="R646" s="26"/>
      <c r="S646" s="26"/>
      <c r="T646" s="26"/>
      <c r="U646" s="24"/>
      <c r="V646" s="10" t="e">
        <f>_xlfn.XLOOKUP(U646,Таклифлар37[Таклифлар],Таклифлар37[TaklifID])</f>
        <v>#N/A</v>
      </c>
      <c r="W646" s="24"/>
      <c r="X646" s="23"/>
      <c r="Y646" s="7"/>
      <c r="Z646" s="26"/>
      <c r="AB646" s="23"/>
      <c r="AD646" s="2"/>
      <c r="AG646" s="23"/>
      <c r="AI646" s="26"/>
      <c r="AJ646" s="23"/>
      <c r="AM646" s="23"/>
      <c r="AO646" s="32"/>
      <c r="AP646" s="26"/>
      <c r="AR646" s="26"/>
      <c r="AS646" s="27"/>
      <c r="AT646" s="27"/>
      <c r="AU646" s="31"/>
      <c r="AV646" s="24"/>
      <c r="AW646"/>
      <c r="AX646"/>
      <c r="AY646"/>
      <c r="AZ646"/>
      <c r="BA646"/>
      <c r="BB646"/>
      <c r="BC646"/>
      <c r="BD646"/>
      <c r="BE646"/>
      <c r="BF646"/>
      <c r="BG646"/>
    </row>
    <row r="647" spans="2:59" x14ac:dyDescent="0.25">
      <c r="B647" s="22"/>
      <c r="C647" s="23"/>
      <c r="E647" s="23"/>
      <c r="F647" s="24"/>
      <c r="G647" s="2"/>
      <c r="H647" s="10" t="e">
        <f>_xlfn.XLOOKUP(F647,Viloyatlar24[RegionName],Viloyatlar24[RegionId])</f>
        <v>#N/A</v>
      </c>
      <c r="I647" s="10" t="e">
        <f>_xlfn.XLOOKUP('Кўчмас мулк объектлари'!G647,Tumanlar23[DistrictName],Tumanlar23[DistrictId])</f>
        <v>#N/A</v>
      </c>
      <c r="K647" s="24"/>
      <c r="L647" s="10" t="e">
        <f>_xlfn.XLOOKUP(K647,Ташкилотлар39[Ташкилотлар],Ташкилотлар39[TashklilotID])</f>
        <v>#N/A</v>
      </c>
      <c r="M647" s="26"/>
      <c r="N647" s="26"/>
      <c r="O647" s="24"/>
      <c r="P647" s="2"/>
      <c r="Q647" s="26"/>
      <c r="R647" s="26"/>
      <c r="S647" s="26"/>
      <c r="T647" s="26"/>
      <c r="U647" s="24"/>
      <c r="V647" s="10" t="e">
        <f>_xlfn.XLOOKUP(U647,Таклифлар37[Таклифлар],Таклифлар37[TaklifID])</f>
        <v>#N/A</v>
      </c>
      <c r="W647" s="24"/>
      <c r="X647" s="23"/>
      <c r="Y647" s="7"/>
      <c r="Z647" s="26"/>
      <c r="AB647" s="23"/>
      <c r="AD647" s="2"/>
      <c r="AG647" s="23"/>
      <c r="AI647" s="26"/>
      <c r="AJ647" s="23"/>
      <c r="AM647" s="23"/>
      <c r="AO647" s="32"/>
      <c r="AP647" s="26"/>
      <c r="AR647" s="26"/>
      <c r="AS647" s="27"/>
      <c r="AT647" s="27"/>
      <c r="AU647" s="31"/>
      <c r="AV647" s="24"/>
      <c r="AW647"/>
      <c r="AX647"/>
      <c r="AY647"/>
      <c r="AZ647"/>
      <c r="BA647"/>
      <c r="BB647"/>
      <c r="BC647"/>
      <c r="BD647"/>
      <c r="BE647"/>
      <c r="BF647"/>
      <c r="BG647"/>
    </row>
    <row r="648" spans="2:59" x14ac:dyDescent="0.25">
      <c r="B648" s="22"/>
      <c r="C648" s="23"/>
      <c r="E648" s="23"/>
      <c r="F648" s="24"/>
      <c r="G648" s="2"/>
      <c r="H648" s="10" t="e">
        <f>_xlfn.XLOOKUP(F648,Viloyatlar24[RegionName],Viloyatlar24[RegionId])</f>
        <v>#N/A</v>
      </c>
      <c r="I648" s="10" t="e">
        <f>_xlfn.XLOOKUP('Кўчмас мулк объектлари'!G648,Tumanlar23[DistrictName],Tumanlar23[DistrictId])</f>
        <v>#N/A</v>
      </c>
      <c r="K648" s="24"/>
      <c r="L648" s="10" t="e">
        <f>_xlfn.XLOOKUP(K648,Ташкилотлар39[Ташкилотлар],Ташкилотлар39[TashklilotID])</f>
        <v>#N/A</v>
      </c>
      <c r="M648" s="26"/>
      <c r="N648" s="26"/>
      <c r="O648" s="24"/>
      <c r="P648" s="2"/>
      <c r="Q648" s="26"/>
      <c r="R648" s="26"/>
      <c r="S648" s="26"/>
      <c r="T648" s="26"/>
      <c r="U648" s="24"/>
      <c r="V648" s="10" t="e">
        <f>_xlfn.XLOOKUP(U648,Таклифлар37[Таклифлар],Таклифлар37[TaklifID])</f>
        <v>#N/A</v>
      </c>
      <c r="W648" s="24"/>
      <c r="X648" s="23"/>
      <c r="Y648" s="7"/>
      <c r="Z648" s="26"/>
      <c r="AB648" s="23"/>
      <c r="AD648" s="2"/>
      <c r="AG648" s="23"/>
      <c r="AI648" s="26"/>
      <c r="AJ648" s="23"/>
      <c r="AM648" s="23"/>
      <c r="AO648" s="32"/>
      <c r="AP648" s="26"/>
      <c r="AR648" s="26"/>
      <c r="AS648" s="27"/>
      <c r="AT648" s="27"/>
      <c r="AU648" s="31"/>
      <c r="AV648" s="24"/>
      <c r="AW648"/>
      <c r="AX648"/>
      <c r="AY648"/>
      <c r="AZ648"/>
      <c r="BA648"/>
      <c r="BB648"/>
      <c r="BC648"/>
      <c r="BD648"/>
      <c r="BE648"/>
      <c r="BF648"/>
      <c r="BG648"/>
    </row>
    <row r="649" spans="2:59" x14ac:dyDescent="0.25">
      <c r="B649" s="22"/>
      <c r="C649" s="23"/>
      <c r="E649" s="23"/>
      <c r="F649" s="24"/>
      <c r="G649" s="2"/>
      <c r="H649" s="10" t="e">
        <f>_xlfn.XLOOKUP(F649,Viloyatlar24[RegionName],Viloyatlar24[RegionId])</f>
        <v>#N/A</v>
      </c>
      <c r="I649" s="10" t="e">
        <f>_xlfn.XLOOKUP('Кўчмас мулк объектлари'!G649,Tumanlar23[DistrictName],Tumanlar23[DistrictId])</f>
        <v>#N/A</v>
      </c>
      <c r="K649" s="24"/>
      <c r="L649" s="10" t="e">
        <f>_xlfn.XLOOKUP(K649,Ташкилотлар39[Ташкилотлар],Ташкилотлар39[TashklilotID])</f>
        <v>#N/A</v>
      </c>
      <c r="M649" s="26"/>
      <c r="N649" s="26"/>
      <c r="O649" s="24"/>
      <c r="P649" s="2"/>
      <c r="Q649" s="26"/>
      <c r="R649" s="26"/>
      <c r="S649" s="26"/>
      <c r="T649" s="26"/>
      <c r="U649" s="24"/>
      <c r="V649" s="10" t="e">
        <f>_xlfn.XLOOKUP(U649,Таклифлар37[Таклифлар],Таклифлар37[TaklifID])</f>
        <v>#N/A</v>
      </c>
      <c r="W649" s="24"/>
      <c r="X649" s="23"/>
      <c r="Y649" s="7"/>
      <c r="Z649" s="26"/>
      <c r="AB649" s="23"/>
      <c r="AD649" s="2"/>
      <c r="AG649" s="23"/>
      <c r="AI649" s="26"/>
      <c r="AJ649" s="23"/>
      <c r="AM649" s="23"/>
      <c r="AO649" s="32"/>
      <c r="AP649" s="26"/>
      <c r="AR649" s="26"/>
      <c r="AS649" s="27"/>
      <c r="AT649" s="27"/>
      <c r="AU649" s="31"/>
      <c r="AV649" s="24"/>
      <c r="AW649"/>
      <c r="AX649"/>
      <c r="AY649"/>
      <c r="AZ649"/>
      <c r="BA649"/>
      <c r="BB649"/>
      <c r="BC649"/>
      <c r="BD649"/>
      <c r="BE649"/>
      <c r="BF649"/>
      <c r="BG649"/>
    </row>
    <row r="650" spans="2:59" x14ac:dyDescent="0.25">
      <c r="B650" s="22"/>
      <c r="C650" s="23"/>
      <c r="E650" s="23"/>
      <c r="F650" s="24"/>
      <c r="G650" s="2"/>
      <c r="H650" s="10" t="e">
        <f>_xlfn.XLOOKUP(F650,Viloyatlar24[RegionName],Viloyatlar24[RegionId])</f>
        <v>#N/A</v>
      </c>
      <c r="I650" s="10" t="e">
        <f>_xlfn.XLOOKUP('Кўчмас мулк объектлари'!G650,Tumanlar23[DistrictName],Tumanlar23[DistrictId])</f>
        <v>#N/A</v>
      </c>
      <c r="K650" s="24"/>
      <c r="L650" s="10" t="e">
        <f>_xlfn.XLOOKUP(K650,Ташкилотлар39[Ташкилотлар],Ташкилотлар39[TashklilotID])</f>
        <v>#N/A</v>
      </c>
      <c r="M650" s="26"/>
      <c r="N650" s="26"/>
      <c r="O650" s="24"/>
      <c r="P650" s="2"/>
      <c r="Q650" s="26"/>
      <c r="R650" s="26"/>
      <c r="S650" s="26"/>
      <c r="T650" s="26"/>
      <c r="U650" s="24"/>
      <c r="V650" s="10" t="e">
        <f>_xlfn.XLOOKUP(U650,Таклифлар37[Таклифлар],Таклифлар37[TaklifID])</f>
        <v>#N/A</v>
      </c>
      <c r="W650" s="24"/>
      <c r="X650" s="23"/>
      <c r="Y650" s="7"/>
      <c r="Z650" s="26"/>
      <c r="AB650" s="23"/>
      <c r="AD650" s="2"/>
      <c r="AG650" s="23"/>
      <c r="AI650" s="26"/>
      <c r="AJ650" s="23"/>
      <c r="AM650" s="23"/>
      <c r="AO650" s="32"/>
      <c r="AP650" s="26"/>
      <c r="AR650" s="26"/>
      <c r="AS650" s="27"/>
      <c r="AT650" s="27"/>
      <c r="AU650" s="31"/>
      <c r="AV650" s="24"/>
      <c r="AW650"/>
      <c r="AX650"/>
      <c r="AY650"/>
      <c r="AZ650"/>
      <c r="BA650"/>
      <c r="BB650"/>
      <c r="BC650"/>
      <c r="BD650"/>
      <c r="BE650"/>
      <c r="BF650"/>
      <c r="BG650"/>
    </row>
    <row r="651" spans="2:59" x14ac:dyDescent="0.25">
      <c r="B651" s="22"/>
      <c r="C651" s="23"/>
      <c r="E651" s="23"/>
      <c r="F651" s="24"/>
      <c r="G651" s="2"/>
      <c r="H651" s="10" t="e">
        <f>_xlfn.XLOOKUP(F651,Viloyatlar24[RegionName],Viloyatlar24[RegionId])</f>
        <v>#N/A</v>
      </c>
      <c r="I651" s="10" t="e">
        <f>_xlfn.XLOOKUP('Кўчмас мулк объектлари'!G651,Tumanlar23[DistrictName],Tumanlar23[DistrictId])</f>
        <v>#N/A</v>
      </c>
      <c r="K651" s="24"/>
      <c r="L651" s="10" t="e">
        <f>_xlfn.XLOOKUP(K651,Ташкилотлар39[Ташкилотлар],Ташкилотлар39[TashklilotID])</f>
        <v>#N/A</v>
      </c>
      <c r="M651" s="26"/>
      <c r="N651" s="26"/>
      <c r="O651" s="24"/>
      <c r="P651" s="2"/>
      <c r="Q651" s="26"/>
      <c r="R651" s="26"/>
      <c r="S651" s="26"/>
      <c r="T651" s="26"/>
      <c r="U651" s="24"/>
      <c r="V651" s="10" t="e">
        <f>_xlfn.XLOOKUP(U651,Таклифлар37[Таклифлар],Таклифлар37[TaklifID])</f>
        <v>#N/A</v>
      </c>
      <c r="W651" s="24"/>
      <c r="X651" s="23"/>
      <c r="Y651" s="7"/>
      <c r="Z651" s="26"/>
      <c r="AB651" s="23"/>
      <c r="AD651" s="2"/>
      <c r="AG651" s="23"/>
      <c r="AI651" s="26"/>
      <c r="AJ651" s="23"/>
      <c r="AM651" s="23"/>
      <c r="AO651" s="32"/>
      <c r="AP651" s="26"/>
      <c r="AR651" s="26"/>
      <c r="AS651" s="27"/>
      <c r="AT651" s="27"/>
      <c r="AU651" s="31"/>
      <c r="AV651" s="24"/>
      <c r="AW651"/>
      <c r="AX651"/>
      <c r="AY651"/>
      <c r="AZ651"/>
      <c r="BA651"/>
      <c r="BB651"/>
      <c r="BC651"/>
      <c r="BD651"/>
      <c r="BE651"/>
      <c r="BF651"/>
      <c r="BG651"/>
    </row>
    <row r="652" spans="2:59" x14ac:dyDescent="0.25">
      <c r="B652" s="22"/>
      <c r="C652" s="23"/>
      <c r="E652" s="23"/>
      <c r="F652" s="24"/>
      <c r="G652" s="2"/>
      <c r="H652" s="10" t="e">
        <f>_xlfn.XLOOKUP(F652,Viloyatlar24[RegionName],Viloyatlar24[RegionId])</f>
        <v>#N/A</v>
      </c>
      <c r="I652" s="10" t="e">
        <f>_xlfn.XLOOKUP('Кўчмас мулк объектлари'!G652,Tumanlar23[DistrictName],Tumanlar23[DistrictId])</f>
        <v>#N/A</v>
      </c>
      <c r="K652" s="24"/>
      <c r="L652" s="10" t="e">
        <f>_xlfn.XLOOKUP(K652,Ташкилотлар39[Ташкилотлар],Ташкилотлар39[TashklilotID])</f>
        <v>#N/A</v>
      </c>
      <c r="M652" s="26"/>
      <c r="N652" s="26"/>
      <c r="O652" s="24"/>
      <c r="P652" s="2"/>
      <c r="Q652" s="26"/>
      <c r="R652" s="26"/>
      <c r="S652" s="26"/>
      <c r="T652" s="26"/>
      <c r="U652" s="24"/>
      <c r="V652" s="10" t="e">
        <f>_xlfn.XLOOKUP(U652,Таклифлар37[Таклифлар],Таклифлар37[TaklifID])</f>
        <v>#N/A</v>
      </c>
      <c r="W652" s="24"/>
      <c r="X652" s="23"/>
      <c r="Y652" s="7"/>
      <c r="Z652" s="26"/>
      <c r="AB652" s="23"/>
      <c r="AD652" s="2"/>
      <c r="AG652" s="23"/>
      <c r="AI652" s="26"/>
      <c r="AJ652" s="23"/>
      <c r="AM652" s="23"/>
      <c r="AO652" s="32"/>
      <c r="AP652" s="26"/>
      <c r="AR652" s="26"/>
      <c r="AS652" s="27"/>
      <c r="AT652" s="27"/>
      <c r="AU652" s="31"/>
      <c r="AV652" s="24"/>
      <c r="AW652"/>
      <c r="AX652"/>
      <c r="AY652"/>
      <c r="AZ652"/>
      <c r="BA652"/>
      <c r="BB652"/>
      <c r="BC652"/>
      <c r="BD652"/>
      <c r="BE652"/>
      <c r="BF652"/>
      <c r="BG652"/>
    </row>
    <row r="653" spans="2:59" x14ac:dyDescent="0.25">
      <c r="B653" s="22"/>
      <c r="C653" s="23"/>
      <c r="E653" s="23"/>
      <c r="F653" s="24"/>
      <c r="G653" s="2"/>
      <c r="H653" s="10" t="e">
        <f>_xlfn.XLOOKUP(F653,Viloyatlar24[RegionName],Viloyatlar24[RegionId])</f>
        <v>#N/A</v>
      </c>
      <c r="I653" s="10" t="e">
        <f>_xlfn.XLOOKUP('Кўчмас мулк объектлари'!G653,Tumanlar23[DistrictName],Tumanlar23[DistrictId])</f>
        <v>#N/A</v>
      </c>
      <c r="K653" s="24"/>
      <c r="L653" s="10" t="e">
        <f>_xlfn.XLOOKUP(K653,Ташкилотлар39[Ташкилотлар],Ташкилотлар39[TashklilotID])</f>
        <v>#N/A</v>
      </c>
      <c r="M653" s="26"/>
      <c r="N653" s="26"/>
      <c r="O653" s="24"/>
      <c r="P653" s="2"/>
      <c r="Q653" s="26"/>
      <c r="R653" s="26"/>
      <c r="S653" s="26"/>
      <c r="T653" s="26"/>
      <c r="U653" s="24"/>
      <c r="V653" s="10" t="e">
        <f>_xlfn.XLOOKUP(U653,Таклифлар37[Таклифлар],Таклифлар37[TaklifID])</f>
        <v>#N/A</v>
      </c>
      <c r="W653" s="24"/>
      <c r="X653" s="23"/>
      <c r="Y653" s="7"/>
      <c r="Z653" s="26"/>
      <c r="AB653" s="23"/>
      <c r="AD653" s="2"/>
      <c r="AG653" s="23"/>
      <c r="AI653" s="26"/>
      <c r="AJ653" s="23"/>
      <c r="AM653" s="23"/>
      <c r="AO653" s="32"/>
      <c r="AP653" s="26"/>
      <c r="AR653" s="26"/>
      <c r="AS653" s="27"/>
      <c r="AT653" s="27"/>
      <c r="AU653" s="31"/>
      <c r="AV653" s="24"/>
      <c r="AW653"/>
      <c r="AX653"/>
      <c r="AY653"/>
      <c r="AZ653"/>
      <c r="BA653"/>
      <c r="BB653"/>
      <c r="BC653"/>
      <c r="BD653"/>
      <c r="BE653"/>
      <c r="BF653"/>
      <c r="BG653"/>
    </row>
    <row r="654" spans="2:59" x14ac:dyDescent="0.25">
      <c r="B654" s="22"/>
      <c r="C654" s="23"/>
      <c r="E654" s="23"/>
      <c r="F654" s="24"/>
      <c r="G654" s="2"/>
      <c r="H654" s="10" t="e">
        <f>_xlfn.XLOOKUP(F654,Viloyatlar24[RegionName],Viloyatlar24[RegionId])</f>
        <v>#N/A</v>
      </c>
      <c r="I654" s="10" t="e">
        <f>_xlfn.XLOOKUP('Кўчмас мулк объектлари'!G654,Tumanlar23[DistrictName],Tumanlar23[DistrictId])</f>
        <v>#N/A</v>
      </c>
      <c r="K654" s="24"/>
      <c r="L654" s="10" t="e">
        <f>_xlfn.XLOOKUP(K654,Ташкилотлар39[Ташкилотлар],Ташкилотлар39[TashklilotID])</f>
        <v>#N/A</v>
      </c>
      <c r="M654" s="26"/>
      <c r="N654" s="26"/>
      <c r="O654" s="24"/>
      <c r="P654" s="2"/>
      <c r="Q654" s="26"/>
      <c r="R654" s="26"/>
      <c r="S654" s="26"/>
      <c r="T654" s="26"/>
      <c r="U654" s="24"/>
      <c r="V654" s="10" t="e">
        <f>_xlfn.XLOOKUP(U654,Таклифлар37[Таклифлар],Таклифлар37[TaklifID])</f>
        <v>#N/A</v>
      </c>
      <c r="W654" s="24"/>
      <c r="X654" s="23"/>
      <c r="Y654" s="7"/>
      <c r="Z654" s="26"/>
      <c r="AB654" s="23"/>
      <c r="AD654" s="2"/>
      <c r="AG654" s="23"/>
      <c r="AI654" s="26"/>
      <c r="AJ654" s="23"/>
      <c r="AM654" s="23"/>
      <c r="AO654" s="32"/>
      <c r="AP654" s="26"/>
      <c r="AR654" s="26"/>
      <c r="AS654" s="27"/>
      <c r="AT654" s="27"/>
      <c r="AU654" s="31"/>
      <c r="AV654" s="24"/>
      <c r="AW654"/>
      <c r="AX654"/>
      <c r="AY654"/>
      <c r="AZ654"/>
      <c r="BA654"/>
      <c r="BB654"/>
      <c r="BC654"/>
      <c r="BD654"/>
      <c r="BE654"/>
      <c r="BF654"/>
      <c r="BG654"/>
    </row>
    <row r="655" spans="2:59" x14ac:dyDescent="0.25">
      <c r="B655" s="22"/>
      <c r="C655" s="23"/>
      <c r="E655" s="23"/>
      <c r="F655" s="24"/>
      <c r="G655" s="2"/>
      <c r="H655" s="10" t="e">
        <f>_xlfn.XLOOKUP(F655,Viloyatlar24[RegionName],Viloyatlar24[RegionId])</f>
        <v>#N/A</v>
      </c>
      <c r="I655" s="10" t="e">
        <f>_xlfn.XLOOKUP('Кўчмас мулк объектлари'!G655,Tumanlar23[DistrictName],Tumanlar23[DistrictId])</f>
        <v>#N/A</v>
      </c>
      <c r="K655" s="24"/>
      <c r="L655" s="10" t="e">
        <f>_xlfn.XLOOKUP(K655,Ташкилотлар39[Ташкилотлар],Ташкилотлар39[TashklilotID])</f>
        <v>#N/A</v>
      </c>
      <c r="M655" s="26"/>
      <c r="N655" s="26"/>
      <c r="O655" s="24"/>
      <c r="P655" s="2"/>
      <c r="Q655" s="26"/>
      <c r="R655" s="26"/>
      <c r="S655" s="26"/>
      <c r="T655" s="26"/>
      <c r="U655" s="24"/>
      <c r="V655" s="10" t="e">
        <f>_xlfn.XLOOKUP(U655,Таклифлар37[Таклифлар],Таклифлар37[TaklifID])</f>
        <v>#N/A</v>
      </c>
      <c r="W655" s="24"/>
      <c r="X655" s="23"/>
      <c r="Y655" s="7"/>
      <c r="Z655" s="26"/>
      <c r="AB655" s="23"/>
      <c r="AD655" s="2"/>
      <c r="AG655" s="23"/>
      <c r="AI655" s="26"/>
      <c r="AJ655" s="23"/>
      <c r="AM655" s="23"/>
      <c r="AO655" s="32"/>
      <c r="AP655" s="26"/>
      <c r="AR655" s="26"/>
      <c r="AS655" s="27"/>
      <c r="AT655" s="27"/>
      <c r="AU655" s="31"/>
      <c r="AV655" s="24"/>
      <c r="AW655"/>
      <c r="AX655"/>
      <c r="AY655"/>
      <c r="AZ655"/>
      <c r="BA655"/>
      <c r="BB655"/>
      <c r="BC655"/>
      <c r="BD655"/>
      <c r="BE655"/>
      <c r="BF655"/>
      <c r="BG655"/>
    </row>
    <row r="656" spans="2:59" x14ac:dyDescent="0.25">
      <c r="B656" s="22"/>
      <c r="C656" s="23"/>
      <c r="E656" s="23"/>
      <c r="F656" s="24"/>
      <c r="G656" s="2"/>
      <c r="H656" s="10" t="e">
        <f>_xlfn.XLOOKUP(F656,Viloyatlar24[RegionName],Viloyatlar24[RegionId])</f>
        <v>#N/A</v>
      </c>
      <c r="I656" s="10" t="e">
        <f>_xlfn.XLOOKUP('Кўчмас мулк объектлари'!G656,Tumanlar23[DistrictName],Tumanlar23[DistrictId])</f>
        <v>#N/A</v>
      </c>
      <c r="K656" s="24"/>
      <c r="L656" s="10" t="e">
        <f>_xlfn.XLOOKUP(K656,Ташкилотлар39[Ташкилотлар],Ташкилотлар39[TashklilotID])</f>
        <v>#N/A</v>
      </c>
      <c r="M656" s="26"/>
      <c r="N656" s="26"/>
      <c r="O656" s="24"/>
      <c r="P656" s="2"/>
      <c r="Q656" s="26"/>
      <c r="R656" s="26"/>
      <c r="S656" s="26"/>
      <c r="T656" s="26"/>
      <c r="U656" s="24"/>
      <c r="V656" s="10" t="e">
        <f>_xlfn.XLOOKUP(U656,Таклифлар37[Таклифлар],Таклифлар37[TaklifID])</f>
        <v>#N/A</v>
      </c>
      <c r="W656" s="24"/>
      <c r="X656" s="23"/>
      <c r="Y656" s="7"/>
      <c r="Z656" s="26"/>
      <c r="AB656" s="23"/>
      <c r="AD656" s="2"/>
      <c r="AG656" s="23"/>
      <c r="AI656" s="26"/>
      <c r="AJ656" s="23"/>
      <c r="AM656" s="23"/>
      <c r="AO656" s="32"/>
      <c r="AP656" s="26"/>
      <c r="AR656" s="26"/>
      <c r="AS656" s="27"/>
      <c r="AT656" s="27"/>
      <c r="AU656" s="31"/>
      <c r="AV656" s="24"/>
      <c r="AW656"/>
      <c r="AX656"/>
      <c r="AY656"/>
      <c r="AZ656"/>
      <c r="BA656"/>
      <c r="BB656"/>
      <c r="BC656"/>
      <c r="BD656"/>
      <c r="BE656"/>
      <c r="BF656"/>
      <c r="BG656"/>
    </row>
    <row r="657" spans="2:59" x14ac:dyDescent="0.25">
      <c r="B657" s="22"/>
      <c r="C657" s="23"/>
      <c r="E657" s="23"/>
      <c r="F657" s="24"/>
      <c r="G657" s="2"/>
      <c r="H657" s="10" t="e">
        <f>_xlfn.XLOOKUP(F657,Viloyatlar24[RegionName],Viloyatlar24[RegionId])</f>
        <v>#N/A</v>
      </c>
      <c r="I657" s="10" t="e">
        <f>_xlfn.XLOOKUP('Кўчмас мулк объектлари'!G657,Tumanlar23[DistrictName],Tumanlar23[DistrictId])</f>
        <v>#N/A</v>
      </c>
      <c r="K657" s="24"/>
      <c r="L657" s="10" t="e">
        <f>_xlfn.XLOOKUP(K657,Ташкилотлар39[Ташкилотлар],Ташкилотлар39[TashklilotID])</f>
        <v>#N/A</v>
      </c>
      <c r="M657" s="26"/>
      <c r="N657" s="26"/>
      <c r="O657" s="24"/>
      <c r="P657" s="2"/>
      <c r="Q657" s="26"/>
      <c r="R657" s="26"/>
      <c r="S657" s="26"/>
      <c r="T657" s="26"/>
      <c r="U657" s="24"/>
      <c r="V657" s="10" t="e">
        <f>_xlfn.XLOOKUP(U657,Таклифлар37[Таклифлар],Таклифлар37[TaklifID])</f>
        <v>#N/A</v>
      </c>
      <c r="W657" s="24"/>
      <c r="X657" s="23"/>
      <c r="Y657" s="7"/>
      <c r="Z657" s="26"/>
      <c r="AB657" s="23"/>
      <c r="AD657" s="2"/>
      <c r="AG657" s="23"/>
      <c r="AI657" s="26"/>
      <c r="AJ657" s="23"/>
      <c r="AM657" s="23"/>
      <c r="AO657" s="32"/>
      <c r="AP657" s="26"/>
      <c r="AR657" s="26"/>
      <c r="AS657" s="27"/>
      <c r="AT657" s="27"/>
      <c r="AU657" s="31"/>
      <c r="AV657" s="24"/>
      <c r="AW657"/>
      <c r="AX657"/>
      <c r="AY657"/>
      <c r="AZ657"/>
      <c r="BA657"/>
      <c r="BB657"/>
      <c r="BC657"/>
      <c r="BD657"/>
      <c r="BE657"/>
      <c r="BF657"/>
      <c r="BG657"/>
    </row>
    <row r="658" spans="2:59" x14ac:dyDescent="0.25">
      <c r="B658" s="22"/>
      <c r="C658" s="23"/>
      <c r="E658" s="23"/>
      <c r="F658" s="24"/>
      <c r="G658" s="2"/>
      <c r="H658" s="10" t="e">
        <f>_xlfn.XLOOKUP(F658,Viloyatlar24[RegionName],Viloyatlar24[RegionId])</f>
        <v>#N/A</v>
      </c>
      <c r="I658" s="10" t="e">
        <f>_xlfn.XLOOKUP('Кўчмас мулк объектлари'!G658,Tumanlar23[DistrictName],Tumanlar23[DistrictId])</f>
        <v>#N/A</v>
      </c>
      <c r="K658" s="24"/>
      <c r="L658" s="10" t="e">
        <f>_xlfn.XLOOKUP(K658,Ташкилотлар39[Ташкилотлар],Ташкилотлар39[TashklilotID])</f>
        <v>#N/A</v>
      </c>
      <c r="M658" s="26"/>
      <c r="N658" s="26"/>
      <c r="O658" s="24"/>
      <c r="P658" s="2"/>
      <c r="Q658" s="26"/>
      <c r="R658" s="26"/>
      <c r="S658" s="26"/>
      <c r="T658" s="26"/>
      <c r="U658" s="24"/>
      <c r="V658" s="10" t="e">
        <f>_xlfn.XLOOKUP(U658,Таклифлар37[Таклифлар],Таклифлар37[TaklifID])</f>
        <v>#N/A</v>
      </c>
      <c r="W658" s="24"/>
      <c r="X658" s="23"/>
      <c r="Y658" s="7"/>
      <c r="Z658" s="26"/>
      <c r="AB658" s="23"/>
      <c r="AD658" s="2"/>
      <c r="AG658" s="23"/>
      <c r="AI658" s="26"/>
      <c r="AJ658" s="23"/>
      <c r="AM658" s="23"/>
      <c r="AO658" s="32"/>
      <c r="AP658" s="26"/>
      <c r="AR658" s="26"/>
      <c r="AS658" s="27"/>
      <c r="AT658" s="27"/>
      <c r="AU658" s="31"/>
      <c r="AV658" s="24"/>
      <c r="AW658"/>
      <c r="AX658"/>
      <c r="AY658"/>
      <c r="AZ658"/>
      <c r="BA658"/>
      <c r="BB658"/>
      <c r="BC658"/>
      <c r="BD658"/>
      <c r="BE658"/>
      <c r="BF658"/>
      <c r="BG658"/>
    </row>
    <row r="659" spans="2:59" x14ac:dyDescent="0.25">
      <c r="B659" s="22"/>
      <c r="C659" s="23"/>
      <c r="E659" s="23"/>
      <c r="F659" s="24"/>
      <c r="G659" s="2"/>
      <c r="H659" s="10" t="e">
        <f>_xlfn.XLOOKUP(F659,Viloyatlar24[RegionName],Viloyatlar24[RegionId])</f>
        <v>#N/A</v>
      </c>
      <c r="I659" s="10" t="e">
        <f>_xlfn.XLOOKUP('Кўчмас мулк объектлари'!G659,Tumanlar23[DistrictName],Tumanlar23[DistrictId])</f>
        <v>#N/A</v>
      </c>
      <c r="K659" s="24"/>
      <c r="L659" s="10" t="e">
        <f>_xlfn.XLOOKUP(K659,Ташкилотлар39[Ташкилотлар],Ташкилотлар39[TashklilotID])</f>
        <v>#N/A</v>
      </c>
      <c r="M659" s="26"/>
      <c r="N659" s="26"/>
      <c r="O659" s="24"/>
      <c r="P659" s="2"/>
      <c r="Q659" s="26"/>
      <c r="R659" s="26"/>
      <c r="S659" s="26"/>
      <c r="T659" s="26"/>
      <c r="U659" s="24"/>
      <c r="V659" s="10" t="e">
        <f>_xlfn.XLOOKUP(U659,Таклифлар37[Таклифлар],Таклифлар37[TaklifID])</f>
        <v>#N/A</v>
      </c>
      <c r="W659" s="24"/>
      <c r="X659" s="23"/>
      <c r="Y659" s="7"/>
      <c r="Z659" s="26"/>
      <c r="AB659" s="23"/>
      <c r="AD659" s="2"/>
      <c r="AG659" s="23"/>
      <c r="AI659" s="26"/>
      <c r="AJ659" s="23"/>
      <c r="AM659" s="23"/>
      <c r="AO659" s="32"/>
      <c r="AP659" s="26"/>
      <c r="AR659" s="26"/>
      <c r="AS659" s="27"/>
      <c r="AT659" s="27"/>
      <c r="AU659" s="31"/>
      <c r="AV659" s="24"/>
      <c r="AW659"/>
      <c r="AX659"/>
      <c r="AY659"/>
      <c r="AZ659"/>
      <c r="BA659"/>
      <c r="BB659"/>
      <c r="BC659"/>
      <c r="BD659"/>
      <c r="BE659"/>
      <c r="BF659"/>
      <c r="BG659"/>
    </row>
    <row r="660" spans="2:59" x14ac:dyDescent="0.25">
      <c r="B660" s="22"/>
      <c r="C660" s="23"/>
      <c r="E660" s="23"/>
      <c r="F660" s="24"/>
      <c r="G660" s="2"/>
      <c r="H660" s="10" t="e">
        <f>_xlfn.XLOOKUP(F660,Viloyatlar24[RegionName],Viloyatlar24[RegionId])</f>
        <v>#N/A</v>
      </c>
      <c r="I660" s="10" t="e">
        <f>_xlfn.XLOOKUP('Кўчмас мулк объектлари'!G660,Tumanlar23[DistrictName],Tumanlar23[DistrictId])</f>
        <v>#N/A</v>
      </c>
      <c r="K660" s="24"/>
      <c r="L660" s="10" t="e">
        <f>_xlfn.XLOOKUP(K660,Ташкилотлар39[Ташкилотлар],Ташкилотлар39[TashklilotID])</f>
        <v>#N/A</v>
      </c>
      <c r="M660" s="26"/>
      <c r="N660" s="26"/>
      <c r="O660" s="24"/>
      <c r="P660" s="2"/>
      <c r="Q660" s="26"/>
      <c r="R660" s="26"/>
      <c r="S660" s="26"/>
      <c r="T660" s="26"/>
      <c r="U660" s="24"/>
      <c r="V660" s="10" t="e">
        <f>_xlfn.XLOOKUP(U660,Таклифлар37[Таклифлар],Таклифлар37[TaklifID])</f>
        <v>#N/A</v>
      </c>
      <c r="W660" s="24"/>
      <c r="X660" s="23"/>
      <c r="Y660" s="7"/>
      <c r="Z660" s="26"/>
      <c r="AB660" s="23"/>
      <c r="AD660" s="2"/>
      <c r="AG660" s="23"/>
      <c r="AI660" s="26"/>
      <c r="AJ660" s="23"/>
      <c r="AM660" s="23"/>
      <c r="AO660" s="32"/>
      <c r="AP660" s="26"/>
      <c r="AR660" s="26"/>
      <c r="AS660" s="27"/>
      <c r="AT660" s="27"/>
      <c r="AU660" s="31"/>
      <c r="AV660" s="24"/>
      <c r="AW660"/>
      <c r="AX660"/>
      <c r="AY660"/>
      <c r="AZ660"/>
      <c r="BA660"/>
      <c r="BB660"/>
      <c r="BC660"/>
      <c r="BD660"/>
      <c r="BE660"/>
      <c r="BF660"/>
      <c r="BG660"/>
    </row>
    <row r="661" spans="2:59" x14ac:dyDescent="0.25">
      <c r="B661" s="22"/>
      <c r="C661" s="23"/>
      <c r="E661" s="23"/>
      <c r="F661" s="24"/>
      <c r="G661" s="2"/>
      <c r="H661" s="10" t="e">
        <f>_xlfn.XLOOKUP(F661,Viloyatlar24[RegionName],Viloyatlar24[RegionId])</f>
        <v>#N/A</v>
      </c>
      <c r="I661" s="10" t="e">
        <f>_xlfn.XLOOKUP('Кўчмас мулк объектлари'!G661,Tumanlar23[DistrictName],Tumanlar23[DistrictId])</f>
        <v>#N/A</v>
      </c>
      <c r="K661" s="24"/>
      <c r="L661" s="10" t="e">
        <f>_xlfn.XLOOKUP(K661,Ташкилотлар39[Ташкилотлар],Ташкилотлар39[TashklilotID])</f>
        <v>#N/A</v>
      </c>
      <c r="M661" s="26"/>
      <c r="N661" s="26"/>
      <c r="O661" s="24"/>
      <c r="P661" s="2"/>
      <c r="Q661" s="26"/>
      <c r="R661" s="26"/>
      <c r="S661" s="26"/>
      <c r="T661" s="26"/>
      <c r="U661" s="24"/>
      <c r="V661" s="10" t="e">
        <f>_xlfn.XLOOKUP(U661,Таклифлар37[Таклифлар],Таклифлар37[TaklifID])</f>
        <v>#N/A</v>
      </c>
      <c r="W661" s="24"/>
      <c r="X661" s="23"/>
      <c r="Y661" s="7"/>
      <c r="Z661" s="26"/>
      <c r="AB661" s="23"/>
      <c r="AD661" s="2"/>
      <c r="AG661" s="23"/>
      <c r="AI661" s="26"/>
      <c r="AJ661" s="23"/>
      <c r="AM661" s="23"/>
      <c r="AO661" s="32"/>
      <c r="AP661" s="26"/>
      <c r="AR661" s="26"/>
      <c r="AS661" s="27"/>
      <c r="AT661" s="27"/>
      <c r="AU661" s="31"/>
      <c r="AV661" s="24"/>
      <c r="AW661"/>
      <c r="AX661"/>
      <c r="AY661"/>
      <c r="AZ661"/>
      <c r="BA661"/>
      <c r="BB661"/>
      <c r="BC661"/>
      <c r="BD661"/>
      <c r="BE661"/>
      <c r="BF661"/>
      <c r="BG661"/>
    </row>
    <row r="662" spans="2:59" x14ac:dyDescent="0.25">
      <c r="B662" s="22"/>
      <c r="C662" s="23"/>
      <c r="E662" s="23"/>
      <c r="F662" s="24"/>
      <c r="G662" s="2"/>
      <c r="H662" s="10" t="e">
        <f>_xlfn.XLOOKUP(F662,Viloyatlar24[RegionName],Viloyatlar24[RegionId])</f>
        <v>#N/A</v>
      </c>
      <c r="I662" s="10" t="e">
        <f>_xlfn.XLOOKUP('Кўчмас мулк объектлари'!G662,Tumanlar23[DistrictName],Tumanlar23[DistrictId])</f>
        <v>#N/A</v>
      </c>
      <c r="K662" s="24"/>
      <c r="L662" s="10" t="e">
        <f>_xlfn.XLOOKUP(K662,Ташкилотлар39[Ташкилотлар],Ташкилотлар39[TashklilotID])</f>
        <v>#N/A</v>
      </c>
      <c r="M662" s="26"/>
      <c r="N662" s="26"/>
      <c r="O662" s="24"/>
      <c r="P662" s="2"/>
      <c r="Q662" s="26"/>
      <c r="R662" s="26"/>
      <c r="S662" s="26"/>
      <c r="T662" s="26"/>
      <c r="U662" s="24"/>
      <c r="V662" s="10" t="e">
        <f>_xlfn.XLOOKUP(U662,Таклифлар37[Таклифлар],Таклифлар37[TaklifID])</f>
        <v>#N/A</v>
      </c>
      <c r="W662" s="24"/>
      <c r="X662" s="23"/>
      <c r="Y662" s="7"/>
      <c r="Z662" s="26"/>
      <c r="AB662" s="23"/>
      <c r="AD662" s="2"/>
      <c r="AG662" s="23"/>
      <c r="AI662" s="26"/>
      <c r="AJ662" s="23"/>
      <c r="AM662" s="23"/>
      <c r="AO662" s="32"/>
      <c r="AP662" s="26"/>
      <c r="AR662" s="26"/>
      <c r="AS662" s="27"/>
      <c r="AT662" s="27"/>
      <c r="AU662" s="31"/>
      <c r="AV662" s="24"/>
      <c r="AW662"/>
      <c r="AX662"/>
      <c r="AY662"/>
      <c r="AZ662"/>
      <c r="BA662"/>
      <c r="BB662"/>
      <c r="BC662"/>
      <c r="BD662"/>
      <c r="BE662"/>
      <c r="BF662"/>
      <c r="BG662"/>
    </row>
    <row r="663" spans="2:59" x14ac:dyDescent="0.25">
      <c r="B663" s="22"/>
      <c r="C663" s="23"/>
      <c r="E663" s="23"/>
      <c r="F663" s="24"/>
      <c r="G663" s="2"/>
      <c r="H663" s="10" t="e">
        <f>_xlfn.XLOOKUP(F663,Viloyatlar24[RegionName],Viloyatlar24[RegionId])</f>
        <v>#N/A</v>
      </c>
      <c r="I663" s="10" t="e">
        <f>_xlfn.XLOOKUP('Кўчмас мулк объектлари'!G663,Tumanlar23[DistrictName],Tumanlar23[DistrictId])</f>
        <v>#N/A</v>
      </c>
      <c r="K663" s="24"/>
      <c r="L663" s="10" t="e">
        <f>_xlfn.XLOOKUP(K663,Ташкилотлар39[Ташкилотлар],Ташкилотлар39[TashklilotID])</f>
        <v>#N/A</v>
      </c>
      <c r="M663" s="26"/>
      <c r="N663" s="26"/>
      <c r="O663" s="24"/>
      <c r="P663" s="2"/>
      <c r="Q663" s="26"/>
      <c r="R663" s="26"/>
      <c r="S663" s="26"/>
      <c r="T663" s="26"/>
      <c r="U663" s="24"/>
      <c r="V663" s="10" t="e">
        <f>_xlfn.XLOOKUP(U663,Таклифлар37[Таклифлар],Таклифлар37[TaklifID])</f>
        <v>#N/A</v>
      </c>
      <c r="W663" s="24"/>
      <c r="X663" s="23"/>
      <c r="Y663" s="7"/>
      <c r="Z663" s="26"/>
      <c r="AB663" s="23"/>
      <c r="AD663" s="2"/>
      <c r="AG663" s="23"/>
      <c r="AI663" s="26"/>
      <c r="AJ663" s="23"/>
      <c r="AM663" s="23"/>
      <c r="AO663" s="32"/>
      <c r="AP663" s="26"/>
      <c r="AR663" s="26"/>
      <c r="AS663" s="27"/>
      <c r="AT663" s="27"/>
      <c r="AU663" s="31"/>
      <c r="AV663" s="24"/>
      <c r="AW663"/>
      <c r="AX663"/>
      <c r="AY663"/>
      <c r="AZ663"/>
      <c r="BA663"/>
      <c r="BB663"/>
      <c r="BC663"/>
      <c r="BD663"/>
      <c r="BE663"/>
      <c r="BF663"/>
      <c r="BG663"/>
    </row>
    <row r="664" spans="2:59" x14ac:dyDescent="0.25">
      <c r="B664" s="22"/>
      <c r="C664" s="23"/>
      <c r="E664" s="23"/>
      <c r="F664" s="24"/>
      <c r="G664" s="2"/>
      <c r="H664" s="10" t="e">
        <f>_xlfn.XLOOKUP(F664,Viloyatlar24[RegionName],Viloyatlar24[RegionId])</f>
        <v>#N/A</v>
      </c>
      <c r="I664" s="10" t="e">
        <f>_xlfn.XLOOKUP('Кўчмас мулк объектлари'!G664,Tumanlar23[DistrictName],Tumanlar23[DistrictId])</f>
        <v>#N/A</v>
      </c>
      <c r="K664" s="24"/>
      <c r="L664" s="10" t="e">
        <f>_xlfn.XLOOKUP(K664,Ташкилотлар39[Ташкилотлар],Ташкилотлар39[TashklilotID])</f>
        <v>#N/A</v>
      </c>
      <c r="M664" s="26"/>
      <c r="N664" s="26"/>
      <c r="O664" s="24"/>
      <c r="P664" s="2"/>
      <c r="Q664" s="26"/>
      <c r="R664" s="26"/>
      <c r="S664" s="26"/>
      <c r="T664" s="26"/>
      <c r="U664" s="24"/>
      <c r="V664" s="10" t="e">
        <f>_xlfn.XLOOKUP(U664,Таклифлар37[Таклифлар],Таклифлар37[TaklifID])</f>
        <v>#N/A</v>
      </c>
      <c r="W664" s="24"/>
      <c r="X664" s="23"/>
      <c r="Y664" s="7"/>
      <c r="Z664" s="26"/>
      <c r="AB664" s="23"/>
      <c r="AD664" s="2"/>
      <c r="AG664" s="23"/>
      <c r="AI664" s="26"/>
      <c r="AJ664" s="23"/>
      <c r="AM664" s="23"/>
      <c r="AO664" s="32"/>
      <c r="AP664" s="26"/>
      <c r="AR664" s="26"/>
      <c r="AS664" s="27"/>
      <c r="AT664" s="27"/>
      <c r="AU664" s="31"/>
      <c r="AV664" s="24"/>
      <c r="AW664"/>
      <c r="AX664"/>
      <c r="AY664"/>
      <c r="AZ664"/>
      <c r="BA664"/>
      <c r="BB664"/>
      <c r="BC664"/>
      <c r="BD664"/>
      <c r="BE664"/>
      <c r="BF664"/>
      <c r="BG664"/>
    </row>
    <row r="665" spans="2:59" x14ac:dyDescent="0.25">
      <c r="B665" s="22"/>
      <c r="C665" s="23"/>
      <c r="E665" s="23"/>
      <c r="F665" s="24"/>
      <c r="G665" s="2"/>
      <c r="H665" s="10" t="e">
        <f>_xlfn.XLOOKUP(F665,Viloyatlar24[RegionName],Viloyatlar24[RegionId])</f>
        <v>#N/A</v>
      </c>
      <c r="I665" s="10" t="e">
        <f>_xlfn.XLOOKUP('Кўчмас мулк объектлари'!G665,Tumanlar23[DistrictName],Tumanlar23[DistrictId])</f>
        <v>#N/A</v>
      </c>
      <c r="K665" s="24"/>
      <c r="L665" s="10" t="e">
        <f>_xlfn.XLOOKUP(K665,Ташкилотлар39[Ташкилотлар],Ташкилотлар39[TashklilotID])</f>
        <v>#N/A</v>
      </c>
      <c r="M665" s="26"/>
      <c r="N665" s="26"/>
      <c r="O665" s="24"/>
      <c r="P665" s="2"/>
      <c r="Q665" s="26"/>
      <c r="R665" s="26"/>
      <c r="S665" s="26"/>
      <c r="T665" s="26"/>
      <c r="U665" s="24"/>
      <c r="V665" s="10" t="e">
        <f>_xlfn.XLOOKUP(U665,Таклифлар37[Таклифлар],Таклифлар37[TaklifID])</f>
        <v>#N/A</v>
      </c>
      <c r="W665" s="24"/>
      <c r="X665" s="23"/>
      <c r="Y665" s="7"/>
      <c r="Z665" s="26"/>
      <c r="AB665" s="23"/>
      <c r="AD665" s="2"/>
      <c r="AG665" s="23"/>
      <c r="AI665" s="26"/>
      <c r="AJ665" s="23"/>
      <c r="AM665" s="23"/>
      <c r="AO665" s="32"/>
      <c r="AP665" s="26"/>
      <c r="AR665" s="26"/>
      <c r="AS665" s="27"/>
      <c r="AT665" s="27"/>
      <c r="AU665" s="31"/>
      <c r="AV665" s="24"/>
      <c r="AW665"/>
      <c r="AX665"/>
      <c r="AY665"/>
      <c r="AZ665"/>
      <c r="BA665"/>
      <c r="BB665"/>
      <c r="BC665"/>
      <c r="BD665"/>
      <c r="BE665"/>
      <c r="BF665"/>
      <c r="BG665"/>
    </row>
    <row r="666" spans="2:59" x14ac:dyDescent="0.25">
      <c r="B666" s="22"/>
      <c r="C666" s="23"/>
      <c r="E666" s="23"/>
      <c r="F666" s="24"/>
      <c r="G666" s="2"/>
      <c r="H666" s="10" t="e">
        <f>_xlfn.XLOOKUP(F666,Viloyatlar24[RegionName],Viloyatlar24[RegionId])</f>
        <v>#N/A</v>
      </c>
      <c r="I666" s="10" t="e">
        <f>_xlfn.XLOOKUP('Кўчмас мулк объектлари'!G666,Tumanlar23[DistrictName],Tumanlar23[DistrictId])</f>
        <v>#N/A</v>
      </c>
      <c r="K666" s="24"/>
      <c r="L666" s="10" t="e">
        <f>_xlfn.XLOOKUP(K666,Ташкилотлар39[Ташкилотлар],Ташкилотлар39[TashklilotID])</f>
        <v>#N/A</v>
      </c>
      <c r="M666" s="26"/>
      <c r="N666" s="26"/>
      <c r="O666" s="24"/>
      <c r="P666" s="2"/>
      <c r="Q666" s="26"/>
      <c r="R666" s="26"/>
      <c r="S666" s="26"/>
      <c r="T666" s="26"/>
      <c r="U666" s="24"/>
      <c r="V666" s="10" t="e">
        <f>_xlfn.XLOOKUP(U666,Таклифлар37[Таклифлар],Таклифлар37[TaklifID])</f>
        <v>#N/A</v>
      </c>
      <c r="W666" s="24"/>
      <c r="X666" s="23"/>
      <c r="Y666" s="7"/>
      <c r="Z666" s="26"/>
      <c r="AB666" s="23"/>
      <c r="AD666" s="2"/>
      <c r="AG666" s="23"/>
      <c r="AI666" s="26"/>
      <c r="AJ666" s="23"/>
      <c r="AM666" s="23"/>
      <c r="AO666" s="32"/>
      <c r="AP666" s="26"/>
      <c r="AR666" s="26"/>
      <c r="AS666" s="27"/>
      <c r="AT666" s="27"/>
      <c r="AU666" s="31"/>
      <c r="AV666" s="24"/>
      <c r="AW666"/>
      <c r="AX666"/>
      <c r="AY666"/>
      <c r="AZ666"/>
      <c r="BA666"/>
      <c r="BB666"/>
      <c r="BC666"/>
      <c r="BD666"/>
      <c r="BE666"/>
      <c r="BF666"/>
      <c r="BG666"/>
    </row>
    <row r="667" spans="2:59" x14ac:dyDescent="0.25">
      <c r="B667" s="22"/>
      <c r="C667" s="23"/>
      <c r="E667" s="23"/>
      <c r="F667" s="24"/>
      <c r="G667" s="2"/>
      <c r="H667" s="10" t="e">
        <f>_xlfn.XLOOKUP(F667,Viloyatlar24[RegionName],Viloyatlar24[RegionId])</f>
        <v>#N/A</v>
      </c>
      <c r="I667" s="10" t="e">
        <f>_xlfn.XLOOKUP('Кўчмас мулк объектлари'!G667,Tumanlar23[DistrictName],Tumanlar23[DistrictId])</f>
        <v>#N/A</v>
      </c>
      <c r="K667" s="24"/>
      <c r="L667" s="10" t="e">
        <f>_xlfn.XLOOKUP(K667,Ташкилотлар39[Ташкилотлар],Ташкилотлар39[TashklilotID])</f>
        <v>#N/A</v>
      </c>
      <c r="M667" s="26"/>
      <c r="N667" s="26"/>
      <c r="O667" s="24"/>
      <c r="P667" s="2"/>
      <c r="Q667" s="26"/>
      <c r="R667" s="26"/>
      <c r="S667" s="26"/>
      <c r="T667" s="26"/>
      <c r="U667" s="24"/>
      <c r="V667" s="10" t="e">
        <f>_xlfn.XLOOKUP(U667,Таклифлар37[Таклифлар],Таклифлар37[TaklifID])</f>
        <v>#N/A</v>
      </c>
      <c r="W667" s="24"/>
      <c r="X667" s="23"/>
      <c r="Y667" s="7"/>
      <c r="Z667" s="26"/>
      <c r="AB667" s="23"/>
      <c r="AD667" s="2"/>
      <c r="AG667" s="23"/>
      <c r="AI667" s="26"/>
      <c r="AJ667" s="23"/>
      <c r="AM667" s="23"/>
      <c r="AO667" s="32"/>
      <c r="AP667" s="26"/>
      <c r="AR667" s="26"/>
      <c r="AS667" s="27"/>
      <c r="AT667" s="27"/>
      <c r="AU667" s="31"/>
      <c r="AV667" s="24"/>
      <c r="AW667"/>
      <c r="AX667"/>
      <c r="AY667"/>
      <c r="AZ667"/>
      <c r="BA667"/>
      <c r="BB667"/>
      <c r="BC667"/>
      <c r="BD667"/>
      <c r="BE667"/>
      <c r="BF667"/>
      <c r="BG667"/>
    </row>
    <row r="668" spans="2:59" x14ac:dyDescent="0.25">
      <c r="B668" s="22"/>
      <c r="C668" s="23"/>
      <c r="E668" s="23"/>
      <c r="F668" s="24"/>
      <c r="G668" s="2"/>
      <c r="H668" s="10" t="e">
        <f>_xlfn.XLOOKUP(F668,Viloyatlar24[RegionName],Viloyatlar24[RegionId])</f>
        <v>#N/A</v>
      </c>
      <c r="I668" s="10" t="e">
        <f>_xlfn.XLOOKUP('Кўчмас мулк объектлари'!G668,Tumanlar23[DistrictName],Tumanlar23[DistrictId])</f>
        <v>#N/A</v>
      </c>
      <c r="K668" s="24"/>
      <c r="L668" s="10" t="e">
        <f>_xlfn.XLOOKUP(K668,Ташкилотлар39[Ташкилотлар],Ташкилотлар39[TashklilotID])</f>
        <v>#N/A</v>
      </c>
      <c r="M668" s="26"/>
      <c r="N668" s="26"/>
      <c r="O668" s="24"/>
      <c r="P668" s="2"/>
      <c r="Q668" s="26"/>
      <c r="R668" s="26"/>
      <c r="S668" s="26"/>
      <c r="T668" s="26"/>
      <c r="U668" s="24"/>
      <c r="V668" s="10" t="e">
        <f>_xlfn.XLOOKUP(U668,Таклифлар37[Таклифлар],Таклифлар37[TaklifID])</f>
        <v>#N/A</v>
      </c>
      <c r="W668" s="24"/>
      <c r="X668" s="23"/>
      <c r="Y668" s="7"/>
      <c r="Z668" s="26"/>
      <c r="AB668" s="23"/>
      <c r="AD668" s="2"/>
      <c r="AG668" s="23"/>
      <c r="AI668" s="26"/>
      <c r="AJ668" s="23"/>
      <c r="AM668" s="23"/>
      <c r="AO668" s="32"/>
      <c r="AP668" s="26"/>
      <c r="AR668" s="26"/>
      <c r="AS668" s="27"/>
      <c r="AT668" s="27"/>
      <c r="AU668" s="31"/>
      <c r="AV668" s="24"/>
      <c r="AW668"/>
      <c r="AX668"/>
      <c r="AY668"/>
      <c r="AZ668"/>
      <c r="BA668"/>
      <c r="BB668"/>
      <c r="BC668"/>
      <c r="BD668"/>
      <c r="BE668"/>
      <c r="BF668"/>
      <c r="BG668"/>
    </row>
    <row r="669" spans="2:59" x14ac:dyDescent="0.25">
      <c r="B669" s="22"/>
      <c r="C669" s="23"/>
      <c r="E669" s="23"/>
      <c r="F669" s="24"/>
      <c r="G669" s="2"/>
      <c r="H669" s="10" t="e">
        <f>_xlfn.XLOOKUP(F669,Viloyatlar24[RegionName],Viloyatlar24[RegionId])</f>
        <v>#N/A</v>
      </c>
      <c r="I669" s="10" t="e">
        <f>_xlfn.XLOOKUP('Кўчмас мулк объектлари'!G669,Tumanlar23[DistrictName],Tumanlar23[DistrictId])</f>
        <v>#N/A</v>
      </c>
      <c r="K669" s="24"/>
      <c r="L669" s="10" t="e">
        <f>_xlfn.XLOOKUP(K669,Ташкилотлар39[Ташкилотлар],Ташкилотлар39[TashklilotID])</f>
        <v>#N/A</v>
      </c>
      <c r="M669" s="26"/>
      <c r="N669" s="26"/>
      <c r="O669" s="24"/>
      <c r="P669" s="2"/>
      <c r="Q669" s="26"/>
      <c r="R669" s="26"/>
      <c r="S669" s="26"/>
      <c r="T669" s="26"/>
      <c r="U669" s="24"/>
      <c r="V669" s="10" t="e">
        <f>_xlfn.XLOOKUP(U669,Таклифлар37[Таклифлар],Таклифлар37[TaklifID])</f>
        <v>#N/A</v>
      </c>
      <c r="W669" s="24"/>
      <c r="X669" s="23"/>
      <c r="Y669" s="7"/>
      <c r="Z669" s="26"/>
      <c r="AB669" s="23"/>
      <c r="AD669" s="2"/>
      <c r="AG669" s="23"/>
      <c r="AI669" s="26"/>
      <c r="AJ669" s="23"/>
      <c r="AM669" s="23"/>
      <c r="AO669" s="32"/>
      <c r="AP669" s="26"/>
      <c r="AR669" s="26"/>
      <c r="AS669" s="27"/>
      <c r="AT669" s="27"/>
      <c r="AU669" s="31"/>
      <c r="AV669" s="24"/>
      <c r="AW669"/>
      <c r="AX669"/>
      <c r="AY669"/>
      <c r="AZ669"/>
      <c r="BA669"/>
      <c r="BB669"/>
      <c r="BC669"/>
      <c r="BD669"/>
      <c r="BE669"/>
      <c r="BF669"/>
      <c r="BG669"/>
    </row>
    <row r="670" spans="2:59" x14ac:dyDescent="0.25">
      <c r="B670" s="22"/>
      <c r="C670" s="23"/>
      <c r="E670" s="23"/>
      <c r="F670" s="24"/>
      <c r="G670" s="2"/>
      <c r="H670" s="10" t="e">
        <f>_xlfn.XLOOKUP(F670,Viloyatlar24[RegionName],Viloyatlar24[RegionId])</f>
        <v>#N/A</v>
      </c>
      <c r="I670" s="10" t="e">
        <f>_xlfn.XLOOKUP('Кўчмас мулк объектлари'!G670,Tumanlar23[DistrictName],Tumanlar23[DistrictId])</f>
        <v>#N/A</v>
      </c>
      <c r="K670" s="24"/>
      <c r="L670" s="10" t="e">
        <f>_xlfn.XLOOKUP(K670,Ташкилотлар39[Ташкилотлар],Ташкилотлар39[TashklilotID])</f>
        <v>#N/A</v>
      </c>
      <c r="M670" s="26"/>
      <c r="N670" s="26"/>
      <c r="O670" s="24"/>
      <c r="P670" s="2"/>
      <c r="Q670" s="26"/>
      <c r="R670" s="26"/>
      <c r="S670" s="26"/>
      <c r="T670" s="26"/>
      <c r="U670" s="24"/>
      <c r="V670" s="10" t="e">
        <f>_xlfn.XLOOKUP(U670,Таклифлар37[Таклифлар],Таклифлар37[TaklifID])</f>
        <v>#N/A</v>
      </c>
      <c r="W670" s="24"/>
      <c r="X670" s="23"/>
      <c r="Y670" s="7"/>
      <c r="Z670" s="26"/>
      <c r="AB670" s="23"/>
      <c r="AD670" s="2"/>
      <c r="AG670" s="23"/>
      <c r="AI670" s="26"/>
      <c r="AJ670" s="23"/>
      <c r="AM670" s="23"/>
      <c r="AO670" s="32"/>
      <c r="AP670" s="26"/>
      <c r="AR670" s="26"/>
      <c r="AS670" s="27"/>
      <c r="AT670" s="27"/>
      <c r="AU670" s="31"/>
      <c r="AV670" s="24"/>
      <c r="AW670"/>
      <c r="AX670"/>
      <c r="AY670"/>
      <c r="AZ670"/>
      <c r="BA670"/>
      <c r="BB670"/>
      <c r="BC670"/>
      <c r="BD670"/>
      <c r="BE670"/>
      <c r="BF670"/>
      <c r="BG670"/>
    </row>
    <row r="671" spans="2:59" x14ac:dyDescent="0.25">
      <c r="B671" s="22"/>
      <c r="C671" s="23"/>
      <c r="E671" s="23"/>
      <c r="F671" s="24"/>
      <c r="G671" s="2"/>
      <c r="H671" s="10" t="e">
        <f>_xlfn.XLOOKUP(F671,Viloyatlar24[RegionName],Viloyatlar24[RegionId])</f>
        <v>#N/A</v>
      </c>
      <c r="I671" s="10" t="e">
        <f>_xlfn.XLOOKUP('Кўчмас мулк объектлари'!G671,Tumanlar23[DistrictName],Tumanlar23[DistrictId])</f>
        <v>#N/A</v>
      </c>
      <c r="K671" s="24"/>
      <c r="L671" s="10" t="e">
        <f>_xlfn.XLOOKUP(K671,Ташкилотлар39[Ташкилотлар],Ташкилотлар39[TashklilotID])</f>
        <v>#N/A</v>
      </c>
      <c r="M671" s="26"/>
      <c r="N671" s="26"/>
      <c r="O671" s="24"/>
      <c r="P671" s="2"/>
      <c r="Q671" s="26"/>
      <c r="R671" s="26"/>
      <c r="S671" s="26"/>
      <c r="T671" s="26"/>
      <c r="U671" s="24"/>
      <c r="V671" s="10" t="e">
        <f>_xlfn.XLOOKUP(U671,Таклифлар37[Таклифлар],Таклифлар37[TaklifID])</f>
        <v>#N/A</v>
      </c>
      <c r="W671" s="24"/>
      <c r="X671" s="23"/>
      <c r="Y671" s="7"/>
      <c r="Z671" s="26"/>
      <c r="AB671" s="23"/>
      <c r="AD671" s="2"/>
      <c r="AG671" s="23"/>
      <c r="AI671" s="26"/>
      <c r="AJ671" s="23"/>
      <c r="AM671" s="23"/>
      <c r="AO671" s="32"/>
      <c r="AP671" s="26"/>
      <c r="AR671" s="26"/>
      <c r="AS671" s="27"/>
      <c r="AT671" s="27"/>
      <c r="AU671" s="31"/>
      <c r="AV671" s="24"/>
      <c r="AW671"/>
      <c r="AX671"/>
      <c r="AY671"/>
      <c r="AZ671"/>
      <c r="BA671"/>
      <c r="BB671"/>
      <c r="BC671"/>
      <c r="BD671"/>
      <c r="BE671"/>
      <c r="BF671"/>
      <c r="BG671"/>
    </row>
    <row r="672" spans="2:59" x14ac:dyDescent="0.25">
      <c r="B672" s="22"/>
      <c r="C672" s="23"/>
      <c r="E672" s="23"/>
      <c r="F672" s="24"/>
      <c r="G672" s="2"/>
      <c r="H672" s="10" t="e">
        <f>_xlfn.XLOOKUP(F672,Viloyatlar24[RegionName],Viloyatlar24[RegionId])</f>
        <v>#N/A</v>
      </c>
      <c r="I672" s="10" t="e">
        <f>_xlfn.XLOOKUP('Кўчмас мулк объектлари'!G672,Tumanlar23[DistrictName],Tumanlar23[DistrictId])</f>
        <v>#N/A</v>
      </c>
      <c r="K672" s="24"/>
      <c r="L672" s="10" t="e">
        <f>_xlfn.XLOOKUP(K672,Ташкилотлар39[Ташкилотлар],Ташкилотлар39[TashklilotID])</f>
        <v>#N/A</v>
      </c>
      <c r="M672" s="26"/>
      <c r="N672" s="26"/>
      <c r="O672" s="24"/>
      <c r="P672" s="2"/>
      <c r="Q672" s="26"/>
      <c r="R672" s="26"/>
      <c r="S672" s="26"/>
      <c r="T672" s="26"/>
      <c r="U672" s="24"/>
      <c r="V672" s="10" t="e">
        <f>_xlfn.XLOOKUP(U672,Таклифлар37[Таклифлар],Таклифлар37[TaklifID])</f>
        <v>#N/A</v>
      </c>
      <c r="W672" s="24"/>
      <c r="X672" s="23"/>
      <c r="Y672" s="7"/>
      <c r="Z672" s="26"/>
      <c r="AB672" s="23"/>
      <c r="AD672" s="2"/>
      <c r="AG672" s="23"/>
      <c r="AI672" s="26"/>
      <c r="AJ672" s="23"/>
      <c r="AM672" s="23"/>
      <c r="AO672" s="32"/>
      <c r="AP672" s="26"/>
      <c r="AR672" s="26"/>
      <c r="AS672" s="27"/>
      <c r="AT672" s="27"/>
      <c r="AU672" s="31"/>
      <c r="AV672" s="24"/>
      <c r="AW672"/>
      <c r="AX672"/>
      <c r="AY672"/>
      <c r="AZ672"/>
      <c r="BA672"/>
      <c r="BB672"/>
      <c r="BC672"/>
      <c r="BD672"/>
      <c r="BE672"/>
      <c r="BF672"/>
      <c r="BG672"/>
    </row>
    <row r="673" spans="2:59" x14ac:dyDescent="0.25">
      <c r="B673" s="22"/>
      <c r="C673" s="23"/>
      <c r="E673" s="23"/>
      <c r="F673" s="24"/>
      <c r="G673" s="2"/>
      <c r="H673" s="10" t="e">
        <f>_xlfn.XLOOKUP(F673,Viloyatlar24[RegionName],Viloyatlar24[RegionId])</f>
        <v>#N/A</v>
      </c>
      <c r="I673" s="10" t="e">
        <f>_xlfn.XLOOKUP('Кўчмас мулк объектлари'!G673,Tumanlar23[DistrictName],Tumanlar23[DistrictId])</f>
        <v>#N/A</v>
      </c>
      <c r="K673" s="24"/>
      <c r="L673" s="10" t="e">
        <f>_xlfn.XLOOKUP(K673,Ташкилотлар39[Ташкилотлар],Ташкилотлар39[TashklilotID])</f>
        <v>#N/A</v>
      </c>
      <c r="M673" s="26"/>
      <c r="N673" s="26"/>
      <c r="O673" s="24"/>
      <c r="P673" s="2"/>
      <c r="Q673" s="26"/>
      <c r="R673" s="26"/>
      <c r="S673" s="26"/>
      <c r="T673" s="26"/>
      <c r="U673" s="24"/>
      <c r="V673" s="10" t="e">
        <f>_xlfn.XLOOKUP(U673,Таклифлар37[Таклифлар],Таклифлар37[TaklifID])</f>
        <v>#N/A</v>
      </c>
      <c r="W673" s="24"/>
      <c r="X673" s="23"/>
      <c r="Y673" s="7"/>
      <c r="Z673" s="26"/>
      <c r="AB673" s="23"/>
      <c r="AD673" s="2"/>
      <c r="AG673" s="23"/>
      <c r="AI673" s="26"/>
      <c r="AJ673" s="23"/>
      <c r="AM673" s="23"/>
      <c r="AO673" s="32"/>
      <c r="AP673" s="26"/>
      <c r="AR673" s="26"/>
      <c r="AS673" s="27"/>
      <c r="AT673" s="27"/>
      <c r="AU673" s="31"/>
      <c r="AV673" s="24"/>
      <c r="AW673"/>
      <c r="AX673"/>
      <c r="AY673"/>
      <c r="AZ673"/>
      <c r="BA673"/>
      <c r="BB673"/>
      <c r="BC673"/>
      <c r="BD673"/>
      <c r="BE673"/>
      <c r="BF673"/>
      <c r="BG673"/>
    </row>
    <row r="674" spans="2:59" x14ac:dyDescent="0.25">
      <c r="B674" s="22"/>
      <c r="C674" s="23"/>
      <c r="E674" s="23"/>
      <c r="F674" s="24"/>
      <c r="G674" s="2"/>
      <c r="H674" s="10" t="e">
        <f>_xlfn.XLOOKUP(F674,Viloyatlar24[RegionName],Viloyatlar24[RegionId])</f>
        <v>#N/A</v>
      </c>
      <c r="I674" s="10" t="e">
        <f>_xlfn.XLOOKUP('Кўчмас мулк объектлари'!G674,Tumanlar23[DistrictName],Tumanlar23[DistrictId])</f>
        <v>#N/A</v>
      </c>
      <c r="K674" s="24"/>
      <c r="L674" s="10" t="e">
        <f>_xlfn.XLOOKUP(K674,Ташкилотлар39[Ташкилотлар],Ташкилотлар39[TashklilotID])</f>
        <v>#N/A</v>
      </c>
      <c r="M674" s="26"/>
      <c r="N674" s="26"/>
      <c r="O674" s="24"/>
      <c r="P674" s="2"/>
      <c r="Q674" s="26"/>
      <c r="R674" s="26"/>
      <c r="S674" s="26"/>
      <c r="T674" s="26"/>
      <c r="U674" s="24"/>
      <c r="V674" s="10" t="e">
        <f>_xlfn.XLOOKUP(U674,Таклифлар37[Таклифлар],Таклифлар37[TaklifID])</f>
        <v>#N/A</v>
      </c>
      <c r="W674" s="24"/>
      <c r="X674" s="23"/>
      <c r="Y674" s="7"/>
      <c r="Z674" s="26"/>
      <c r="AB674" s="23"/>
      <c r="AD674" s="2"/>
      <c r="AG674" s="23"/>
      <c r="AI674" s="26"/>
      <c r="AJ674" s="23"/>
      <c r="AM674" s="23"/>
      <c r="AO674" s="32"/>
      <c r="AP674" s="26"/>
      <c r="AR674" s="26"/>
      <c r="AS674" s="27"/>
      <c r="AT674" s="27"/>
      <c r="AU674" s="31"/>
      <c r="AV674" s="24"/>
      <c r="AW674"/>
      <c r="AX674"/>
      <c r="AY674"/>
      <c r="AZ674"/>
      <c r="BA674"/>
      <c r="BB674"/>
      <c r="BC674"/>
      <c r="BD674"/>
      <c r="BE674"/>
      <c r="BF674"/>
      <c r="BG674"/>
    </row>
    <row r="675" spans="2:59" x14ac:dyDescent="0.25">
      <c r="B675" s="22"/>
      <c r="C675" s="23"/>
      <c r="E675" s="23"/>
      <c r="F675" s="24"/>
      <c r="G675" s="2"/>
      <c r="H675" s="10" t="e">
        <f>_xlfn.XLOOKUP(F675,Viloyatlar24[RegionName],Viloyatlar24[RegionId])</f>
        <v>#N/A</v>
      </c>
      <c r="I675" s="10" t="e">
        <f>_xlfn.XLOOKUP('Кўчмас мулк объектлари'!G675,Tumanlar23[DistrictName],Tumanlar23[DistrictId])</f>
        <v>#N/A</v>
      </c>
      <c r="K675" s="24"/>
      <c r="L675" s="10" t="e">
        <f>_xlfn.XLOOKUP(K675,Ташкилотлар39[Ташкилотлар],Ташкилотлар39[TashklilotID])</f>
        <v>#N/A</v>
      </c>
      <c r="M675" s="26"/>
      <c r="N675" s="26"/>
      <c r="O675" s="24"/>
      <c r="P675" s="2"/>
      <c r="Q675" s="26"/>
      <c r="R675" s="26"/>
      <c r="S675" s="26"/>
      <c r="T675" s="26"/>
      <c r="U675" s="24"/>
      <c r="V675" s="10" t="e">
        <f>_xlfn.XLOOKUP(U675,Таклифлар37[Таклифлар],Таклифлар37[TaklifID])</f>
        <v>#N/A</v>
      </c>
      <c r="W675" s="24"/>
      <c r="X675" s="23"/>
      <c r="Y675" s="7"/>
      <c r="Z675" s="26"/>
      <c r="AB675" s="23"/>
      <c r="AD675" s="2"/>
      <c r="AG675" s="23"/>
      <c r="AI675" s="26"/>
      <c r="AJ675" s="23"/>
      <c r="AM675" s="23"/>
      <c r="AO675" s="32"/>
      <c r="AP675" s="26"/>
      <c r="AR675" s="26"/>
      <c r="AS675" s="27"/>
      <c r="AT675" s="27"/>
      <c r="AU675" s="31"/>
      <c r="AV675" s="24"/>
      <c r="AW675"/>
      <c r="AX675"/>
      <c r="AY675"/>
      <c r="AZ675"/>
      <c r="BA675"/>
      <c r="BB675"/>
      <c r="BC675"/>
      <c r="BD675"/>
      <c r="BE675"/>
      <c r="BF675"/>
      <c r="BG675"/>
    </row>
    <row r="676" spans="2:59" x14ac:dyDescent="0.25">
      <c r="B676" s="22"/>
      <c r="C676" s="23"/>
      <c r="E676" s="23"/>
      <c r="F676" s="24"/>
      <c r="G676" s="2"/>
      <c r="H676" s="10" t="e">
        <f>_xlfn.XLOOKUP(F676,Viloyatlar24[RegionName],Viloyatlar24[RegionId])</f>
        <v>#N/A</v>
      </c>
      <c r="I676" s="10" t="e">
        <f>_xlfn.XLOOKUP('Кўчмас мулк объектлари'!G676,Tumanlar23[DistrictName],Tumanlar23[DistrictId])</f>
        <v>#N/A</v>
      </c>
      <c r="K676" s="24"/>
      <c r="L676" s="10" t="e">
        <f>_xlfn.XLOOKUP(K676,Ташкилотлар39[Ташкилотлар],Ташкилотлар39[TashklilotID])</f>
        <v>#N/A</v>
      </c>
      <c r="M676" s="26"/>
      <c r="N676" s="26"/>
      <c r="O676" s="24"/>
      <c r="P676" s="2"/>
      <c r="Q676" s="26"/>
      <c r="R676" s="26"/>
      <c r="S676" s="26"/>
      <c r="T676" s="26"/>
      <c r="U676" s="24"/>
      <c r="V676" s="10" t="e">
        <f>_xlfn.XLOOKUP(U676,Таклифлар37[Таклифлар],Таклифлар37[TaklifID])</f>
        <v>#N/A</v>
      </c>
      <c r="W676" s="24"/>
      <c r="X676" s="23"/>
      <c r="Y676" s="7"/>
      <c r="Z676" s="26"/>
      <c r="AB676" s="23"/>
      <c r="AD676" s="2"/>
      <c r="AG676" s="23"/>
      <c r="AI676" s="26"/>
      <c r="AJ676" s="23"/>
      <c r="AM676" s="23"/>
      <c r="AO676" s="32"/>
      <c r="AP676" s="26"/>
      <c r="AR676" s="26"/>
      <c r="AS676" s="27"/>
      <c r="AT676" s="27"/>
      <c r="AU676" s="31"/>
      <c r="AV676" s="24"/>
      <c r="AW676"/>
      <c r="AX676"/>
      <c r="AY676"/>
      <c r="AZ676"/>
      <c r="BA676"/>
      <c r="BB676"/>
      <c r="BC676"/>
      <c r="BD676"/>
      <c r="BE676"/>
      <c r="BF676"/>
      <c r="BG676"/>
    </row>
    <row r="677" spans="2:59" x14ac:dyDescent="0.25">
      <c r="B677" s="22"/>
      <c r="C677" s="23"/>
      <c r="E677" s="23"/>
      <c r="F677" s="24"/>
      <c r="G677" s="2"/>
      <c r="H677" s="10" t="e">
        <f>_xlfn.XLOOKUP(F677,Viloyatlar24[RegionName],Viloyatlar24[RegionId])</f>
        <v>#N/A</v>
      </c>
      <c r="I677" s="10" t="e">
        <f>_xlfn.XLOOKUP('Кўчмас мулк объектлари'!G677,Tumanlar23[DistrictName],Tumanlar23[DistrictId])</f>
        <v>#N/A</v>
      </c>
      <c r="K677" s="24"/>
      <c r="L677" s="10" t="e">
        <f>_xlfn.XLOOKUP(K677,Ташкилотлар39[Ташкилотлар],Ташкилотлар39[TashklilotID])</f>
        <v>#N/A</v>
      </c>
      <c r="M677" s="26"/>
      <c r="N677" s="26"/>
      <c r="O677" s="24"/>
      <c r="P677" s="2"/>
      <c r="Q677" s="26"/>
      <c r="R677" s="26"/>
      <c r="S677" s="26"/>
      <c r="T677" s="26"/>
      <c r="U677" s="24"/>
      <c r="V677" s="10" t="e">
        <f>_xlfn.XLOOKUP(U677,Таклифлар37[Таклифлар],Таклифлар37[TaklifID])</f>
        <v>#N/A</v>
      </c>
      <c r="W677" s="24"/>
      <c r="X677" s="23"/>
      <c r="Y677" s="7"/>
      <c r="Z677" s="26"/>
      <c r="AB677" s="23"/>
      <c r="AD677" s="2"/>
      <c r="AG677" s="23"/>
      <c r="AI677" s="26"/>
      <c r="AJ677" s="23"/>
      <c r="AM677" s="23"/>
      <c r="AO677" s="32"/>
      <c r="AP677" s="26"/>
      <c r="AR677" s="26"/>
      <c r="AS677" s="27"/>
      <c r="AT677" s="27"/>
      <c r="AU677" s="31"/>
      <c r="AV677" s="24"/>
      <c r="AW677"/>
      <c r="AX677"/>
      <c r="AY677"/>
      <c r="AZ677"/>
      <c r="BA677"/>
      <c r="BB677"/>
      <c r="BC677"/>
      <c r="BD677"/>
      <c r="BE677"/>
      <c r="BF677"/>
      <c r="BG677"/>
    </row>
    <row r="678" spans="2:59" x14ac:dyDescent="0.25">
      <c r="B678" s="22"/>
      <c r="C678" s="23"/>
      <c r="E678" s="23"/>
      <c r="F678" s="24"/>
      <c r="G678" s="2"/>
      <c r="H678" s="10" t="e">
        <f>_xlfn.XLOOKUP(F678,Viloyatlar24[RegionName],Viloyatlar24[RegionId])</f>
        <v>#N/A</v>
      </c>
      <c r="I678" s="10" t="e">
        <f>_xlfn.XLOOKUP('Кўчмас мулк объектлари'!G678,Tumanlar23[DistrictName],Tumanlar23[DistrictId])</f>
        <v>#N/A</v>
      </c>
      <c r="K678" s="24"/>
      <c r="L678" s="10" t="e">
        <f>_xlfn.XLOOKUP(K678,Ташкилотлар39[Ташкилотлар],Ташкилотлар39[TashklilotID])</f>
        <v>#N/A</v>
      </c>
      <c r="M678" s="26"/>
      <c r="N678" s="26"/>
      <c r="O678" s="24"/>
      <c r="P678" s="2"/>
      <c r="Q678" s="26"/>
      <c r="R678" s="26"/>
      <c r="S678" s="26"/>
      <c r="T678" s="26"/>
      <c r="U678" s="24"/>
      <c r="V678" s="10" t="e">
        <f>_xlfn.XLOOKUP(U678,Таклифлар37[Таклифлар],Таклифлар37[TaklifID])</f>
        <v>#N/A</v>
      </c>
      <c r="W678" s="24"/>
      <c r="X678" s="23"/>
      <c r="Y678" s="7"/>
      <c r="Z678" s="26"/>
      <c r="AB678" s="23"/>
      <c r="AD678" s="2"/>
      <c r="AG678" s="23"/>
      <c r="AI678" s="26"/>
      <c r="AJ678" s="23"/>
      <c r="AM678" s="23"/>
      <c r="AO678" s="32"/>
      <c r="AP678" s="26"/>
      <c r="AR678" s="26"/>
      <c r="AS678" s="27"/>
      <c r="AT678" s="27"/>
      <c r="AU678" s="31"/>
      <c r="AV678" s="24"/>
      <c r="AW678"/>
      <c r="AX678"/>
      <c r="AY678"/>
      <c r="AZ678"/>
      <c r="BA678"/>
      <c r="BB678"/>
      <c r="BC678"/>
      <c r="BD678"/>
      <c r="BE678"/>
      <c r="BF678"/>
      <c r="BG678"/>
    </row>
    <row r="679" spans="2:59" x14ac:dyDescent="0.25">
      <c r="B679" s="22"/>
      <c r="C679" s="23"/>
      <c r="E679" s="23"/>
      <c r="F679" s="24"/>
      <c r="G679" s="2"/>
      <c r="H679" s="10" t="e">
        <f>_xlfn.XLOOKUP(F679,Viloyatlar24[RegionName],Viloyatlar24[RegionId])</f>
        <v>#N/A</v>
      </c>
      <c r="I679" s="10" t="e">
        <f>_xlfn.XLOOKUP('Кўчмас мулк объектлари'!G679,Tumanlar23[DistrictName],Tumanlar23[DistrictId])</f>
        <v>#N/A</v>
      </c>
      <c r="K679" s="24"/>
      <c r="L679" s="10" t="e">
        <f>_xlfn.XLOOKUP(K679,Ташкилотлар39[Ташкилотлар],Ташкилотлар39[TashklilotID])</f>
        <v>#N/A</v>
      </c>
      <c r="M679" s="26"/>
      <c r="N679" s="26"/>
      <c r="O679" s="24"/>
      <c r="P679" s="2"/>
      <c r="Q679" s="26"/>
      <c r="R679" s="26"/>
      <c r="S679" s="26"/>
      <c r="T679" s="26"/>
      <c r="U679" s="24"/>
      <c r="V679" s="10" t="e">
        <f>_xlfn.XLOOKUP(U679,Таклифлар37[Таклифлар],Таклифлар37[TaklifID])</f>
        <v>#N/A</v>
      </c>
      <c r="W679" s="24"/>
      <c r="X679" s="23"/>
      <c r="Y679" s="7"/>
      <c r="Z679" s="26"/>
      <c r="AB679" s="23"/>
      <c r="AD679" s="2"/>
      <c r="AG679" s="23"/>
      <c r="AI679" s="26"/>
      <c r="AJ679" s="23"/>
      <c r="AM679" s="23"/>
      <c r="AO679" s="32"/>
      <c r="AP679" s="26"/>
      <c r="AR679" s="26"/>
      <c r="AS679" s="27"/>
      <c r="AT679" s="27"/>
      <c r="AU679" s="31"/>
      <c r="AV679" s="24"/>
      <c r="AW679"/>
      <c r="AX679"/>
      <c r="AY679"/>
      <c r="AZ679"/>
      <c r="BA679"/>
      <c r="BB679"/>
      <c r="BC679"/>
      <c r="BD679"/>
      <c r="BE679"/>
      <c r="BF679"/>
      <c r="BG679"/>
    </row>
    <row r="680" spans="2:59" x14ac:dyDescent="0.25">
      <c r="B680" s="22"/>
      <c r="C680" s="23"/>
      <c r="E680" s="23"/>
      <c r="F680" s="24"/>
      <c r="G680" s="2"/>
      <c r="H680" s="10" t="e">
        <f>_xlfn.XLOOKUP(F680,Viloyatlar24[RegionName],Viloyatlar24[RegionId])</f>
        <v>#N/A</v>
      </c>
      <c r="I680" s="10" t="e">
        <f>_xlfn.XLOOKUP('Кўчмас мулк объектлари'!G680,Tumanlar23[DistrictName],Tumanlar23[DistrictId])</f>
        <v>#N/A</v>
      </c>
      <c r="K680" s="24"/>
      <c r="L680" s="10" t="e">
        <f>_xlfn.XLOOKUP(K680,Ташкилотлар39[Ташкилотлар],Ташкилотлар39[TashklilotID])</f>
        <v>#N/A</v>
      </c>
      <c r="M680" s="26"/>
      <c r="N680" s="26"/>
      <c r="O680" s="24"/>
      <c r="P680" s="2"/>
      <c r="Q680" s="26"/>
      <c r="R680" s="26"/>
      <c r="S680" s="26"/>
      <c r="T680" s="26"/>
      <c r="U680" s="24"/>
      <c r="V680" s="10" t="e">
        <f>_xlfn.XLOOKUP(U680,Таклифлар37[Таклифлар],Таклифлар37[TaklifID])</f>
        <v>#N/A</v>
      </c>
      <c r="W680" s="24"/>
      <c r="X680" s="23"/>
      <c r="Y680" s="7"/>
      <c r="Z680" s="26"/>
      <c r="AB680" s="23"/>
      <c r="AD680" s="2"/>
      <c r="AG680" s="23"/>
      <c r="AI680" s="26"/>
      <c r="AJ680" s="23"/>
      <c r="AM680" s="23"/>
      <c r="AO680" s="32"/>
      <c r="AP680" s="26"/>
      <c r="AR680" s="26"/>
      <c r="AS680" s="27"/>
      <c r="AT680" s="27"/>
      <c r="AU680" s="31"/>
      <c r="AV680" s="24"/>
      <c r="AW680"/>
      <c r="AX680"/>
      <c r="AY680"/>
      <c r="AZ680"/>
      <c r="BA680"/>
      <c r="BB680"/>
      <c r="BC680"/>
      <c r="BD680"/>
      <c r="BE680"/>
      <c r="BF680"/>
      <c r="BG680"/>
    </row>
    <row r="681" spans="2:59" x14ac:dyDescent="0.25">
      <c r="B681" s="22"/>
      <c r="C681" s="23"/>
      <c r="E681" s="23"/>
      <c r="F681" s="24"/>
      <c r="G681" s="2"/>
      <c r="H681" s="10" t="e">
        <f>_xlfn.XLOOKUP(F681,Viloyatlar24[RegionName],Viloyatlar24[RegionId])</f>
        <v>#N/A</v>
      </c>
      <c r="I681" s="10" t="e">
        <f>_xlfn.XLOOKUP('Кўчмас мулк объектлари'!G681,Tumanlar23[DistrictName],Tumanlar23[DistrictId])</f>
        <v>#N/A</v>
      </c>
      <c r="K681" s="24"/>
      <c r="L681" s="10" t="e">
        <f>_xlfn.XLOOKUP(K681,Ташкилотлар39[Ташкилотлар],Ташкилотлар39[TashklilotID])</f>
        <v>#N/A</v>
      </c>
      <c r="M681" s="26"/>
      <c r="N681" s="26"/>
      <c r="O681" s="24"/>
      <c r="P681" s="2"/>
      <c r="Q681" s="26"/>
      <c r="R681" s="26"/>
      <c r="S681" s="26"/>
      <c r="T681" s="26"/>
      <c r="U681" s="24"/>
      <c r="V681" s="10" t="e">
        <f>_xlfn.XLOOKUP(U681,Таклифлар37[Таклифлар],Таклифлар37[TaklifID])</f>
        <v>#N/A</v>
      </c>
      <c r="W681" s="24"/>
      <c r="X681" s="23"/>
      <c r="Y681" s="7"/>
      <c r="Z681" s="26"/>
      <c r="AB681" s="23"/>
      <c r="AD681" s="2"/>
      <c r="AG681" s="23"/>
      <c r="AI681" s="26"/>
      <c r="AJ681" s="23"/>
      <c r="AM681" s="23"/>
      <c r="AO681" s="32"/>
      <c r="AP681" s="26"/>
      <c r="AR681" s="26"/>
      <c r="AS681" s="27"/>
      <c r="AT681" s="27"/>
      <c r="AU681" s="31"/>
      <c r="AV681" s="24"/>
      <c r="AW681"/>
      <c r="AX681"/>
      <c r="AY681"/>
      <c r="AZ681"/>
      <c r="BA681"/>
      <c r="BB681"/>
      <c r="BC681"/>
      <c r="BD681"/>
      <c r="BE681"/>
      <c r="BF681"/>
      <c r="BG681"/>
    </row>
    <row r="682" spans="2:59" x14ac:dyDescent="0.25">
      <c r="B682" s="22"/>
      <c r="C682" s="23"/>
      <c r="E682" s="23"/>
      <c r="F682" s="24"/>
      <c r="G682" s="2"/>
      <c r="H682" s="10" t="e">
        <f>_xlfn.XLOOKUP(F682,Viloyatlar24[RegionName],Viloyatlar24[RegionId])</f>
        <v>#N/A</v>
      </c>
      <c r="I682" s="10" t="e">
        <f>_xlfn.XLOOKUP('Кўчмас мулк объектлари'!G682,Tumanlar23[DistrictName],Tumanlar23[DistrictId])</f>
        <v>#N/A</v>
      </c>
      <c r="K682" s="24"/>
      <c r="L682" s="10" t="e">
        <f>_xlfn.XLOOKUP(K682,Ташкилотлар39[Ташкилотлар],Ташкилотлар39[TashklilotID])</f>
        <v>#N/A</v>
      </c>
      <c r="M682" s="26"/>
      <c r="N682" s="26"/>
      <c r="O682" s="24"/>
      <c r="P682" s="2"/>
      <c r="Q682" s="26"/>
      <c r="R682" s="26"/>
      <c r="S682" s="26"/>
      <c r="T682" s="26"/>
      <c r="U682" s="24"/>
      <c r="V682" s="10" t="e">
        <f>_xlfn.XLOOKUP(U682,Таклифлар37[Таклифлар],Таклифлар37[TaklifID])</f>
        <v>#N/A</v>
      </c>
      <c r="W682" s="24"/>
      <c r="X682" s="23"/>
      <c r="Y682" s="7"/>
      <c r="Z682" s="26"/>
      <c r="AB682" s="23"/>
      <c r="AD682" s="2"/>
      <c r="AG682" s="23"/>
      <c r="AI682" s="26"/>
      <c r="AJ682" s="23"/>
      <c r="AM682" s="23"/>
      <c r="AO682" s="32"/>
      <c r="AP682" s="26"/>
      <c r="AR682" s="26"/>
      <c r="AS682" s="27"/>
      <c r="AT682" s="27"/>
      <c r="AU682" s="31"/>
      <c r="AV682" s="24"/>
      <c r="AW682"/>
      <c r="AX682"/>
      <c r="AY682"/>
      <c r="AZ682"/>
      <c r="BA682"/>
      <c r="BB682"/>
      <c r="BC682"/>
      <c r="BD682"/>
      <c r="BE682"/>
      <c r="BF682"/>
      <c r="BG682"/>
    </row>
    <row r="683" spans="2:59" x14ac:dyDescent="0.25">
      <c r="B683" s="22"/>
      <c r="C683" s="23"/>
      <c r="E683" s="23"/>
      <c r="F683" s="24"/>
      <c r="G683" s="2"/>
      <c r="H683" s="10" t="e">
        <f>_xlfn.XLOOKUP(F683,Viloyatlar24[RegionName],Viloyatlar24[RegionId])</f>
        <v>#N/A</v>
      </c>
      <c r="I683" s="10" t="e">
        <f>_xlfn.XLOOKUP('Кўчмас мулк объектлари'!G683,Tumanlar23[DistrictName],Tumanlar23[DistrictId])</f>
        <v>#N/A</v>
      </c>
      <c r="K683" s="24"/>
      <c r="L683" s="10" t="e">
        <f>_xlfn.XLOOKUP(K683,Ташкилотлар39[Ташкилотлар],Ташкилотлар39[TashklilotID])</f>
        <v>#N/A</v>
      </c>
      <c r="M683" s="26"/>
      <c r="N683" s="26"/>
      <c r="O683" s="24"/>
      <c r="P683" s="2"/>
      <c r="Q683" s="26"/>
      <c r="R683" s="26"/>
      <c r="S683" s="26"/>
      <c r="T683" s="26"/>
      <c r="U683" s="24"/>
      <c r="V683" s="10" t="e">
        <f>_xlfn.XLOOKUP(U683,Таклифлар37[Таклифлар],Таклифлар37[TaklifID])</f>
        <v>#N/A</v>
      </c>
      <c r="W683" s="24"/>
      <c r="X683" s="23"/>
      <c r="Y683" s="7"/>
      <c r="Z683" s="26"/>
      <c r="AB683" s="23"/>
      <c r="AD683" s="2"/>
      <c r="AG683" s="23"/>
      <c r="AI683" s="26"/>
      <c r="AJ683" s="23"/>
      <c r="AM683" s="23"/>
      <c r="AO683" s="32"/>
      <c r="AP683" s="26"/>
      <c r="AR683" s="26"/>
      <c r="AS683" s="27"/>
      <c r="AT683" s="27"/>
      <c r="AU683" s="31"/>
      <c r="AV683" s="24"/>
      <c r="AW683"/>
      <c r="AX683"/>
      <c r="AY683"/>
      <c r="AZ683"/>
      <c r="BA683"/>
      <c r="BB683"/>
      <c r="BC683"/>
      <c r="BD683"/>
      <c r="BE683"/>
      <c r="BF683"/>
      <c r="BG683"/>
    </row>
    <row r="684" spans="2:59" x14ac:dyDescent="0.25">
      <c r="B684" s="22"/>
      <c r="C684" s="23"/>
      <c r="E684" s="23"/>
      <c r="F684" s="24"/>
      <c r="G684" s="2"/>
      <c r="H684" s="10" t="e">
        <f>_xlfn.XLOOKUP(F684,Viloyatlar24[RegionName],Viloyatlar24[RegionId])</f>
        <v>#N/A</v>
      </c>
      <c r="I684" s="10" t="e">
        <f>_xlfn.XLOOKUP('Кўчмас мулк объектлари'!G684,Tumanlar23[DistrictName],Tumanlar23[DistrictId])</f>
        <v>#N/A</v>
      </c>
      <c r="K684" s="24"/>
      <c r="L684" s="10" t="e">
        <f>_xlfn.XLOOKUP(K684,Ташкилотлар39[Ташкилотлар],Ташкилотлар39[TashklilotID])</f>
        <v>#N/A</v>
      </c>
      <c r="M684" s="26"/>
      <c r="N684" s="26"/>
      <c r="O684" s="24"/>
      <c r="P684" s="2"/>
      <c r="Q684" s="26"/>
      <c r="R684" s="26"/>
      <c r="S684" s="26"/>
      <c r="T684" s="26"/>
      <c r="U684" s="24"/>
      <c r="V684" s="10" t="e">
        <f>_xlfn.XLOOKUP(U684,Таклифлар37[Таклифлар],Таклифлар37[TaklifID])</f>
        <v>#N/A</v>
      </c>
      <c r="W684" s="24"/>
      <c r="X684" s="23"/>
      <c r="Y684" s="7"/>
      <c r="Z684" s="26"/>
      <c r="AB684" s="23"/>
      <c r="AD684" s="2"/>
      <c r="AG684" s="23"/>
      <c r="AI684" s="26"/>
      <c r="AJ684" s="23"/>
      <c r="AM684" s="23"/>
      <c r="AO684" s="32"/>
      <c r="AP684" s="26"/>
      <c r="AR684" s="26"/>
      <c r="AS684" s="27"/>
      <c r="AT684" s="27"/>
      <c r="AU684" s="31"/>
      <c r="AV684" s="24"/>
      <c r="AW684"/>
      <c r="AX684"/>
      <c r="AY684"/>
      <c r="AZ684"/>
      <c r="BA684"/>
      <c r="BB684"/>
      <c r="BC684"/>
      <c r="BD684"/>
      <c r="BE684"/>
      <c r="BF684"/>
      <c r="BG684"/>
    </row>
    <row r="685" spans="2:59" x14ac:dyDescent="0.25">
      <c r="B685" s="22"/>
      <c r="C685" s="23"/>
      <c r="E685" s="23"/>
      <c r="F685" s="24"/>
      <c r="G685" s="2"/>
      <c r="H685" s="10" t="e">
        <f>_xlfn.XLOOKUP(F685,Viloyatlar24[RegionName],Viloyatlar24[RegionId])</f>
        <v>#N/A</v>
      </c>
      <c r="I685" s="10" t="e">
        <f>_xlfn.XLOOKUP('Кўчмас мулк объектлари'!G685,Tumanlar23[DistrictName],Tumanlar23[DistrictId])</f>
        <v>#N/A</v>
      </c>
      <c r="K685" s="24"/>
      <c r="L685" s="10" t="e">
        <f>_xlfn.XLOOKUP(K685,Ташкилотлар39[Ташкилотлар],Ташкилотлар39[TashklilotID])</f>
        <v>#N/A</v>
      </c>
      <c r="M685" s="26"/>
      <c r="N685" s="26"/>
      <c r="O685" s="24"/>
      <c r="P685" s="2"/>
      <c r="Q685" s="26"/>
      <c r="R685" s="26"/>
      <c r="S685" s="26"/>
      <c r="T685" s="26"/>
      <c r="U685" s="24"/>
      <c r="V685" s="10" t="e">
        <f>_xlfn.XLOOKUP(U685,Таклифлар37[Таклифлар],Таклифлар37[TaklifID])</f>
        <v>#N/A</v>
      </c>
      <c r="W685" s="24"/>
      <c r="X685" s="23"/>
      <c r="Y685" s="7"/>
      <c r="Z685" s="26"/>
      <c r="AB685" s="23"/>
      <c r="AD685" s="2"/>
      <c r="AG685" s="23"/>
      <c r="AI685" s="26"/>
      <c r="AJ685" s="23"/>
      <c r="AM685" s="23"/>
      <c r="AO685" s="32"/>
      <c r="AP685" s="26"/>
      <c r="AR685" s="26"/>
      <c r="AS685" s="27"/>
      <c r="AT685" s="27"/>
      <c r="AU685" s="31"/>
      <c r="AV685" s="24"/>
      <c r="AW685"/>
      <c r="AX685"/>
      <c r="AY685"/>
      <c r="AZ685"/>
      <c r="BA685"/>
      <c r="BB685"/>
      <c r="BC685"/>
      <c r="BD685"/>
      <c r="BE685"/>
      <c r="BF685"/>
      <c r="BG685"/>
    </row>
    <row r="686" spans="2:59" x14ac:dyDescent="0.25">
      <c r="B686" s="22"/>
      <c r="C686" s="23"/>
      <c r="E686" s="23"/>
      <c r="F686" s="24"/>
      <c r="G686" s="2"/>
      <c r="H686" s="10" t="e">
        <f>_xlfn.XLOOKUP(F686,Viloyatlar24[RegionName],Viloyatlar24[RegionId])</f>
        <v>#N/A</v>
      </c>
      <c r="I686" s="10" t="e">
        <f>_xlfn.XLOOKUP('Кўчмас мулк объектлари'!G686,Tumanlar23[DistrictName],Tumanlar23[DistrictId])</f>
        <v>#N/A</v>
      </c>
      <c r="K686" s="24"/>
      <c r="L686" s="10" t="e">
        <f>_xlfn.XLOOKUP(K686,Ташкилотлар39[Ташкилотлар],Ташкилотлар39[TashklilotID])</f>
        <v>#N/A</v>
      </c>
      <c r="M686" s="26"/>
      <c r="N686" s="26"/>
      <c r="O686" s="24"/>
      <c r="P686" s="2"/>
      <c r="Q686" s="26"/>
      <c r="R686" s="26"/>
      <c r="S686" s="26"/>
      <c r="T686" s="26"/>
      <c r="U686" s="24"/>
      <c r="V686" s="10" t="e">
        <f>_xlfn.XLOOKUP(U686,Таклифлар37[Таклифлар],Таклифлар37[TaklifID])</f>
        <v>#N/A</v>
      </c>
      <c r="W686" s="24"/>
      <c r="X686" s="23"/>
      <c r="Y686" s="7"/>
      <c r="Z686" s="26"/>
      <c r="AB686" s="23"/>
      <c r="AD686" s="2"/>
      <c r="AG686" s="23"/>
      <c r="AI686" s="26"/>
      <c r="AJ686" s="23"/>
      <c r="AM686" s="23"/>
      <c r="AO686" s="32"/>
      <c r="AP686" s="26"/>
      <c r="AR686" s="26"/>
      <c r="AS686" s="27"/>
      <c r="AT686" s="27"/>
      <c r="AU686" s="31"/>
      <c r="AV686" s="24"/>
      <c r="AW686"/>
      <c r="AX686"/>
      <c r="AY686"/>
      <c r="AZ686"/>
      <c r="BA686"/>
      <c r="BB686"/>
      <c r="BC686"/>
      <c r="BD686"/>
      <c r="BE686"/>
      <c r="BF686"/>
      <c r="BG686"/>
    </row>
    <row r="687" spans="2:59" x14ac:dyDescent="0.25">
      <c r="B687" s="22"/>
      <c r="C687" s="23"/>
      <c r="E687" s="23"/>
      <c r="F687" s="24"/>
      <c r="G687" s="2"/>
      <c r="H687" s="10" t="e">
        <f>_xlfn.XLOOKUP(F687,Viloyatlar24[RegionName],Viloyatlar24[RegionId])</f>
        <v>#N/A</v>
      </c>
      <c r="I687" s="10" t="e">
        <f>_xlfn.XLOOKUP('Кўчмас мулк объектлари'!G687,Tumanlar23[DistrictName],Tumanlar23[DistrictId])</f>
        <v>#N/A</v>
      </c>
      <c r="K687" s="24"/>
      <c r="L687" s="10" t="e">
        <f>_xlfn.XLOOKUP(K687,Ташкилотлар39[Ташкилотлар],Ташкилотлар39[TashklilotID])</f>
        <v>#N/A</v>
      </c>
      <c r="M687" s="26"/>
      <c r="N687" s="26"/>
      <c r="O687" s="24"/>
      <c r="P687" s="2"/>
      <c r="Q687" s="26"/>
      <c r="R687" s="26"/>
      <c r="S687" s="26"/>
      <c r="T687" s="26"/>
      <c r="U687" s="24"/>
      <c r="V687" s="10" t="e">
        <f>_xlfn.XLOOKUP(U687,Таклифлар37[Таклифлар],Таклифлар37[TaklifID])</f>
        <v>#N/A</v>
      </c>
      <c r="W687" s="24"/>
      <c r="X687" s="23"/>
      <c r="Y687" s="7"/>
      <c r="Z687" s="26"/>
      <c r="AB687" s="23"/>
      <c r="AD687" s="2"/>
      <c r="AG687" s="23"/>
      <c r="AI687" s="26"/>
      <c r="AJ687" s="23"/>
      <c r="AM687" s="23"/>
      <c r="AO687" s="32"/>
      <c r="AP687" s="26"/>
      <c r="AR687" s="26"/>
      <c r="AS687" s="27"/>
      <c r="AT687" s="27"/>
      <c r="AU687" s="31"/>
      <c r="AV687" s="24"/>
      <c r="AW687"/>
      <c r="AX687"/>
      <c r="AY687"/>
      <c r="AZ687"/>
      <c r="BA687"/>
      <c r="BB687"/>
      <c r="BC687"/>
      <c r="BD687"/>
      <c r="BE687"/>
      <c r="BF687"/>
      <c r="BG687"/>
    </row>
    <row r="688" spans="2:59" x14ac:dyDescent="0.25">
      <c r="B688" s="22"/>
      <c r="C688" s="23"/>
      <c r="E688" s="23"/>
      <c r="F688" s="24"/>
      <c r="G688" s="2"/>
      <c r="H688" s="10" t="e">
        <f>_xlfn.XLOOKUP(F688,Viloyatlar24[RegionName],Viloyatlar24[RegionId])</f>
        <v>#N/A</v>
      </c>
      <c r="I688" s="10" t="e">
        <f>_xlfn.XLOOKUP('Кўчмас мулк объектлари'!G688,Tumanlar23[DistrictName],Tumanlar23[DistrictId])</f>
        <v>#N/A</v>
      </c>
      <c r="K688" s="24"/>
      <c r="L688" s="10" t="e">
        <f>_xlfn.XLOOKUP(K688,Ташкилотлар39[Ташкилотлар],Ташкилотлар39[TashklilotID])</f>
        <v>#N/A</v>
      </c>
      <c r="M688" s="26"/>
      <c r="N688" s="26"/>
      <c r="O688" s="24"/>
      <c r="P688" s="2"/>
      <c r="Q688" s="26"/>
      <c r="R688" s="26"/>
      <c r="S688" s="26"/>
      <c r="T688" s="26"/>
      <c r="U688" s="24"/>
      <c r="V688" s="10" t="e">
        <f>_xlfn.XLOOKUP(U688,Таклифлар37[Таклифлар],Таклифлар37[TaklifID])</f>
        <v>#N/A</v>
      </c>
      <c r="W688" s="24"/>
      <c r="X688" s="23"/>
      <c r="Y688" s="7"/>
      <c r="Z688" s="26"/>
      <c r="AB688" s="23"/>
      <c r="AD688" s="2"/>
      <c r="AG688" s="23"/>
      <c r="AI688" s="26"/>
      <c r="AJ688" s="23"/>
      <c r="AM688" s="23"/>
      <c r="AO688" s="32"/>
      <c r="AP688" s="26"/>
      <c r="AR688" s="26"/>
      <c r="AS688" s="27"/>
      <c r="AT688" s="27"/>
      <c r="AU688" s="31"/>
      <c r="AV688" s="24"/>
      <c r="AW688"/>
      <c r="AX688"/>
      <c r="AY688"/>
      <c r="AZ688"/>
      <c r="BA688"/>
      <c r="BB688"/>
      <c r="BC688"/>
      <c r="BD688"/>
      <c r="BE688"/>
      <c r="BF688"/>
      <c r="BG688"/>
    </row>
    <row r="689" spans="2:59" x14ac:dyDescent="0.25">
      <c r="B689" s="22"/>
      <c r="C689" s="23"/>
      <c r="E689" s="23"/>
      <c r="F689" s="24"/>
      <c r="G689" s="2"/>
      <c r="H689" s="10" t="e">
        <f>_xlfn.XLOOKUP(F689,Viloyatlar24[RegionName],Viloyatlar24[RegionId])</f>
        <v>#N/A</v>
      </c>
      <c r="I689" s="10" t="e">
        <f>_xlfn.XLOOKUP('Кўчмас мулк объектлари'!G689,Tumanlar23[DistrictName],Tumanlar23[DistrictId])</f>
        <v>#N/A</v>
      </c>
      <c r="K689" s="24"/>
      <c r="L689" s="10" t="e">
        <f>_xlfn.XLOOKUP(K689,Ташкилотлар39[Ташкилотлар],Ташкилотлар39[TashklilotID])</f>
        <v>#N/A</v>
      </c>
      <c r="M689" s="26"/>
      <c r="N689" s="26"/>
      <c r="O689" s="24"/>
      <c r="P689" s="2"/>
      <c r="Q689" s="26"/>
      <c r="R689" s="26"/>
      <c r="S689" s="26"/>
      <c r="T689" s="26"/>
      <c r="U689" s="24"/>
      <c r="V689" s="10" t="e">
        <f>_xlfn.XLOOKUP(U689,Таклифлар37[Таклифлар],Таклифлар37[TaklifID])</f>
        <v>#N/A</v>
      </c>
      <c r="W689" s="24"/>
      <c r="X689" s="23"/>
      <c r="Y689" s="7"/>
      <c r="Z689" s="26"/>
      <c r="AB689" s="23"/>
      <c r="AD689" s="2"/>
      <c r="AG689" s="23"/>
      <c r="AI689" s="26"/>
      <c r="AJ689" s="23"/>
      <c r="AM689" s="23"/>
      <c r="AO689" s="32"/>
      <c r="AP689" s="26"/>
      <c r="AR689" s="26"/>
      <c r="AS689" s="27"/>
      <c r="AT689" s="27"/>
      <c r="AU689" s="31"/>
      <c r="AV689" s="24"/>
      <c r="AW689"/>
      <c r="AX689"/>
      <c r="AY689"/>
      <c r="AZ689"/>
      <c r="BA689"/>
      <c r="BB689"/>
      <c r="BC689"/>
      <c r="BD689"/>
      <c r="BE689"/>
      <c r="BF689"/>
      <c r="BG689"/>
    </row>
    <row r="690" spans="2:59" x14ac:dyDescent="0.25">
      <c r="B690" s="22"/>
      <c r="C690" s="23"/>
      <c r="E690" s="23"/>
      <c r="F690" s="24"/>
      <c r="G690" s="2"/>
      <c r="H690" s="10" t="e">
        <f>_xlfn.XLOOKUP(F690,Viloyatlar24[RegionName],Viloyatlar24[RegionId])</f>
        <v>#N/A</v>
      </c>
      <c r="I690" s="10" t="e">
        <f>_xlfn.XLOOKUP('Кўчмас мулк объектлари'!G690,Tumanlar23[DistrictName],Tumanlar23[DistrictId])</f>
        <v>#N/A</v>
      </c>
      <c r="K690" s="24"/>
      <c r="L690" s="10" t="e">
        <f>_xlfn.XLOOKUP(K690,Ташкилотлар39[Ташкилотлар],Ташкилотлар39[TashklilotID])</f>
        <v>#N/A</v>
      </c>
      <c r="M690" s="26"/>
      <c r="N690" s="26"/>
      <c r="O690" s="24"/>
      <c r="P690" s="2"/>
      <c r="Q690" s="26"/>
      <c r="R690" s="26"/>
      <c r="S690" s="26"/>
      <c r="T690" s="26"/>
      <c r="U690" s="24"/>
      <c r="V690" s="10" t="e">
        <f>_xlfn.XLOOKUP(U690,Таклифлар37[Таклифлар],Таклифлар37[TaklifID])</f>
        <v>#N/A</v>
      </c>
      <c r="W690" s="24"/>
      <c r="X690" s="23"/>
      <c r="Y690" s="7"/>
      <c r="Z690" s="26"/>
      <c r="AB690" s="23"/>
      <c r="AD690" s="2"/>
      <c r="AG690" s="23"/>
      <c r="AI690" s="26"/>
      <c r="AJ690" s="23"/>
      <c r="AM690" s="23"/>
      <c r="AO690" s="32"/>
      <c r="AP690" s="26"/>
      <c r="AR690" s="26"/>
      <c r="AS690" s="27"/>
      <c r="AT690" s="27"/>
      <c r="AU690" s="31"/>
      <c r="AV690" s="24"/>
      <c r="AW690"/>
      <c r="AX690"/>
      <c r="AY690"/>
      <c r="AZ690"/>
      <c r="BA690"/>
      <c r="BB690"/>
      <c r="BC690"/>
      <c r="BD690"/>
      <c r="BE690"/>
      <c r="BF690"/>
      <c r="BG690"/>
    </row>
    <row r="691" spans="2:59" x14ac:dyDescent="0.25">
      <c r="B691" s="22"/>
      <c r="C691" s="23"/>
      <c r="E691" s="23"/>
      <c r="F691" s="24"/>
      <c r="G691" s="2"/>
      <c r="H691" s="10" t="e">
        <f>_xlfn.XLOOKUP(F691,Viloyatlar24[RegionName],Viloyatlar24[RegionId])</f>
        <v>#N/A</v>
      </c>
      <c r="I691" s="10" t="e">
        <f>_xlfn.XLOOKUP('Кўчмас мулк объектлари'!G691,Tumanlar23[DistrictName],Tumanlar23[DistrictId])</f>
        <v>#N/A</v>
      </c>
      <c r="K691" s="24"/>
      <c r="L691" s="10" t="e">
        <f>_xlfn.XLOOKUP(K691,Ташкилотлар39[Ташкилотлар],Ташкилотлар39[TashklilotID])</f>
        <v>#N/A</v>
      </c>
      <c r="M691" s="26"/>
      <c r="N691" s="26"/>
      <c r="O691" s="24"/>
      <c r="P691" s="2"/>
      <c r="Q691" s="26"/>
      <c r="R691" s="26"/>
      <c r="S691" s="26"/>
      <c r="T691" s="26"/>
      <c r="U691" s="24"/>
      <c r="V691" s="10" t="e">
        <f>_xlfn.XLOOKUP(U691,Таклифлар37[Таклифлар],Таклифлар37[TaklifID])</f>
        <v>#N/A</v>
      </c>
      <c r="W691" s="24"/>
      <c r="X691" s="23"/>
      <c r="Y691" s="7"/>
      <c r="Z691" s="26"/>
      <c r="AB691" s="23"/>
      <c r="AD691" s="2"/>
      <c r="AG691" s="23"/>
      <c r="AI691" s="26"/>
      <c r="AJ691" s="23"/>
      <c r="AM691" s="23"/>
      <c r="AO691" s="32"/>
      <c r="AP691" s="26"/>
      <c r="AR691" s="26"/>
      <c r="AS691" s="27"/>
      <c r="AT691" s="27"/>
      <c r="AU691" s="31"/>
      <c r="AV691" s="24"/>
      <c r="AW691"/>
      <c r="AX691"/>
      <c r="AY691"/>
      <c r="AZ691"/>
      <c r="BA691"/>
      <c r="BB691"/>
      <c r="BC691"/>
      <c r="BD691"/>
      <c r="BE691"/>
      <c r="BF691"/>
      <c r="BG691"/>
    </row>
    <row r="692" spans="2:59" x14ac:dyDescent="0.25">
      <c r="B692" s="22"/>
      <c r="C692" s="23"/>
      <c r="E692" s="23"/>
      <c r="F692" s="24"/>
      <c r="G692" s="2"/>
      <c r="H692" s="10" t="e">
        <f>_xlfn.XLOOKUP(F692,Viloyatlar24[RegionName],Viloyatlar24[RegionId])</f>
        <v>#N/A</v>
      </c>
      <c r="I692" s="10" t="e">
        <f>_xlfn.XLOOKUP('Кўчмас мулк объектлари'!G692,Tumanlar23[DistrictName],Tumanlar23[DistrictId])</f>
        <v>#N/A</v>
      </c>
      <c r="K692" s="24"/>
      <c r="L692" s="10" t="e">
        <f>_xlfn.XLOOKUP(K692,Ташкилотлар39[Ташкилотлар],Ташкилотлар39[TashklilotID])</f>
        <v>#N/A</v>
      </c>
      <c r="M692" s="26"/>
      <c r="N692" s="26"/>
      <c r="O692" s="24"/>
      <c r="P692" s="2"/>
      <c r="Q692" s="26"/>
      <c r="R692" s="26"/>
      <c r="S692" s="26"/>
      <c r="T692" s="26"/>
      <c r="U692" s="24"/>
      <c r="V692" s="10" t="e">
        <f>_xlfn.XLOOKUP(U692,Таклифлар37[Таклифлар],Таклифлар37[TaklifID])</f>
        <v>#N/A</v>
      </c>
      <c r="W692" s="24"/>
      <c r="X692" s="23"/>
      <c r="Y692" s="7"/>
      <c r="Z692" s="26"/>
      <c r="AB692" s="23"/>
      <c r="AD692" s="2"/>
      <c r="AG692" s="23"/>
      <c r="AI692" s="26"/>
      <c r="AJ692" s="23"/>
      <c r="AM692" s="23"/>
      <c r="AO692" s="32"/>
      <c r="AP692" s="26"/>
      <c r="AR692" s="26"/>
      <c r="AS692" s="27"/>
      <c r="AT692" s="27"/>
      <c r="AU692" s="31"/>
      <c r="AV692" s="24"/>
      <c r="AW692"/>
      <c r="AX692"/>
      <c r="AY692"/>
      <c r="AZ692"/>
      <c r="BA692"/>
      <c r="BB692"/>
      <c r="BC692"/>
      <c r="BD692"/>
      <c r="BE692"/>
      <c r="BF692"/>
      <c r="BG692"/>
    </row>
    <row r="693" spans="2:59" x14ac:dyDescent="0.25">
      <c r="B693" s="22"/>
      <c r="C693" s="23"/>
      <c r="E693" s="23"/>
      <c r="F693" s="24"/>
      <c r="G693" s="2"/>
      <c r="H693" s="10" t="e">
        <f>_xlfn.XLOOKUP(F693,Viloyatlar24[RegionName],Viloyatlar24[RegionId])</f>
        <v>#N/A</v>
      </c>
      <c r="I693" s="10" t="e">
        <f>_xlfn.XLOOKUP('Кўчмас мулк объектлари'!G693,Tumanlar23[DistrictName],Tumanlar23[DistrictId])</f>
        <v>#N/A</v>
      </c>
      <c r="K693" s="24"/>
      <c r="L693" s="10" t="e">
        <f>_xlfn.XLOOKUP(K693,Ташкилотлар39[Ташкилотлар],Ташкилотлар39[TashklilotID])</f>
        <v>#N/A</v>
      </c>
      <c r="M693" s="26"/>
      <c r="N693" s="26"/>
      <c r="O693" s="24"/>
      <c r="P693" s="2"/>
      <c r="Q693" s="26"/>
      <c r="R693" s="26"/>
      <c r="S693" s="26"/>
      <c r="T693" s="26"/>
      <c r="U693" s="24"/>
      <c r="V693" s="10" t="e">
        <f>_xlfn.XLOOKUP(U693,Таклифлар37[Таклифлар],Таклифлар37[TaklifID])</f>
        <v>#N/A</v>
      </c>
      <c r="W693" s="24"/>
      <c r="X693" s="23"/>
      <c r="Y693" s="7"/>
      <c r="Z693" s="26"/>
      <c r="AB693" s="23"/>
      <c r="AD693" s="2"/>
      <c r="AG693" s="23"/>
      <c r="AI693" s="26"/>
      <c r="AJ693" s="23"/>
      <c r="AM693" s="23"/>
      <c r="AO693" s="32"/>
      <c r="AP693" s="26"/>
      <c r="AR693" s="26"/>
      <c r="AS693" s="27"/>
      <c r="AT693" s="27"/>
      <c r="AU693" s="31"/>
      <c r="AV693" s="24"/>
      <c r="AW693"/>
      <c r="AX693"/>
      <c r="AY693"/>
      <c r="AZ693"/>
      <c r="BA693"/>
      <c r="BB693"/>
      <c r="BC693"/>
      <c r="BD693"/>
      <c r="BE693"/>
      <c r="BF693"/>
      <c r="BG693"/>
    </row>
    <row r="694" spans="2:59" x14ac:dyDescent="0.25">
      <c r="B694" s="22"/>
      <c r="C694" s="23"/>
      <c r="E694" s="23"/>
      <c r="F694" s="24"/>
      <c r="G694" s="2"/>
      <c r="H694" s="10" t="e">
        <f>_xlfn.XLOOKUP(F694,Viloyatlar24[RegionName],Viloyatlar24[RegionId])</f>
        <v>#N/A</v>
      </c>
      <c r="I694" s="10" t="e">
        <f>_xlfn.XLOOKUP('Кўчмас мулк объектлари'!G694,Tumanlar23[DistrictName],Tumanlar23[DistrictId])</f>
        <v>#N/A</v>
      </c>
      <c r="K694" s="24"/>
      <c r="L694" s="10" t="e">
        <f>_xlfn.XLOOKUP(K694,Ташкилотлар39[Ташкилотлар],Ташкилотлар39[TashklilotID])</f>
        <v>#N/A</v>
      </c>
      <c r="M694" s="26"/>
      <c r="N694" s="26"/>
      <c r="O694" s="24"/>
      <c r="P694" s="2"/>
      <c r="Q694" s="26"/>
      <c r="R694" s="26"/>
      <c r="S694" s="26"/>
      <c r="T694" s="26"/>
      <c r="U694" s="24"/>
      <c r="V694" s="10" t="e">
        <f>_xlfn.XLOOKUP(U694,Таклифлар37[Таклифлар],Таклифлар37[TaklifID])</f>
        <v>#N/A</v>
      </c>
      <c r="W694" s="24"/>
      <c r="X694" s="23"/>
      <c r="Y694" s="7"/>
      <c r="Z694" s="26"/>
      <c r="AB694" s="23"/>
      <c r="AD694" s="2"/>
      <c r="AG694" s="23"/>
      <c r="AI694" s="26"/>
      <c r="AJ694" s="23"/>
      <c r="AM694" s="23"/>
      <c r="AO694" s="32"/>
      <c r="AP694" s="26"/>
      <c r="AR694" s="26"/>
      <c r="AS694" s="27"/>
      <c r="AT694" s="27"/>
      <c r="AU694" s="31"/>
      <c r="AV694" s="24"/>
      <c r="AW694"/>
      <c r="AX694"/>
      <c r="AY694"/>
      <c r="AZ694"/>
      <c r="BA694"/>
      <c r="BB694"/>
      <c r="BC694"/>
      <c r="BD694"/>
      <c r="BE694"/>
      <c r="BF694"/>
      <c r="BG694"/>
    </row>
    <row r="695" spans="2:59" x14ac:dyDescent="0.25">
      <c r="B695" s="22"/>
      <c r="C695" s="23"/>
      <c r="E695" s="23"/>
      <c r="F695" s="24"/>
      <c r="G695" s="2"/>
      <c r="H695" s="10" t="e">
        <f>_xlfn.XLOOKUP(F695,Viloyatlar24[RegionName],Viloyatlar24[RegionId])</f>
        <v>#N/A</v>
      </c>
      <c r="I695" s="10" t="e">
        <f>_xlfn.XLOOKUP('Кўчмас мулк объектлари'!G695,Tumanlar23[DistrictName],Tumanlar23[DistrictId])</f>
        <v>#N/A</v>
      </c>
      <c r="K695" s="24"/>
      <c r="L695" s="10" t="e">
        <f>_xlfn.XLOOKUP(K695,Ташкилотлар39[Ташкилотлар],Ташкилотлар39[TashklilotID])</f>
        <v>#N/A</v>
      </c>
      <c r="M695" s="26"/>
      <c r="N695" s="26"/>
      <c r="O695" s="24"/>
      <c r="P695" s="2"/>
      <c r="Q695" s="26"/>
      <c r="R695" s="26"/>
      <c r="S695" s="26"/>
      <c r="T695" s="26"/>
      <c r="U695" s="24"/>
      <c r="V695" s="10" t="e">
        <f>_xlfn.XLOOKUP(U695,Таклифлар37[Таклифлар],Таклифлар37[TaklifID])</f>
        <v>#N/A</v>
      </c>
      <c r="W695" s="24"/>
      <c r="X695" s="23"/>
      <c r="Y695" s="7"/>
      <c r="Z695" s="26"/>
      <c r="AB695" s="23"/>
      <c r="AD695" s="2"/>
      <c r="AG695" s="23"/>
      <c r="AI695" s="26"/>
      <c r="AJ695" s="23"/>
      <c r="AM695" s="23"/>
      <c r="AO695" s="32"/>
      <c r="AP695" s="26"/>
      <c r="AR695" s="26"/>
      <c r="AS695" s="27"/>
      <c r="AT695" s="27"/>
      <c r="AU695" s="31"/>
      <c r="AV695" s="24"/>
      <c r="AW695"/>
      <c r="AX695"/>
      <c r="AY695"/>
      <c r="AZ695"/>
      <c r="BA695"/>
      <c r="BB695"/>
      <c r="BC695"/>
      <c r="BD695"/>
      <c r="BE695"/>
      <c r="BF695"/>
      <c r="BG695"/>
    </row>
    <row r="696" spans="2:59" x14ac:dyDescent="0.25">
      <c r="B696" s="22"/>
      <c r="C696" s="23"/>
      <c r="E696" s="23"/>
      <c r="F696" s="24"/>
      <c r="G696" s="2"/>
      <c r="H696" s="10" t="e">
        <f>_xlfn.XLOOKUP(F696,Viloyatlar24[RegionName],Viloyatlar24[RegionId])</f>
        <v>#N/A</v>
      </c>
      <c r="I696" s="10" t="e">
        <f>_xlfn.XLOOKUP('Кўчмас мулк объектлари'!G696,Tumanlar23[DistrictName],Tumanlar23[DistrictId])</f>
        <v>#N/A</v>
      </c>
      <c r="K696" s="24"/>
      <c r="L696" s="10" t="e">
        <f>_xlfn.XLOOKUP(K696,Ташкилотлар39[Ташкилотлар],Ташкилотлар39[TashklilotID])</f>
        <v>#N/A</v>
      </c>
      <c r="M696" s="26"/>
      <c r="N696" s="26"/>
      <c r="O696" s="24"/>
      <c r="P696" s="2"/>
      <c r="Q696" s="26"/>
      <c r="R696" s="26"/>
      <c r="S696" s="26"/>
      <c r="T696" s="26"/>
      <c r="U696" s="24"/>
      <c r="V696" s="10" t="e">
        <f>_xlfn.XLOOKUP(U696,Таклифлар37[Таклифлар],Таклифлар37[TaklifID])</f>
        <v>#N/A</v>
      </c>
      <c r="W696" s="24"/>
      <c r="X696" s="23"/>
      <c r="Y696" s="7"/>
      <c r="Z696" s="26"/>
      <c r="AB696" s="23"/>
      <c r="AD696" s="2"/>
      <c r="AG696" s="23"/>
      <c r="AI696" s="26"/>
      <c r="AJ696" s="23"/>
      <c r="AM696" s="23"/>
      <c r="AO696" s="32"/>
      <c r="AP696" s="26"/>
      <c r="AR696" s="26"/>
      <c r="AS696" s="27"/>
      <c r="AT696" s="27"/>
      <c r="AU696" s="31"/>
      <c r="AV696" s="24"/>
      <c r="AW696"/>
      <c r="AX696"/>
      <c r="AY696"/>
      <c r="AZ696"/>
      <c r="BA696"/>
      <c r="BB696"/>
      <c r="BC696"/>
      <c r="BD696"/>
      <c r="BE696"/>
      <c r="BF696"/>
      <c r="BG696"/>
    </row>
    <row r="697" spans="2:59" x14ac:dyDescent="0.25">
      <c r="B697" s="22"/>
      <c r="C697" s="23"/>
      <c r="E697" s="23"/>
      <c r="F697" s="24"/>
      <c r="G697" s="2"/>
      <c r="H697" s="10" t="e">
        <f>_xlfn.XLOOKUP(F697,Viloyatlar24[RegionName],Viloyatlar24[RegionId])</f>
        <v>#N/A</v>
      </c>
      <c r="I697" s="10" t="e">
        <f>_xlfn.XLOOKUP('Кўчмас мулк объектлари'!G697,Tumanlar23[DistrictName],Tumanlar23[DistrictId])</f>
        <v>#N/A</v>
      </c>
      <c r="K697" s="24"/>
      <c r="L697" s="10" t="e">
        <f>_xlfn.XLOOKUP(K697,Ташкилотлар39[Ташкилотлар],Ташкилотлар39[TashklilotID])</f>
        <v>#N/A</v>
      </c>
      <c r="M697" s="26"/>
      <c r="N697" s="26"/>
      <c r="O697" s="24"/>
      <c r="P697" s="2"/>
      <c r="Q697" s="26"/>
      <c r="R697" s="26"/>
      <c r="S697" s="26"/>
      <c r="T697" s="26"/>
      <c r="U697" s="24"/>
      <c r="V697" s="10" t="e">
        <f>_xlfn.XLOOKUP(U697,Таклифлар37[Таклифлар],Таклифлар37[TaklifID])</f>
        <v>#N/A</v>
      </c>
      <c r="W697" s="24"/>
      <c r="X697" s="23"/>
      <c r="Y697" s="7"/>
      <c r="Z697" s="26"/>
      <c r="AB697" s="23"/>
      <c r="AD697" s="2"/>
      <c r="AG697" s="23"/>
      <c r="AI697" s="26"/>
      <c r="AJ697" s="23"/>
      <c r="AM697" s="23"/>
      <c r="AO697" s="32"/>
      <c r="AP697" s="26"/>
      <c r="AR697" s="26"/>
      <c r="AS697" s="27"/>
      <c r="AT697" s="27"/>
      <c r="AU697" s="31"/>
      <c r="AV697" s="24"/>
      <c r="AW697"/>
      <c r="AX697"/>
      <c r="AY697"/>
      <c r="AZ697"/>
      <c r="BA697"/>
      <c r="BB697"/>
      <c r="BC697"/>
      <c r="BD697"/>
      <c r="BE697"/>
      <c r="BF697"/>
      <c r="BG697"/>
    </row>
    <row r="698" spans="2:59" x14ac:dyDescent="0.25">
      <c r="B698" s="22"/>
      <c r="C698" s="23"/>
      <c r="E698" s="23"/>
      <c r="F698" s="24"/>
      <c r="G698" s="2"/>
      <c r="H698" s="10" t="e">
        <f>_xlfn.XLOOKUP(F698,Viloyatlar24[RegionName],Viloyatlar24[RegionId])</f>
        <v>#N/A</v>
      </c>
      <c r="I698" s="10" t="e">
        <f>_xlfn.XLOOKUP('Кўчмас мулк объектлари'!G698,Tumanlar23[DistrictName],Tumanlar23[DistrictId])</f>
        <v>#N/A</v>
      </c>
      <c r="K698" s="24"/>
      <c r="L698" s="10" t="e">
        <f>_xlfn.XLOOKUP(K698,Ташкилотлар39[Ташкилотлар],Ташкилотлар39[TashklilotID])</f>
        <v>#N/A</v>
      </c>
      <c r="M698" s="26"/>
      <c r="N698" s="26"/>
      <c r="O698" s="24"/>
      <c r="P698" s="2"/>
      <c r="Q698" s="26"/>
      <c r="R698" s="26"/>
      <c r="S698" s="26"/>
      <c r="T698" s="26"/>
      <c r="U698" s="24"/>
      <c r="V698" s="10" t="e">
        <f>_xlfn.XLOOKUP(U698,Таклифлар37[Таклифлар],Таклифлар37[TaklifID])</f>
        <v>#N/A</v>
      </c>
      <c r="W698" s="24"/>
      <c r="X698" s="23"/>
      <c r="Y698" s="7"/>
      <c r="Z698" s="26"/>
      <c r="AB698" s="23"/>
      <c r="AD698" s="2"/>
      <c r="AG698" s="23"/>
      <c r="AI698" s="26"/>
      <c r="AJ698" s="23"/>
      <c r="AM698" s="23"/>
      <c r="AO698" s="32"/>
      <c r="AP698" s="26"/>
      <c r="AR698" s="26"/>
      <c r="AS698" s="27"/>
      <c r="AT698" s="27"/>
      <c r="AU698" s="31"/>
      <c r="AV698" s="24"/>
      <c r="AW698"/>
      <c r="AX698"/>
      <c r="AY698"/>
      <c r="AZ698"/>
      <c r="BA698"/>
      <c r="BB698"/>
      <c r="BC698"/>
      <c r="BD698"/>
      <c r="BE698"/>
      <c r="BF698"/>
      <c r="BG698"/>
    </row>
    <row r="699" spans="2:59" x14ac:dyDescent="0.25">
      <c r="B699" s="22"/>
      <c r="C699" s="23"/>
      <c r="E699" s="23"/>
      <c r="F699" s="24"/>
      <c r="G699" s="2"/>
      <c r="H699" s="10" t="e">
        <f>_xlfn.XLOOKUP(F699,Viloyatlar24[RegionName],Viloyatlar24[RegionId])</f>
        <v>#N/A</v>
      </c>
      <c r="I699" s="10" t="e">
        <f>_xlfn.XLOOKUP('Кўчмас мулк объектлари'!G699,Tumanlar23[DistrictName],Tumanlar23[DistrictId])</f>
        <v>#N/A</v>
      </c>
      <c r="K699" s="24"/>
      <c r="L699" s="10" t="e">
        <f>_xlfn.XLOOKUP(K699,Ташкилотлар39[Ташкилотлар],Ташкилотлар39[TashklilotID])</f>
        <v>#N/A</v>
      </c>
      <c r="M699" s="26"/>
      <c r="N699" s="26"/>
      <c r="O699" s="24"/>
      <c r="P699" s="2"/>
      <c r="Q699" s="26"/>
      <c r="R699" s="26"/>
      <c r="S699" s="26"/>
      <c r="T699" s="26"/>
      <c r="U699" s="24"/>
      <c r="V699" s="10" t="e">
        <f>_xlfn.XLOOKUP(U699,Таклифлар37[Таклифлар],Таклифлар37[TaklifID])</f>
        <v>#N/A</v>
      </c>
      <c r="W699" s="24"/>
      <c r="X699" s="23"/>
      <c r="Y699" s="7"/>
      <c r="Z699" s="26"/>
      <c r="AB699" s="23"/>
      <c r="AD699" s="2"/>
      <c r="AG699" s="23"/>
      <c r="AI699" s="26"/>
      <c r="AJ699" s="23"/>
      <c r="AM699" s="23"/>
      <c r="AO699" s="32"/>
      <c r="AP699" s="26"/>
      <c r="AR699" s="26"/>
      <c r="AS699" s="27"/>
      <c r="AT699" s="27"/>
      <c r="AU699" s="31"/>
      <c r="AV699" s="24"/>
      <c r="AW699"/>
      <c r="AX699"/>
      <c r="AY699"/>
      <c r="AZ699"/>
      <c r="BA699"/>
      <c r="BB699"/>
      <c r="BC699"/>
      <c r="BD699"/>
      <c r="BE699"/>
      <c r="BF699"/>
      <c r="BG699"/>
    </row>
    <row r="700" spans="2:59" x14ac:dyDescent="0.25">
      <c r="B700" s="22"/>
      <c r="C700" s="23"/>
      <c r="E700" s="23"/>
      <c r="F700" s="24"/>
      <c r="G700" s="2"/>
      <c r="H700" s="10" t="e">
        <f>_xlfn.XLOOKUP(F700,Viloyatlar24[RegionName],Viloyatlar24[RegionId])</f>
        <v>#N/A</v>
      </c>
      <c r="I700" s="10" t="e">
        <f>_xlfn.XLOOKUP('Кўчмас мулк объектлари'!G700,Tumanlar23[DistrictName],Tumanlar23[DistrictId])</f>
        <v>#N/A</v>
      </c>
      <c r="K700" s="24"/>
      <c r="L700" s="10" t="e">
        <f>_xlfn.XLOOKUP(K700,Ташкилотлар39[Ташкилотлар],Ташкилотлар39[TashklilotID])</f>
        <v>#N/A</v>
      </c>
      <c r="M700" s="26"/>
      <c r="N700" s="26"/>
      <c r="O700" s="24"/>
      <c r="P700" s="2"/>
      <c r="Q700" s="26"/>
      <c r="R700" s="26"/>
      <c r="S700" s="26"/>
      <c r="T700" s="26"/>
      <c r="U700" s="24"/>
      <c r="V700" s="10" t="e">
        <f>_xlfn.XLOOKUP(U700,Таклифлар37[Таклифлар],Таклифлар37[TaklifID])</f>
        <v>#N/A</v>
      </c>
      <c r="W700" s="24"/>
      <c r="X700" s="23"/>
      <c r="Y700" s="7"/>
      <c r="Z700" s="26"/>
      <c r="AB700" s="23"/>
      <c r="AD700" s="2"/>
      <c r="AG700" s="23"/>
      <c r="AI700" s="26"/>
      <c r="AJ700" s="23"/>
      <c r="AM700" s="23"/>
      <c r="AO700" s="32"/>
      <c r="AP700" s="26"/>
      <c r="AR700" s="26"/>
      <c r="AS700" s="27"/>
      <c r="AT700" s="27"/>
      <c r="AU700" s="31"/>
      <c r="AV700" s="24"/>
      <c r="AW700"/>
      <c r="AX700"/>
      <c r="AY700"/>
      <c r="AZ700"/>
      <c r="BA700"/>
      <c r="BB700"/>
      <c r="BC700"/>
      <c r="BD700"/>
      <c r="BE700"/>
      <c r="BF700"/>
      <c r="BG700"/>
    </row>
    <row r="701" spans="2:59" x14ac:dyDescent="0.25">
      <c r="B701" s="22"/>
      <c r="C701" s="23"/>
      <c r="E701" s="23"/>
      <c r="F701" s="24"/>
      <c r="G701" s="2"/>
      <c r="H701" s="10" t="e">
        <f>_xlfn.XLOOKUP(F701,Viloyatlar24[RegionName],Viloyatlar24[RegionId])</f>
        <v>#N/A</v>
      </c>
      <c r="I701" s="10" t="e">
        <f>_xlfn.XLOOKUP('Кўчмас мулк объектлари'!G701,Tumanlar23[DistrictName],Tumanlar23[DistrictId])</f>
        <v>#N/A</v>
      </c>
      <c r="K701" s="24"/>
      <c r="L701" s="10" t="e">
        <f>_xlfn.XLOOKUP(K701,Ташкилотлар39[Ташкилотлар],Ташкилотлар39[TashklilotID])</f>
        <v>#N/A</v>
      </c>
      <c r="M701" s="26"/>
      <c r="N701" s="26"/>
      <c r="O701" s="24"/>
      <c r="P701" s="2"/>
      <c r="Q701" s="26"/>
      <c r="R701" s="26"/>
      <c r="S701" s="26"/>
      <c r="T701" s="26"/>
      <c r="U701" s="24"/>
      <c r="V701" s="10" t="e">
        <f>_xlfn.XLOOKUP(U701,Таклифлар37[Таклифлар],Таклифлар37[TaklifID])</f>
        <v>#N/A</v>
      </c>
      <c r="W701" s="24"/>
      <c r="X701" s="23"/>
      <c r="Y701" s="7"/>
      <c r="Z701" s="26"/>
      <c r="AB701" s="23"/>
      <c r="AD701" s="2"/>
      <c r="AG701" s="23"/>
      <c r="AI701" s="26"/>
      <c r="AJ701" s="23"/>
      <c r="AM701" s="23"/>
      <c r="AO701" s="32"/>
      <c r="AP701" s="26"/>
      <c r="AR701" s="26"/>
      <c r="AS701" s="27"/>
      <c r="AT701" s="27"/>
      <c r="AU701" s="31"/>
      <c r="AV701" s="24"/>
      <c r="AW701"/>
      <c r="AX701"/>
      <c r="AY701"/>
      <c r="AZ701"/>
      <c r="BA701"/>
      <c r="BB701"/>
      <c r="BC701"/>
      <c r="BD701"/>
      <c r="BE701"/>
      <c r="BF701"/>
      <c r="BG701"/>
    </row>
    <row r="702" spans="2:59" x14ac:dyDescent="0.25">
      <c r="B702" s="22"/>
      <c r="C702" s="23"/>
      <c r="E702" s="23"/>
      <c r="F702" s="24"/>
      <c r="G702" s="2"/>
      <c r="H702" s="10" t="e">
        <f>_xlfn.XLOOKUP(F702,Viloyatlar24[RegionName],Viloyatlar24[RegionId])</f>
        <v>#N/A</v>
      </c>
      <c r="I702" s="10" t="e">
        <f>_xlfn.XLOOKUP('Кўчмас мулк объектлари'!G702,Tumanlar23[DistrictName],Tumanlar23[DistrictId])</f>
        <v>#N/A</v>
      </c>
      <c r="K702" s="24"/>
      <c r="L702" s="10" t="e">
        <f>_xlfn.XLOOKUP(K702,Ташкилотлар39[Ташкилотлар],Ташкилотлар39[TashklilotID])</f>
        <v>#N/A</v>
      </c>
      <c r="M702" s="26"/>
      <c r="N702" s="26"/>
      <c r="O702" s="24"/>
      <c r="P702" s="2"/>
      <c r="Q702" s="26"/>
      <c r="R702" s="26"/>
      <c r="S702" s="26"/>
      <c r="T702" s="26"/>
      <c r="U702" s="24"/>
      <c r="V702" s="10" t="e">
        <f>_xlfn.XLOOKUP(U702,Таклифлар37[Таклифлар],Таклифлар37[TaklifID])</f>
        <v>#N/A</v>
      </c>
      <c r="W702" s="24"/>
      <c r="X702" s="23"/>
      <c r="Y702" s="7"/>
      <c r="Z702" s="26"/>
      <c r="AB702" s="23"/>
      <c r="AD702" s="2"/>
      <c r="AG702" s="23"/>
      <c r="AI702" s="26"/>
      <c r="AJ702" s="23"/>
      <c r="AM702" s="23"/>
      <c r="AO702" s="32"/>
      <c r="AP702" s="26"/>
      <c r="AR702" s="26"/>
      <c r="AS702" s="27"/>
      <c r="AT702" s="27"/>
      <c r="AU702" s="31"/>
      <c r="AV702" s="24"/>
      <c r="AW702"/>
      <c r="AX702"/>
      <c r="AY702"/>
      <c r="AZ702"/>
      <c r="BA702"/>
      <c r="BB702"/>
      <c r="BC702"/>
      <c r="BD702"/>
      <c r="BE702"/>
      <c r="BF702"/>
      <c r="BG702"/>
    </row>
    <row r="703" spans="2:59" x14ac:dyDescent="0.25">
      <c r="B703" s="22"/>
      <c r="C703" s="23"/>
      <c r="E703" s="23"/>
      <c r="F703" s="24"/>
      <c r="G703" s="2"/>
      <c r="H703" s="10" t="e">
        <f>_xlfn.XLOOKUP(F703,Viloyatlar24[RegionName],Viloyatlar24[RegionId])</f>
        <v>#N/A</v>
      </c>
      <c r="I703" s="10" t="e">
        <f>_xlfn.XLOOKUP('Кўчмас мулк объектлари'!G703,Tumanlar23[DistrictName],Tumanlar23[DistrictId])</f>
        <v>#N/A</v>
      </c>
      <c r="K703" s="24"/>
      <c r="L703" s="10" t="e">
        <f>_xlfn.XLOOKUP(K703,Ташкилотлар39[Ташкилотлар],Ташкилотлар39[TashklilotID])</f>
        <v>#N/A</v>
      </c>
      <c r="M703" s="26"/>
      <c r="N703" s="26"/>
      <c r="O703" s="24"/>
      <c r="P703" s="2"/>
      <c r="Q703" s="26"/>
      <c r="R703" s="26"/>
      <c r="S703" s="26"/>
      <c r="T703" s="26"/>
      <c r="U703" s="24"/>
      <c r="V703" s="10" t="e">
        <f>_xlfn.XLOOKUP(U703,Таклифлар37[Таклифлар],Таклифлар37[TaklifID])</f>
        <v>#N/A</v>
      </c>
      <c r="W703" s="24"/>
      <c r="X703" s="23"/>
      <c r="Y703" s="7"/>
      <c r="Z703" s="26"/>
      <c r="AB703" s="23"/>
      <c r="AD703" s="2"/>
      <c r="AG703" s="23"/>
      <c r="AI703" s="26"/>
      <c r="AJ703" s="23"/>
      <c r="AM703" s="23"/>
      <c r="AO703" s="32"/>
      <c r="AP703" s="26"/>
      <c r="AR703" s="26"/>
      <c r="AS703" s="27"/>
      <c r="AT703" s="27"/>
      <c r="AU703" s="31"/>
      <c r="AV703" s="24"/>
      <c r="AW703"/>
      <c r="AX703"/>
      <c r="AY703"/>
      <c r="AZ703"/>
      <c r="BA703"/>
      <c r="BB703"/>
      <c r="BC703"/>
      <c r="BD703"/>
      <c r="BE703"/>
      <c r="BF703"/>
      <c r="BG703"/>
    </row>
    <row r="704" spans="2:59" x14ac:dyDescent="0.25">
      <c r="B704" s="22"/>
      <c r="C704" s="23"/>
      <c r="E704" s="23"/>
      <c r="F704" s="24"/>
      <c r="G704" s="2"/>
      <c r="H704" s="10" t="e">
        <f>_xlfn.XLOOKUP(F704,Viloyatlar24[RegionName],Viloyatlar24[RegionId])</f>
        <v>#N/A</v>
      </c>
      <c r="I704" s="10" t="e">
        <f>_xlfn.XLOOKUP('Кўчмас мулк объектлари'!G704,Tumanlar23[DistrictName],Tumanlar23[DistrictId])</f>
        <v>#N/A</v>
      </c>
      <c r="K704" s="24"/>
      <c r="L704" s="10" t="e">
        <f>_xlfn.XLOOKUP(K704,Ташкилотлар39[Ташкилотлар],Ташкилотлар39[TashklilotID])</f>
        <v>#N/A</v>
      </c>
      <c r="M704" s="26"/>
      <c r="N704" s="26"/>
      <c r="O704" s="24"/>
      <c r="P704" s="2"/>
      <c r="Q704" s="26"/>
      <c r="R704" s="26"/>
      <c r="S704" s="26"/>
      <c r="T704" s="26"/>
      <c r="U704" s="24"/>
      <c r="V704" s="10" t="e">
        <f>_xlfn.XLOOKUP(U704,Таклифлар37[Таклифлар],Таклифлар37[TaklifID])</f>
        <v>#N/A</v>
      </c>
      <c r="W704" s="24"/>
      <c r="X704" s="23"/>
      <c r="Y704" s="7"/>
      <c r="Z704" s="26"/>
      <c r="AB704" s="23"/>
      <c r="AD704" s="2"/>
      <c r="AG704" s="23"/>
      <c r="AI704" s="26"/>
      <c r="AJ704" s="23"/>
      <c r="AM704" s="23"/>
      <c r="AO704" s="32"/>
      <c r="AP704" s="26"/>
      <c r="AR704" s="26"/>
      <c r="AS704" s="27"/>
      <c r="AT704" s="27"/>
      <c r="AU704" s="31"/>
      <c r="AV704" s="24"/>
      <c r="AW704"/>
      <c r="AX704"/>
      <c r="AY704"/>
      <c r="AZ704"/>
      <c r="BA704"/>
      <c r="BB704"/>
      <c r="BC704"/>
      <c r="BD704"/>
      <c r="BE704"/>
      <c r="BF704"/>
      <c r="BG704"/>
    </row>
    <row r="705" spans="2:59" x14ac:dyDescent="0.25">
      <c r="B705" s="22"/>
      <c r="C705" s="23"/>
      <c r="E705" s="23"/>
      <c r="F705" s="24"/>
      <c r="G705" s="2"/>
      <c r="H705" s="10" t="e">
        <f>_xlfn.XLOOKUP(F705,Viloyatlar24[RegionName],Viloyatlar24[RegionId])</f>
        <v>#N/A</v>
      </c>
      <c r="I705" s="10" t="e">
        <f>_xlfn.XLOOKUP('Кўчмас мулк объектлари'!G705,Tumanlar23[DistrictName],Tumanlar23[DistrictId])</f>
        <v>#N/A</v>
      </c>
      <c r="K705" s="24"/>
      <c r="L705" s="10" t="e">
        <f>_xlfn.XLOOKUP(K705,Ташкилотлар39[Ташкилотлар],Ташкилотлар39[TashklilotID])</f>
        <v>#N/A</v>
      </c>
      <c r="M705" s="26"/>
      <c r="N705" s="26"/>
      <c r="O705" s="24"/>
      <c r="P705" s="2"/>
      <c r="Q705" s="26"/>
      <c r="R705" s="26"/>
      <c r="S705" s="26"/>
      <c r="T705" s="26"/>
      <c r="U705" s="24"/>
      <c r="V705" s="10" t="e">
        <f>_xlfn.XLOOKUP(U705,Таклифлар37[Таклифлар],Таклифлар37[TaklifID])</f>
        <v>#N/A</v>
      </c>
      <c r="W705" s="24"/>
      <c r="X705" s="23"/>
      <c r="Y705" s="7"/>
      <c r="Z705" s="26"/>
      <c r="AB705" s="23"/>
      <c r="AD705" s="2"/>
      <c r="AG705" s="23"/>
      <c r="AI705" s="26"/>
      <c r="AJ705" s="23"/>
      <c r="AM705" s="23"/>
      <c r="AO705" s="32"/>
      <c r="AP705" s="26"/>
      <c r="AR705" s="26"/>
      <c r="AS705" s="27"/>
      <c r="AT705" s="27"/>
      <c r="AU705" s="31"/>
      <c r="AV705" s="24"/>
      <c r="AW705"/>
      <c r="AX705"/>
      <c r="AY705"/>
      <c r="AZ705"/>
      <c r="BA705"/>
      <c r="BB705"/>
      <c r="BC705"/>
      <c r="BD705"/>
      <c r="BE705"/>
      <c r="BF705"/>
      <c r="BG705"/>
    </row>
    <row r="706" spans="2:59" x14ac:dyDescent="0.25">
      <c r="B706" s="22"/>
      <c r="C706" s="23"/>
      <c r="E706" s="23"/>
      <c r="F706" s="24"/>
      <c r="G706" s="2"/>
      <c r="H706" s="10" t="e">
        <f>_xlfn.XLOOKUP(F706,Viloyatlar24[RegionName],Viloyatlar24[RegionId])</f>
        <v>#N/A</v>
      </c>
      <c r="I706" s="10" t="e">
        <f>_xlfn.XLOOKUP('Кўчмас мулк объектлари'!G706,Tumanlar23[DistrictName],Tumanlar23[DistrictId])</f>
        <v>#N/A</v>
      </c>
      <c r="K706" s="24"/>
      <c r="L706" s="10" t="e">
        <f>_xlfn.XLOOKUP(K706,Ташкилотлар39[Ташкилотлар],Ташкилотлар39[TashklilotID])</f>
        <v>#N/A</v>
      </c>
      <c r="M706" s="26"/>
      <c r="N706" s="26"/>
      <c r="O706" s="24"/>
      <c r="P706" s="2"/>
      <c r="Q706" s="26"/>
      <c r="R706" s="26"/>
      <c r="S706" s="26"/>
      <c r="T706" s="26"/>
      <c r="U706" s="24"/>
      <c r="V706" s="10" t="e">
        <f>_xlfn.XLOOKUP(U706,Таклифлар37[Таклифлар],Таклифлар37[TaklifID])</f>
        <v>#N/A</v>
      </c>
      <c r="W706" s="24"/>
      <c r="X706" s="23"/>
      <c r="Y706" s="7"/>
      <c r="Z706" s="26"/>
      <c r="AB706" s="23"/>
      <c r="AD706" s="2"/>
      <c r="AG706" s="23"/>
      <c r="AI706" s="26"/>
      <c r="AJ706" s="23"/>
      <c r="AM706" s="23"/>
      <c r="AO706" s="32"/>
      <c r="AP706" s="26"/>
      <c r="AR706" s="26"/>
      <c r="AS706" s="27"/>
      <c r="AT706" s="27"/>
      <c r="AU706" s="31"/>
      <c r="AV706" s="24"/>
      <c r="AW706"/>
      <c r="AX706"/>
      <c r="AY706"/>
      <c r="AZ706"/>
      <c r="BA706"/>
      <c r="BB706"/>
      <c r="BC706"/>
      <c r="BD706"/>
      <c r="BE706"/>
      <c r="BF706"/>
      <c r="BG706"/>
    </row>
    <row r="707" spans="2:59" x14ac:dyDescent="0.25">
      <c r="B707" s="22"/>
      <c r="C707" s="23"/>
      <c r="E707" s="23"/>
      <c r="F707" s="24"/>
      <c r="G707" s="2"/>
      <c r="H707" s="10" t="e">
        <f>_xlfn.XLOOKUP(F707,Viloyatlar24[RegionName],Viloyatlar24[RegionId])</f>
        <v>#N/A</v>
      </c>
      <c r="I707" s="10" t="e">
        <f>_xlfn.XLOOKUP('Кўчмас мулк объектлари'!G707,Tumanlar23[DistrictName],Tumanlar23[DistrictId])</f>
        <v>#N/A</v>
      </c>
      <c r="K707" s="24"/>
      <c r="L707" s="10" t="e">
        <f>_xlfn.XLOOKUP(K707,Ташкилотлар39[Ташкилотлар],Ташкилотлар39[TashklilotID])</f>
        <v>#N/A</v>
      </c>
      <c r="M707" s="26"/>
      <c r="N707" s="26"/>
      <c r="O707" s="24"/>
      <c r="P707" s="2"/>
      <c r="Q707" s="26"/>
      <c r="R707" s="26"/>
      <c r="S707" s="26"/>
      <c r="T707" s="26"/>
      <c r="U707" s="24"/>
      <c r="V707" s="10" t="e">
        <f>_xlfn.XLOOKUP(U707,Таклифлар37[Таклифлар],Таклифлар37[TaklifID])</f>
        <v>#N/A</v>
      </c>
      <c r="W707" s="24"/>
      <c r="X707" s="23"/>
      <c r="Y707" s="7"/>
      <c r="Z707" s="26"/>
      <c r="AB707" s="23"/>
      <c r="AD707" s="2"/>
      <c r="AG707" s="23"/>
      <c r="AI707" s="26"/>
      <c r="AJ707" s="23"/>
      <c r="AM707" s="23"/>
      <c r="AO707" s="32"/>
      <c r="AP707" s="26"/>
      <c r="AR707" s="26"/>
      <c r="AS707" s="27"/>
      <c r="AT707" s="27"/>
      <c r="AU707" s="31"/>
      <c r="AV707" s="24"/>
      <c r="AW707"/>
      <c r="AX707"/>
      <c r="AY707"/>
      <c r="AZ707"/>
      <c r="BA707"/>
      <c r="BB707"/>
      <c r="BC707"/>
      <c r="BD707"/>
      <c r="BE707"/>
      <c r="BF707"/>
      <c r="BG707"/>
    </row>
    <row r="708" spans="2:59" x14ac:dyDescent="0.25">
      <c r="B708" s="22"/>
      <c r="C708" s="23"/>
      <c r="E708" s="23"/>
      <c r="F708" s="24"/>
      <c r="G708" s="2"/>
      <c r="H708" s="10" t="e">
        <f>_xlfn.XLOOKUP(F708,Viloyatlar24[RegionName],Viloyatlar24[RegionId])</f>
        <v>#N/A</v>
      </c>
      <c r="I708" s="10" t="e">
        <f>_xlfn.XLOOKUP('Кўчмас мулк объектлари'!G708,Tumanlar23[DistrictName],Tumanlar23[DistrictId])</f>
        <v>#N/A</v>
      </c>
      <c r="K708" s="24"/>
      <c r="L708" s="10" t="e">
        <f>_xlfn.XLOOKUP(K708,Ташкилотлар39[Ташкилотлар],Ташкилотлар39[TashklilotID])</f>
        <v>#N/A</v>
      </c>
      <c r="M708" s="26"/>
      <c r="N708" s="26"/>
      <c r="O708" s="24"/>
      <c r="P708" s="2"/>
      <c r="Q708" s="26"/>
      <c r="R708" s="26"/>
      <c r="S708" s="26"/>
      <c r="T708" s="26"/>
      <c r="U708" s="24"/>
      <c r="V708" s="10" t="e">
        <f>_xlfn.XLOOKUP(U708,Таклифлар37[Таклифлар],Таклифлар37[TaklifID])</f>
        <v>#N/A</v>
      </c>
      <c r="W708" s="24"/>
      <c r="X708" s="23"/>
      <c r="Y708" s="7"/>
      <c r="Z708" s="26"/>
      <c r="AB708" s="23"/>
      <c r="AD708" s="2"/>
      <c r="AG708" s="23"/>
      <c r="AI708" s="26"/>
      <c r="AJ708" s="23"/>
      <c r="AM708" s="23"/>
      <c r="AO708" s="32"/>
      <c r="AP708" s="26"/>
      <c r="AR708" s="26"/>
      <c r="AS708" s="27"/>
      <c r="AT708" s="27"/>
      <c r="AU708" s="31"/>
      <c r="AV708" s="24"/>
      <c r="AW708"/>
      <c r="AX708"/>
      <c r="AY708"/>
      <c r="AZ708"/>
      <c r="BA708"/>
      <c r="BB708"/>
      <c r="BC708"/>
      <c r="BD708"/>
      <c r="BE708"/>
      <c r="BF708"/>
      <c r="BG708"/>
    </row>
    <row r="709" spans="2:59" x14ac:dyDescent="0.25">
      <c r="B709" s="22"/>
      <c r="C709" s="23"/>
      <c r="E709" s="23"/>
      <c r="F709" s="24"/>
      <c r="G709" s="2"/>
      <c r="H709" s="10" t="e">
        <f>_xlfn.XLOOKUP(F709,Viloyatlar24[RegionName],Viloyatlar24[RegionId])</f>
        <v>#N/A</v>
      </c>
      <c r="I709" s="10" t="e">
        <f>_xlfn.XLOOKUP('Кўчмас мулк объектлари'!G709,Tumanlar23[DistrictName],Tumanlar23[DistrictId])</f>
        <v>#N/A</v>
      </c>
      <c r="K709" s="24"/>
      <c r="L709" s="10" t="e">
        <f>_xlfn.XLOOKUP(K709,Ташкилотлар39[Ташкилотлар],Ташкилотлар39[TashklilotID])</f>
        <v>#N/A</v>
      </c>
      <c r="M709" s="26"/>
      <c r="N709" s="26"/>
      <c r="O709" s="24"/>
      <c r="P709" s="2"/>
      <c r="Q709" s="26"/>
      <c r="R709" s="26"/>
      <c r="S709" s="26"/>
      <c r="T709" s="26"/>
      <c r="U709" s="24"/>
      <c r="V709" s="10" t="e">
        <f>_xlfn.XLOOKUP(U709,Таклифлар37[Таклифлар],Таклифлар37[TaklifID])</f>
        <v>#N/A</v>
      </c>
      <c r="W709" s="24"/>
      <c r="X709" s="23"/>
      <c r="Y709" s="7"/>
      <c r="Z709" s="26"/>
      <c r="AB709" s="23"/>
      <c r="AD709" s="2"/>
      <c r="AG709" s="23"/>
      <c r="AI709" s="26"/>
      <c r="AJ709" s="23"/>
      <c r="AM709" s="23"/>
      <c r="AO709" s="32"/>
      <c r="AP709" s="26"/>
      <c r="AR709" s="26"/>
      <c r="AS709" s="27"/>
      <c r="AT709" s="27"/>
      <c r="AU709" s="31"/>
      <c r="AV709" s="24"/>
      <c r="AW709"/>
      <c r="AX709"/>
      <c r="AY709"/>
      <c r="AZ709"/>
      <c r="BA709"/>
      <c r="BB709"/>
      <c r="BC709"/>
      <c r="BD709"/>
      <c r="BE709"/>
      <c r="BF709"/>
      <c r="BG709"/>
    </row>
    <row r="710" spans="2:59" x14ac:dyDescent="0.25">
      <c r="B710" s="22"/>
      <c r="C710" s="23"/>
      <c r="E710" s="23"/>
      <c r="F710" s="24"/>
      <c r="G710" s="2"/>
      <c r="H710" s="10" t="e">
        <f>_xlfn.XLOOKUP(F710,Viloyatlar24[RegionName],Viloyatlar24[RegionId])</f>
        <v>#N/A</v>
      </c>
      <c r="I710" s="10" t="e">
        <f>_xlfn.XLOOKUP('Кўчмас мулк объектлари'!G710,Tumanlar23[DistrictName],Tumanlar23[DistrictId])</f>
        <v>#N/A</v>
      </c>
      <c r="K710" s="24"/>
      <c r="L710" s="10" t="e">
        <f>_xlfn.XLOOKUP(K710,Ташкилотлар39[Ташкилотлар],Ташкилотлар39[TashklilotID])</f>
        <v>#N/A</v>
      </c>
      <c r="M710" s="26"/>
      <c r="N710" s="26"/>
      <c r="O710" s="24"/>
      <c r="P710" s="2"/>
      <c r="Q710" s="26"/>
      <c r="R710" s="26"/>
      <c r="S710" s="26"/>
      <c r="T710" s="26"/>
      <c r="U710" s="24"/>
      <c r="V710" s="10" t="e">
        <f>_xlfn.XLOOKUP(U710,Таклифлар37[Таклифлар],Таклифлар37[TaklifID])</f>
        <v>#N/A</v>
      </c>
      <c r="W710" s="24"/>
      <c r="X710" s="23"/>
      <c r="Y710" s="7"/>
      <c r="Z710" s="26"/>
      <c r="AB710" s="23"/>
      <c r="AD710" s="2"/>
      <c r="AG710" s="23"/>
      <c r="AI710" s="26"/>
      <c r="AJ710" s="23"/>
      <c r="AM710" s="23"/>
      <c r="AO710" s="32"/>
      <c r="AP710" s="26"/>
      <c r="AR710" s="26"/>
      <c r="AS710" s="27"/>
      <c r="AT710" s="27"/>
      <c r="AU710" s="31"/>
      <c r="AV710" s="24"/>
      <c r="AW710"/>
      <c r="AX710"/>
      <c r="AY710"/>
      <c r="AZ710"/>
      <c r="BA710"/>
      <c r="BB710"/>
      <c r="BC710"/>
      <c r="BD710"/>
      <c r="BE710"/>
      <c r="BF710"/>
      <c r="BG710"/>
    </row>
    <row r="711" spans="2:59" x14ac:dyDescent="0.25">
      <c r="B711" s="22"/>
      <c r="C711" s="23"/>
      <c r="E711" s="23"/>
      <c r="F711" s="24"/>
      <c r="G711" s="2"/>
      <c r="H711" s="10" t="e">
        <f>_xlfn.XLOOKUP(F711,Viloyatlar24[RegionName],Viloyatlar24[RegionId])</f>
        <v>#N/A</v>
      </c>
      <c r="I711" s="10" t="e">
        <f>_xlfn.XLOOKUP('Кўчмас мулк объектлари'!G711,Tumanlar23[DistrictName],Tumanlar23[DistrictId])</f>
        <v>#N/A</v>
      </c>
      <c r="K711" s="24"/>
      <c r="L711" s="10" t="e">
        <f>_xlfn.XLOOKUP(K711,Ташкилотлар39[Ташкилотлар],Ташкилотлар39[TashklilotID])</f>
        <v>#N/A</v>
      </c>
      <c r="M711" s="26"/>
      <c r="N711" s="26"/>
      <c r="O711" s="24"/>
      <c r="P711" s="2"/>
      <c r="Q711" s="26"/>
      <c r="R711" s="26"/>
      <c r="S711" s="26"/>
      <c r="T711" s="26"/>
      <c r="U711" s="24"/>
      <c r="V711" s="10" t="e">
        <f>_xlfn.XLOOKUP(U711,Таклифлар37[Таклифлар],Таклифлар37[TaklifID])</f>
        <v>#N/A</v>
      </c>
      <c r="W711" s="24"/>
      <c r="X711" s="23"/>
      <c r="Y711" s="7"/>
      <c r="Z711" s="26"/>
      <c r="AB711" s="23"/>
      <c r="AD711" s="2"/>
      <c r="AG711" s="23"/>
      <c r="AI711" s="26"/>
      <c r="AJ711" s="23"/>
      <c r="AM711" s="23"/>
      <c r="AO711" s="32"/>
      <c r="AP711" s="26"/>
      <c r="AR711" s="26"/>
      <c r="AS711" s="27"/>
      <c r="AT711" s="27"/>
      <c r="AU711" s="31"/>
      <c r="AV711" s="24"/>
      <c r="AW711"/>
      <c r="AX711"/>
      <c r="AY711"/>
      <c r="AZ711"/>
      <c r="BA711"/>
      <c r="BB711"/>
      <c r="BC711"/>
      <c r="BD711"/>
      <c r="BE711"/>
      <c r="BF711"/>
      <c r="BG711"/>
    </row>
    <row r="712" spans="2:59" x14ac:dyDescent="0.25">
      <c r="B712" s="22"/>
      <c r="C712" s="23"/>
      <c r="E712" s="23"/>
      <c r="F712" s="24"/>
      <c r="G712" s="2"/>
      <c r="H712" s="10" t="e">
        <f>_xlfn.XLOOKUP(F712,Viloyatlar24[RegionName],Viloyatlar24[RegionId])</f>
        <v>#N/A</v>
      </c>
      <c r="I712" s="10" t="e">
        <f>_xlfn.XLOOKUP('Кўчмас мулк объектлари'!G712,Tumanlar23[DistrictName],Tumanlar23[DistrictId])</f>
        <v>#N/A</v>
      </c>
      <c r="K712" s="24"/>
      <c r="L712" s="10" t="e">
        <f>_xlfn.XLOOKUP(K712,Ташкилотлар39[Ташкилотлар],Ташкилотлар39[TashklilotID])</f>
        <v>#N/A</v>
      </c>
      <c r="M712" s="26"/>
      <c r="N712" s="26"/>
      <c r="O712" s="24"/>
      <c r="P712" s="2"/>
      <c r="Q712" s="26"/>
      <c r="R712" s="26"/>
      <c r="S712" s="26"/>
      <c r="T712" s="26"/>
      <c r="U712" s="24"/>
      <c r="V712" s="10" t="e">
        <f>_xlfn.XLOOKUP(U712,Таклифлар37[Таклифлар],Таклифлар37[TaklifID])</f>
        <v>#N/A</v>
      </c>
      <c r="W712" s="24"/>
      <c r="X712" s="23"/>
      <c r="Y712" s="7"/>
      <c r="Z712" s="26"/>
      <c r="AB712" s="23"/>
      <c r="AD712" s="2"/>
      <c r="AG712" s="23"/>
      <c r="AI712" s="26"/>
      <c r="AJ712" s="23"/>
      <c r="AM712" s="23"/>
      <c r="AO712" s="32"/>
      <c r="AP712" s="26"/>
      <c r="AR712" s="26"/>
      <c r="AS712" s="27"/>
      <c r="AT712" s="27"/>
      <c r="AU712" s="31"/>
      <c r="AV712" s="24"/>
      <c r="AW712"/>
      <c r="AX712"/>
      <c r="AY712"/>
      <c r="AZ712"/>
      <c r="BA712"/>
      <c r="BB712"/>
      <c r="BC712"/>
      <c r="BD712"/>
      <c r="BE712"/>
      <c r="BF712"/>
      <c r="BG712"/>
    </row>
    <row r="713" spans="2:59" x14ac:dyDescent="0.25">
      <c r="B713" s="22"/>
      <c r="C713" s="23"/>
      <c r="E713" s="23"/>
      <c r="F713" s="24"/>
      <c r="G713" s="2"/>
      <c r="H713" s="10" t="e">
        <f>_xlfn.XLOOKUP(F713,Viloyatlar24[RegionName],Viloyatlar24[RegionId])</f>
        <v>#N/A</v>
      </c>
      <c r="I713" s="10" t="e">
        <f>_xlfn.XLOOKUP('Кўчмас мулк объектлари'!G713,Tumanlar23[DistrictName],Tumanlar23[DistrictId])</f>
        <v>#N/A</v>
      </c>
      <c r="K713" s="24"/>
      <c r="L713" s="10" t="e">
        <f>_xlfn.XLOOKUP(K713,Ташкилотлар39[Ташкилотлар],Ташкилотлар39[TashklilotID])</f>
        <v>#N/A</v>
      </c>
      <c r="M713" s="26"/>
      <c r="N713" s="26"/>
      <c r="O713" s="24"/>
      <c r="P713" s="2"/>
      <c r="Q713" s="26"/>
      <c r="R713" s="26"/>
      <c r="S713" s="26"/>
      <c r="T713" s="26"/>
      <c r="U713" s="24"/>
      <c r="V713" s="10" t="e">
        <f>_xlfn.XLOOKUP(U713,Таклифлар37[Таклифлар],Таклифлар37[TaklifID])</f>
        <v>#N/A</v>
      </c>
      <c r="W713" s="24"/>
      <c r="X713" s="23"/>
      <c r="Y713" s="7"/>
      <c r="Z713" s="26"/>
      <c r="AB713" s="23"/>
      <c r="AD713" s="2"/>
      <c r="AG713" s="23"/>
      <c r="AI713" s="26"/>
      <c r="AJ713" s="23"/>
      <c r="AM713" s="23"/>
      <c r="AO713" s="32"/>
      <c r="AP713" s="26"/>
      <c r="AR713" s="26"/>
      <c r="AS713" s="27"/>
      <c r="AT713" s="27"/>
      <c r="AU713" s="31"/>
      <c r="AV713" s="24"/>
      <c r="AW713"/>
      <c r="AX713"/>
      <c r="AY713"/>
      <c r="AZ713"/>
      <c r="BA713"/>
      <c r="BB713"/>
      <c r="BC713"/>
      <c r="BD713"/>
      <c r="BE713"/>
      <c r="BF713"/>
      <c r="BG713"/>
    </row>
    <row r="714" spans="2:59" x14ac:dyDescent="0.25">
      <c r="B714" s="22"/>
      <c r="C714" s="23"/>
      <c r="E714" s="23"/>
      <c r="F714" s="24"/>
      <c r="G714" s="2"/>
      <c r="H714" s="10" t="e">
        <f>_xlfn.XLOOKUP(F714,Viloyatlar24[RegionName],Viloyatlar24[RegionId])</f>
        <v>#N/A</v>
      </c>
      <c r="I714" s="10" t="e">
        <f>_xlfn.XLOOKUP('Кўчмас мулк объектлари'!G714,Tumanlar23[DistrictName],Tumanlar23[DistrictId])</f>
        <v>#N/A</v>
      </c>
      <c r="K714" s="24"/>
      <c r="L714" s="10" t="e">
        <f>_xlfn.XLOOKUP(K714,Ташкилотлар39[Ташкилотлар],Ташкилотлар39[TashklilotID])</f>
        <v>#N/A</v>
      </c>
      <c r="M714" s="26"/>
      <c r="N714" s="26"/>
      <c r="O714" s="24"/>
      <c r="P714" s="2"/>
      <c r="Q714" s="26"/>
      <c r="R714" s="26"/>
      <c r="S714" s="26"/>
      <c r="T714" s="26"/>
      <c r="U714" s="24"/>
      <c r="V714" s="10" t="e">
        <f>_xlfn.XLOOKUP(U714,Таклифлар37[Таклифлар],Таклифлар37[TaklifID])</f>
        <v>#N/A</v>
      </c>
      <c r="W714" s="24"/>
      <c r="X714" s="23"/>
      <c r="Y714" s="7"/>
      <c r="Z714" s="26"/>
      <c r="AB714" s="23"/>
      <c r="AD714" s="2"/>
      <c r="AG714" s="23"/>
      <c r="AI714" s="26"/>
      <c r="AJ714" s="23"/>
      <c r="AM714" s="23"/>
      <c r="AO714" s="32"/>
      <c r="AP714" s="26"/>
      <c r="AR714" s="26"/>
      <c r="AS714" s="27"/>
      <c r="AT714" s="27"/>
      <c r="AU714" s="31"/>
      <c r="AV714" s="24"/>
      <c r="AW714"/>
      <c r="AX714"/>
      <c r="AY714"/>
      <c r="AZ714"/>
      <c r="BA714"/>
      <c r="BB714"/>
      <c r="BC714"/>
      <c r="BD714"/>
      <c r="BE714"/>
      <c r="BF714"/>
      <c r="BG714"/>
    </row>
    <row r="715" spans="2:59" x14ac:dyDescent="0.25">
      <c r="B715" s="22"/>
      <c r="C715" s="23"/>
      <c r="E715" s="23"/>
      <c r="F715" s="24"/>
      <c r="G715" s="2"/>
      <c r="H715" s="10" t="e">
        <f>_xlfn.XLOOKUP(F715,Viloyatlar24[RegionName],Viloyatlar24[RegionId])</f>
        <v>#N/A</v>
      </c>
      <c r="I715" s="10" t="e">
        <f>_xlfn.XLOOKUP('Кўчмас мулк объектлари'!G715,Tumanlar23[DistrictName],Tumanlar23[DistrictId])</f>
        <v>#N/A</v>
      </c>
      <c r="K715" s="24"/>
      <c r="L715" s="10" t="e">
        <f>_xlfn.XLOOKUP(K715,Ташкилотлар39[Ташкилотлар],Ташкилотлар39[TashklilotID])</f>
        <v>#N/A</v>
      </c>
      <c r="M715" s="26"/>
      <c r="N715" s="26"/>
      <c r="O715" s="24"/>
      <c r="P715" s="2"/>
      <c r="Q715" s="26"/>
      <c r="R715" s="26"/>
      <c r="S715" s="26"/>
      <c r="T715" s="26"/>
      <c r="U715" s="24"/>
      <c r="V715" s="10" t="e">
        <f>_xlfn.XLOOKUP(U715,Таклифлар37[Таклифлар],Таклифлар37[TaklifID])</f>
        <v>#N/A</v>
      </c>
      <c r="W715" s="24"/>
      <c r="X715" s="23"/>
      <c r="Y715" s="7"/>
      <c r="Z715" s="26"/>
      <c r="AB715" s="23"/>
      <c r="AD715" s="2"/>
      <c r="AG715" s="23"/>
      <c r="AI715" s="26"/>
      <c r="AJ715" s="23"/>
      <c r="AM715" s="23"/>
      <c r="AO715" s="32"/>
      <c r="AP715" s="26"/>
      <c r="AR715" s="26"/>
      <c r="AS715" s="27"/>
      <c r="AT715" s="27"/>
      <c r="AU715" s="31"/>
      <c r="AV715" s="24"/>
      <c r="AW715"/>
      <c r="AX715"/>
      <c r="AY715"/>
      <c r="AZ715"/>
      <c r="BA715"/>
      <c r="BB715"/>
      <c r="BC715"/>
      <c r="BD715"/>
      <c r="BE715"/>
      <c r="BF715"/>
      <c r="BG715"/>
    </row>
    <row r="716" spans="2:59" x14ac:dyDescent="0.25">
      <c r="B716" s="22"/>
      <c r="C716" s="23"/>
      <c r="E716" s="23"/>
      <c r="F716" s="24"/>
      <c r="G716" s="2"/>
      <c r="H716" s="10" t="e">
        <f>_xlfn.XLOOKUP(F716,Viloyatlar24[RegionName],Viloyatlar24[RegionId])</f>
        <v>#N/A</v>
      </c>
      <c r="I716" s="10" t="e">
        <f>_xlfn.XLOOKUP('Кўчмас мулк объектлари'!G716,Tumanlar23[DistrictName],Tumanlar23[DistrictId])</f>
        <v>#N/A</v>
      </c>
      <c r="K716" s="24"/>
      <c r="L716" s="10" t="e">
        <f>_xlfn.XLOOKUP(K716,Ташкилотлар39[Ташкилотлар],Ташкилотлар39[TashklilotID])</f>
        <v>#N/A</v>
      </c>
      <c r="M716" s="26"/>
      <c r="N716" s="26"/>
      <c r="O716" s="24"/>
      <c r="P716" s="2"/>
      <c r="Q716" s="26"/>
      <c r="R716" s="26"/>
      <c r="S716" s="26"/>
      <c r="T716" s="26"/>
      <c r="U716" s="24"/>
      <c r="V716" s="10" t="e">
        <f>_xlfn.XLOOKUP(U716,Таклифлар37[Таклифлар],Таклифлар37[TaklifID])</f>
        <v>#N/A</v>
      </c>
      <c r="W716" s="24"/>
      <c r="X716" s="23"/>
      <c r="Y716" s="7"/>
      <c r="Z716" s="26"/>
      <c r="AB716" s="23"/>
      <c r="AD716" s="2"/>
      <c r="AG716" s="23"/>
      <c r="AI716" s="26"/>
      <c r="AJ716" s="23"/>
      <c r="AM716" s="23"/>
      <c r="AO716" s="32"/>
      <c r="AP716" s="26"/>
      <c r="AR716" s="26"/>
      <c r="AS716" s="27"/>
      <c r="AT716" s="27"/>
      <c r="AU716" s="31"/>
      <c r="AV716" s="24"/>
      <c r="AW716"/>
      <c r="AX716"/>
      <c r="AY716"/>
      <c r="AZ716"/>
      <c r="BA716"/>
      <c r="BB716"/>
      <c r="BC716"/>
      <c r="BD716"/>
      <c r="BE716"/>
      <c r="BF716"/>
      <c r="BG716"/>
    </row>
    <row r="717" spans="2:59" x14ac:dyDescent="0.25">
      <c r="B717" s="22"/>
      <c r="C717" s="23"/>
      <c r="E717" s="23"/>
      <c r="F717" s="24"/>
      <c r="G717" s="2"/>
      <c r="H717" s="10" t="e">
        <f>_xlfn.XLOOKUP(F717,Viloyatlar24[RegionName],Viloyatlar24[RegionId])</f>
        <v>#N/A</v>
      </c>
      <c r="I717" s="10" t="e">
        <f>_xlfn.XLOOKUP('Кўчмас мулк объектлари'!G717,Tumanlar23[DistrictName],Tumanlar23[DistrictId])</f>
        <v>#N/A</v>
      </c>
      <c r="K717" s="24"/>
      <c r="L717" s="10" t="e">
        <f>_xlfn.XLOOKUP(K717,Ташкилотлар39[Ташкилотлар],Ташкилотлар39[TashklilotID])</f>
        <v>#N/A</v>
      </c>
      <c r="M717" s="26"/>
      <c r="N717" s="26"/>
      <c r="O717" s="24"/>
      <c r="P717" s="2"/>
      <c r="Q717" s="26"/>
      <c r="R717" s="26"/>
      <c r="S717" s="26"/>
      <c r="T717" s="26"/>
      <c r="U717" s="24"/>
      <c r="V717" s="10" t="e">
        <f>_xlfn.XLOOKUP(U717,Таклифлар37[Таклифлар],Таклифлар37[TaklifID])</f>
        <v>#N/A</v>
      </c>
      <c r="W717" s="24"/>
      <c r="X717" s="23"/>
      <c r="Y717" s="7"/>
      <c r="Z717" s="26"/>
      <c r="AB717" s="23"/>
      <c r="AD717" s="2"/>
      <c r="AG717" s="23"/>
      <c r="AI717" s="26"/>
      <c r="AJ717" s="23"/>
      <c r="AM717" s="23"/>
      <c r="AO717" s="32"/>
      <c r="AP717" s="26"/>
      <c r="AR717" s="26"/>
      <c r="AS717" s="27"/>
      <c r="AT717" s="27"/>
      <c r="AU717" s="31"/>
      <c r="AV717" s="24"/>
      <c r="AW717"/>
      <c r="AX717"/>
      <c r="AY717"/>
      <c r="AZ717"/>
      <c r="BA717"/>
      <c r="BB717"/>
      <c r="BC717"/>
      <c r="BD717"/>
      <c r="BE717"/>
      <c r="BF717"/>
      <c r="BG717"/>
    </row>
    <row r="718" spans="2:59" x14ac:dyDescent="0.25">
      <c r="B718" s="22"/>
      <c r="C718" s="23"/>
      <c r="E718" s="23"/>
      <c r="F718" s="24"/>
      <c r="G718" s="2"/>
      <c r="H718" s="10" t="e">
        <f>_xlfn.XLOOKUP(F718,Viloyatlar24[RegionName],Viloyatlar24[RegionId])</f>
        <v>#N/A</v>
      </c>
      <c r="I718" s="10" t="e">
        <f>_xlfn.XLOOKUP('Кўчмас мулк объектлари'!G718,Tumanlar23[DistrictName],Tumanlar23[DistrictId])</f>
        <v>#N/A</v>
      </c>
      <c r="K718" s="24"/>
      <c r="L718" s="10" t="e">
        <f>_xlfn.XLOOKUP(K718,Ташкилотлар39[Ташкилотлар],Ташкилотлар39[TashklilotID])</f>
        <v>#N/A</v>
      </c>
      <c r="M718" s="26"/>
      <c r="N718" s="26"/>
      <c r="O718" s="24"/>
      <c r="P718" s="2"/>
      <c r="Q718" s="26"/>
      <c r="R718" s="26"/>
      <c r="S718" s="26"/>
      <c r="T718" s="26"/>
      <c r="U718" s="24"/>
      <c r="V718" s="10" t="e">
        <f>_xlfn.XLOOKUP(U718,Таклифлар37[Таклифлар],Таклифлар37[TaklifID])</f>
        <v>#N/A</v>
      </c>
      <c r="W718" s="24"/>
      <c r="X718" s="23"/>
      <c r="Y718" s="7"/>
      <c r="Z718" s="26"/>
      <c r="AB718" s="23"/>
      <c r="AD718" s="2"/>
      <c r="AG718" s="23"/>
      <c r="AI718" s="26"/>
      <c r="AJ718" s="23"/>
      <c r="AM718" s="23"/>
      <c r="AO718" s="32"/>
      <c r="AP718" s="26"/>
      <c r="AR718" s="26"/>
      <c r="AS718" s="27"/>
      <c r="AT718" s="27"/>
      <c r="AU718" s="31"/>
      <c r="AV718" s="24"/>
      <c r="AW718"/>
      <c r="AX718"/>
      <c r="AY718"/>
      <c r="AZ718"/>
      <c r="BA718"/>
      <c r="BB718"/>
      <c r="BC718"/>
      <c r="BD718"/>
      <c r="BE718"/>
      <c r="BF718"/>
      <c r="BG718"/>
    </row>
    <row r="719" spans="2:59" x14ac:dyDescent="0.25">
      <c r="B719" s="22"/>
      <c r="C719" s="23"/>
      <c r="E719" s="23"/>
      <c r="F719" s="24"/>
      <c r="G719" s="2"/>
      <c r="H719" s="10" t="e">
        <f>_xlfn.XLOOKUP(F719,Viloyatlar24[RegionName],Viloyatlar24[RegionId])</f>
        <v>#N/A</v>
      </c>
      <c r="I719" s="10" t="e">
        <f>_xlfn.XLOOKUP('Кўчмас мулк объектлари'!G719,Tumanlar23[DistrictName],Tumanlar23[DistrictId])</f>
        <v>#N/A</v>
      </c>
      <c r="K719" s="24"/>
      <c r="L719" s="10" t="e">
        <f>_xlfn.XLOOKUP(K719,Ташкилотлар39[Ташкилотлар],Ташкилотлар39[TashklilotID])</f>
        <v>#N/A</v>
      </c>
      <c r="M719" s="26"/>
      <c r="N719" s="26"/>
      <c r="O719" s="24"/>
      <c r="P719" s="2"/>
      <c r="Q719" s="26"/>
      <c r="R719" s="26"/>
      <c r="S719" s="26"/>
      <c r="T719" s="26"/>
      <c r="U719" s="24"/>
      <c r="V719" s="10" t="e">
        <f>_xlfn.XLOOKUP(U719,Таклифлар37[Таклифлар],Таклифлар37[TaklifID])</f>
        <v>#N/A</v>
      </c>
      <c r="W719" s="24"/>
      <c r="X719" s="23"/>
      <c r="Y719" s="7"/>
      <c r="Z719" s="26"/>
      <c r="AB719" s="23"/>
      <c r="AD719" s="2"/>
      <c r="AG719" s="23"/>
      <c r="AI719" s="26"/>
      <c r="AJ719" s="23"/>
      <c r="AM719" s="23"/>
      <c r="AO719" s="32"/>
      <c r="AP719" s="26"/>
      <c r="AR719" s="26"/>
      <c r="AS719" s="27"/>
      <c r="AT719" s="27"/>
      <c r="AU719" s="31"/>
      <c r="AV719" s="24"/>
      <c r="AW719"/>
      <c r="AX719"/>
      <c r="AY719"/>
      <c r="AZ719"/>
      <c r="BA719"/>
      <c r="BB719"/>
      <c r="BC719"/>
      <c r="BD719"/>
      <c r="BE719"/>
      <c r="BF719"/>
      <c r="BG719"/>
    </row>
    <row r="720" spans="2:59" x14ac:dyDescent="0.25">
      <c r="B720" s="22"/>
      <c r="C720" s="23"/>
      <c r="E720" s="23"/>
      <c r="F720" s="24"/>
      <c r="G720" s="2"/>
      <c r="H720" s="10" t="e">
        <f>_xlfn.XLOOKUP(F720,Viloyatlar24[RegionName],Viloyatlar24[RegionId])</f>
        <v>#N/A</v>
      </c>
      <c r="I720" s="10" t="e">
        <f>_xlfn.XLOOKUP('Кўчмас мулк объектлари'!G720,Tumanlar23[DistrictName],Tumanlar23[DistrictId])</f>
        <v>#N/A</v>
      </c>
      <c r="K720" s="24"/>
      <c r="L720" s="10" t="e">
        <f>_xlfn.XLOOKUP(K720,Ташкилотлар39[Ташкилотлар],Ташкилотлар39[TashklilotID])</f>
        <v>#N/A</v>
      </c>
      <c r="M720" s="26"/>
      <c r="N720" s="26"/>
      <c r="O720" s="24"/>
      <c r="P720" s="2"/>
      <c r="Q720" s="26"/>
      <c r="R720" s="26"/>
      <c r="S720" s="26"/>
      <c r="T720" s="26"/>
      <c r="U720" s="24"/>
      <c r="V720" s="10" t="e">
        <f>_xlfn.XLOOKUP(U720,Таклифлар37[Таклифлар],Таклифлар37[TaklifID])</f>
        <v>#N/A</v>
      </c>
      <c r="W720" s="24"/>
      <c r="X720" s="23"/>
      <c r="Y720" s="7"/>
      <c r="Z720" s="26"/>
      <c r="AB720" s="23"/>
      <c r="AD720" s="2"/>
      <c r="AG720" s="23"/>
      <c r="AI720" s="26"/>
      <c r="AJ720" s="23"/>
      <c r="AM720" s="23"/>
      <c r="AO720" s="32"/>
      <c r="AP720" s="26"/>
      <c r="AR720" s="26"/>
      <c r="AS720" s="27"/>
      <c r="AT720" s="27"/>
      <c r="AU720" s="31"/>
      <c r="AV720" s="24"/>
      <c r="AW720"/>
      <c r="AX720"/>
      <c r="AY720"/>
      <c r="AZ720"/>
      <c r="BA720"/>
      <c r="BB720"/>
      <c r="BC720"/>
      <c r="BD720"/>
      <c r="BE720"/>
      <c r="BF720"/>
      <c r="BG720"/>
    </row>
    <row r="721" spans="2:59" x14ac:dyDescent="0.25">
      <c r="B721" s="22"/>
      <c r="C721" s="23"/>
      <c r="E721" s="23"/>
      <c r="F721" s="24"/>
      <c r="G721" s="2"/>
      <c r="H721" s="10" t="e">
        <f>_xlfn.XLOOKUP(F721,Viloyatlar24[RegionName],Viloyatlar24[RegionId])</f>
        <v>#N/A</v>
      </c>
      <c r="I721" s="10" t="e">
        <f>_xlfn.XLOOKUP('Кўчмас мулк объектлари'!G721,Tumanlar23[DistrictName],Tumanlar23[DistrictId])</f>
        <v>#N/A</v>
      </c>
      <c r="K721" s="24"/>
      <c r="L721" s="10" t="e">
        <f>_xlfn.XLOOKUP(K721,Ташкилотлар39[Ташкилотлар],Ташкилотлар39[TashklilotID])</f>
        <v>#N/A</v>
      </c>
      <c r="M721" s="26"/>
      <c r="N721" s="26"/>
      <c r="O721" s="24"/>
      <c r="P721" s="2"/>
      <c r="Q721" s="26"/>
      <c r="R721" s="26"/>
      <c r="S721" s="26"/>
      <c r="T721" s="26"/>
      <c r="U721" s="24"/>
      <c r="V721" s="10" t="e">
        <f>_xlfn.XLOOKUP(U721,Таклифлар37[Таклифлар],Таклифлар37[TaklifID])</f>
        <v>#N/A</v>
      </c>
      <c r="W721" s="24"/>
      <c r="X721" s="23"/>
      <c r="Y721" s="7"/>
      <c r="Z721" s="26"/>
      <c r="AB721" s="23"/>
      <c r="AD721" s="2"/>
      <c r="AG721" s="23"/>
      <c r="AI721" s="26"/>
      <c r="AJ721" s="23"/>
      <c r="AM721" s="23"/>
      <c r="AO721" s="32"/>
      <c r="AP721" s="26"/>
      <c r="AR721" s="26"/>
      <c r="AS721" s="27"/>
      <c r="AT721" s="27"/>
      <c r="AU721" s="31"/>
      <c r="AV721" s="24"/>
      <c r="AW721"/>
      <c r="AX721"/>
      <c r="AY721"/>
      <c r="AZ721"/>
      <c r="BA721"/>
      <c r="BB721"/>
      <c r="BC721"/>
      <c r="BD721"/>
      <c r="BE721"/>
      <c r="BF721"/>
      <c r="BG721"/>
    </row>
    <row r="722" spans="2:59" x14ac:dyDescent="0.25">
      <c r="B722" s="22"/>
      <c r="C722" s="23"/>
      <c r="E722" s="23"/>
      <c r="F722" s="24"/>
      <c r="G722" s="2"/>
      <c r="H722" s="10" t="e">
        <f>_xlfn.XLOOKUP(F722,Viloyatlar24[RegionName],Viloyatlar24[RegionId])</f>
        <v>#N/A</v>
      </c>
      <c r="I722" s="10" t="e">
        <f>_xlfn.XLOOKUP('Кўчмас мулк объектлари'!G722,Tumanlar23[DistrictName],Tumanlar23[DistrictId])</f>
        <v>#N/A</v>
      </c>
      <c r="K722" s="24"/>
      <c r="L722" s="10" t="e">
        <f>_xlfn.XLOOKUP(K722,Ташкилотлар39[Ташкилотлар],Ташкилотлар39[TashklilotID])</f>
        <v>#N/A</v>
      </c>
      <c r="M722" s="26"/>
      <c r="N722" s="26"/>
      <c r="O722" s="24"/>
      <c r="P722" s="2"/>
      <c r="Q722" s="26"/>
      <c r="R722" s="26"/>
      <c r="S722" s="26"/>
      <c r="T722" s="26"/>
      <c r="U722" s="24"/>
      <c r="V722" s="10" t="e">
        <f>_xlfn.XLOOKUP(U722,Таклифлар37[Таклифлар],Таклифлар37[TaklifID])</f>
        <v>#N/A</v>
      </c>
      <c r="W722" s="24"/>
      <c r="X722" s="23"/>
      <c r="Y722" s="7"/>
      <c r="Z722" s="26"/>
      <c r="AB722" s="23"/>
      <c r="AD722" s="2"/>
      <c r="AG722" s="23"/>
      <c r="AI722" s="26"/>
      <c r="AJ722" s="23"/>
      <c r="AM722" s="23"/>
      <c r="AO722" s="32"/>
      <c r="AP722" s="26"/>
      <c r="AR722" s="26"/>
      <c r="AS722" s="27"/>
      <c r="AT722" s="27"/>
      <c r="AU722" s="31"/>
      <c r="AV722" s="24"/>
      <c r="AW722"/>
      <c r="AX722"/>
      <c r="AY722"/>
      <c r="AZ722"/>
      <c r="BA722"/>
      <c r="BB722"/>
      <c r="BC722"/>
      <c r="BD722"/>
      <c r="BE722"/>
      <c r="BF722"/>
      <c r="BG722"/>
    </row>
    <row r="723" spans="2:59" x14ac:dyDescent="0.25">
      <c r="B723" s="22"/>
      <c r="C723" s="23"/>
      <c r="E723" s="23"/>
      <c r="F723" s="24"/>
      <c r="G723" s="2"/>
      <c r="H723" s="10" t="e">
        <f>_xlfn.XLOOKUP(F723,Viloyatlar24[RegionName],Viloyatlar24[RegionId])</f>
        <v>#N/A</v>
      </c>
      <c r="I723" s="10" t="e">
        <f>_xlfn.XLOOKUP('Кўчмас мулк объектлари'!G723,Tumanlar23[DistrictName],Tumanlar23[DistrictId])</f>
        <v>#N/A</v>
      </c>
      <c r="K723" s="24"/>
      <c r="L723" s="10" t="e">
        <f>_xlfn.XLOOKUP(K723,Ташкилотлар39[Ташкилотлар],Ташкилотлар39[TashklilotID])</f>
        <v>#N/A</v>
      </c>
      <c r="M723" s="26"/>
      <c r="N723" s="26"/>
      <c r="O723" s="24"/>
      <c r="P723" s="2"/>
      <c r="Q723" s="26"/>
      <c r="R723" s="26"/>
      <c r="S723" s="26"/>
      <c r="T723" s="26"/>
      <c r="U723" s="24"/>
      <c r="V723" s="10" t="e">
        <f>_xlfn.XLOOKUP(U723,Таклифлар37[Таклифлар],Таклифлар37[TaklifID])</f>
        <v>#N/A</v>
      </c>
      <c r="W723" s="24"/>
      <c r="X723" s="23"/>
      <c r="Y723" s="7"/>
      <c r="Z723" s="26"/>
      <c r="AB723" s="23"/>
      <c r="AD723" s="2"/>
      <c r="AG723" s="23"/>
      <c r="AI723" s="26"/>
      <c r="AJ723" s="23"/>
      <c r="AM723" s="23"/>
      <c r="AO723" s="32"/>
      <c r="AP723" s="26"/>
      <c r="AR723" s="26"/>
      <c r="AS723" s="27"/>
      <c r="AT723" s="27"/>
      <c r="AU723" s="31"/>
      <c r="AV723" s="24"/>
      <c r="AW723"/>
      <c r="AX723"/>
      <c r="AY723"/>
      <c r="AZ723"/>
      <c r="BA723"/>
      <c r="BB723"/>
      <c r="BC723"/>
      <c r="BD723"/>
      <c r="BE723"/>
      <c r="BF723"/>
      <c r="BG723"/>
    </row>
    <row r="724" spans="2:59" x14ac:dyDescent="0.25">
      <c r="B724" s="22"/>
      <c r="C724" s="23"/>
      <c r="E724" s="23"/>
      <c r="F724" s="24"/>
      <c r="G724" s="2"/>
      <c r="H724" s="10" t="e">
        <f>_xlfn.XLOOKUP(F724,Viloyatlar24[RegionName],Viloyatlar24[RegionId])</f>
        <v>#N/A</v>
      </c>
      <c r="I724" s="10" t="e">
        <f>_xlfn.XLOOKUP('Кўчмас мулк объектлари'!G724,Tumanlar23[DistrictName],Tumanlar23[DistrictId])</f>
        <v>#N/A</v>
      </c>
      <c r="K724" s="24"/>
      <c r="L724" s="10" t="e">
        <f>_xlfn.XLOOKUP(K724,Ташкилотлар39[Ташкилотлар],Ташкилотлар39[TashklilotID])</f>
        <v>#N/A</v>
      </c>
      <c r="M724" s="26"/>
      <c r="N724" s="26"/>
      <c r="O724" s="24"/>
      <c r="P724" s="2"/>
      <c r="Q724" s="26"/>
      <c r="R724" s="26"/>
      <c r="S724" s="26"/>
      <c r="T724" s="26"/>
      <c r="U724" s="24"/>
      <c r="V724" s="10" t="e">
        <f>_xlfn.XLOOKUP(U724,Таклифлар37[Таклифлар],Таклифлар37[TaklifID])</f>
        <v>#N/A</v>
      </c>
      <c r="W724" s="24"/>
      <c r="X724" s="23"/>
      <c r="Y724" s="7"/>
      <c r="Z724" s="26"/>
      <c r="AB724" s="23"/>
      <c r="AD724" s="2"/>
      <c r="AG724" s="23"/>
      <c r="AI724" s="26"/>
      <c r="AJ724" s="23"/>
      <c r="AM724" s="23"/>
      <c r="AO724" s="32"/>
      <c r="AP724" s="26"/>
      <c r="AR724" s="26"/>
      <c r="AS724" s="27"/>
      <c r="AT724" s="27"/>
      <c r="AU724" s="31"/>
      <c r="AV724" s="24"/>
      <c r="AW724"/>
      <c r="AX724"/>
      <c r="AY724"/>
      <c r="AZ724"/>
      <c r="BA724"/>
      <c r="BB724"/>
      <c r="BC724"/>
      <c r="BD724"/>
      <c r="BE724"/>
      <c r="BF724"/>
      <c r="BG724"/>
    </row>
    <row r="725" spans="2:59" x14ac:dyDescent="0.25">
      <c r="B725" s="22"/>
      <c r="C725" s="23"/>
      <c r="E725" s="23"/>
      <c r="F725" s="24"/>
      <c r="G725" s="2"/>
      <c r="H725" s="10" t="e">
        <f>_xlfn.XLOOKUP(F725,Viloyatlar24[RegionName],Viloyatlar24[RegionId])</f>
        <v>#N/A</v>
      </c>
      <c r="I725" s="10" t="e">
        <f>_xlfn.XLOOKUP('Кўчмас мулк объектлари'!G725,Tumanlar23[DistrictName],Tumanlar23[DistrictId])</f>
        <v>#N/A</v>
      </c>
      <c r="K725" s="24"/>
      <c r="L725" s="10" t="e">
        <f>_xlfn.XLOOKUP(K725,Ташкилотлар39[Ташкилотлар],Ташкилотлар39[TashklilotID])</f>
        <v>#N/A</v>
      </c>
      <c r="M725" s="26"/>
      <c r="N725" s="26"/>
      <c r="O725" s="24"/>
      <c r="P725" s="2"/>
      <c r="Q725" s="26"/>
      <c r="R725" s="26"/>
      <c r="S725" s="26"/>
      <c r="T725" s="26"/>
      <c r="U725" s="24"/>
      <c r="V725" s="10" t="e">
        <f>_xlfn.XLOOKUP(U725,Таклифлар37[Таклифлар],Таклифлар37[TaklifID])</f>
        <v>#N/A</v>
      </c>
      <c r="W725" s="24"/>
      <c r="X725" s="23"/>
      <c r="Y725" s="7"/>
      <c r="Z725" s="26"/>
      <c r="AB725" s="23"/>
      <c r="AD725" s="2"/>
      <c r="AG725" s="23"/>
      <c r="AI725" s="26"/>
      <c r="AJ725" s="23"/>
      <c r="AM725" s="23"/>
      <c r="AO725" s="32"/>
      <c r="AP725" s="26"/>
      <c r="AR725" s="26"/>
      <c r="AS725" s="27"/>
      <c r="AT725" s="27"/>
      <c r="AU725" s="31"/>
      <c r="AV725" s="24"/>
      <c r="AW725"/>
      <c r="AX725"/>
      <c r="AY725"/>
      <c r="AZ725"/>
      <c r="BA725"/>
      <c r="BB725"/>
      <c r="BC725"/>
      <c r="BD725"/>
      <c r="BE725"/>
      <c r="BF725"/>
      <c r="BG725"/>
    </row>
    <row r="726" spans="2:59" x14ac:dyDescent="0.25">
      <c r="B726" s="22"/>
      <c r="C726" s="23"/>
      <c r="E726" s="23"/>
      <c r="F726" s="24"/>
      <c r="G726" s="2"/>
      <c r="H726" s="10" t="e">
        <f>_xlfn.XLOOKUP(F726,Viloyatlar24[RegionName],Viloyatlar24[RegionId])</f>
        <v>#N/A</v>
      </c>
      <c r="I726" s="10" t="e">
        <f>_xlfn.XLOOKUP('Кўчмас мулк объектлари'!G726,Tumanlar23[DistrictName],Tumanlar23[DistrictId])</f>
        <v>#N/A</v>
      </c>
      <c r="K726" s="24"/>
      <c r="L726" s="10" t="e">
        <f>_xlfn.XLOOKUP(K726,Ташкилотлар39[Ташкилотлар],Ташкилотлар39[TashklilotID])</f>
        <v>#N/A</v>
      </c>
      <c r="M726" s="26"/>
      <c r="N726" s="26"/>
      <c r="O726" s="24"/>
      <c r="P726" s="2"/>
      <c r="Q726" s="26"/>
      <c r="R726" s="26"/>
      <c r="S726" s="26"/>
      <c r="T726" s="26"/>
      <c r="U726" s="24"/>
      <c r="V726" s="10" t="e">
        <f>_xlfn.XLOOKUP(U726,Таклифлар37[Таклифлар],Таклифлар37[TaklifID])</f>
        <v>#N/A</v>
      </c>
      <c r="W726" s="24"/>
      <c r="X726" s="23"/>
      <c r="Y726" s="7"/>
      <c r="Z726" s="26"/>
      <c r="AB726" s="23"/>
      <c r="AD726" s="2"/>
      <c r="AG726" s="23"/>
      <c r="AI726" s="26"/>
      <c r="AJ726" s="23"/>
      <c r="AM726" s="23"/>
      <c r="AO726" s="32"/>
      <c r="AP726" s="26"/>
      <c r="AR726" s="26"/>
      <c r="AS726" s="27"/>
      <c r="AT726" s="27"/>
      <c r="AU726" s="31"/>
      <c r="AV726" s="24"/>
      <c r="AW726"/>
      <c r="AX726"/>
      <c r="AY726"/>
      <c r="AZ726"/>
      <c r="BA726"/>
      <c r="BB726"/>
      <c r="BC726"/>
      <c r="BD726"/>
      <c r="BE726"/>
      <c r="BF726"/>
      <c r="BG726"/>
    </row>
    <row r="727" spans="2:59" x14ac:dyDescent="0.25">
      <c r="B727" s="22"/>
      <c r="C727" s="23"/>
      <c r="E727" s="23"/>
      <c r="F727" s="24"/>
      <c r="G727" s="2"/>
      <c r="H727" s="10" t="e">
        <f>_xlfn.XLOOKUP(F727,Viloyatlar24[RegionName],Viloyatlar24[RegionId])</f>
        <v>#N/A</v>
      </c>
      <c r="I727" s="10" t="e">
        <f>_xlfn.XLOOKUP('Кўчмас мулк объектлари'!G727,Tumanlar23[DistrictName],Tumanlar23[DistrictId])</f>
        <v>#N/A</v>
      </c>
      <c r="K727" s="24"/>
      <c r="L727" s="10" t="e">
        <f>_xlfn.XLOOKUP(K727,Ташкилотлар39[Ташкилотлар],Ташкилотлар39[TashklilotID])</f>
        <v>#N/A</v>
      </c>
      <c r="M727" s="26"/>
      <c r="N727" s="26"/>
      <c r="O727" s="24"/>
      <c r="P727" s="2"/>
      <c r="Q727" s="26"/>
      <c r="R727" s="26"/>
      <c r="S727" s="26"/>
      <c r="T727" s="26"/>
      <c r="U727" s="24"/>
      <c r="V727" s="10" t="e">
        <f>_xlfn.XLOOKUP(U727,Таклифлар37[Таклифлар],Таклифлар37[TaklifID])</f>
        <v>#N/A</v>
      </c>
      <c r="W727" s="24"/>
      <c r="X727" s="23"/>
      <c r="Y727" s="7"/>
      <c r="Z727" s="26"/>
      <c r="AB727" s="23"/>
      <c r="AD727" s="2"/>
      <c r="AG727" s="23"/>
      <c r="AI727" s="26"/>
      <c r="AJ727" s="23"/>
      <c r="AM727" s="23"/>
      <c r="AO727" s="32"/>
      <c r="AP727" s="26"/>
      <c r="AR727" s="26"/>
      <c r="AS727" s="27"/>
      <c r="AT727" s="27"/>
      <c r="AU727" s="31"/>
      <c r="AV727" s="24"/>
      <c r="AW727"/>
      <c r="AX727"/>
      <c r="AY727"/>
      <c r="AZ727"/>
      <c r="BA727"/>
      <c r="BB727"/>
      <c r="BC727"/>
      <c r="BD727"/>
      <c r="BE727"/>
      <c r="BF727"/>
      <c r="BG727"/>
    </row>
    <row r="728" spans="2:59" x14ac:dyDescent="0.25">
      <c r="B728" s="22"/>
      <c r="C728" s="23"/>
      <c r="E728" s="23"/>
      <c r="F728" s="24"/>
      <c r="G728" s="2"/>
      <c r="H728" s="10" t="e">
        <f>_xlfn.XLOOKUP(F728,Viloyatlar24[RegionName],Viloyatlar24[RegionId])</f>
        <v>#N/A</v>
      </c>
      <c r="I728" s="10" t="e">
        <f>_xlfn.XLOOKUP('Кўчмас мулк объектлари'!G728,Tumanlar23[DistrictName],Tumanlar23[DistrictId])</f>
        <v>#N/A</v>
      </c>
      <c r="K728" s="24"/>
      <c r="L728" s="10" t="e">
        <f>_xlfn.XLOOKUP(K728,Ташкилотлар39[Ташкилотлар],Ташкилотлар39[TashklilotID])</f>
        <v>#N/A</v>
      </c>
      <c r="M728" s="26"/>
      <c r="N728" s="26"/>
      <c r="O728" s="24"/>
      <c r="P728" s="2"/>
      <c r="Q728" s="26"/>
      <c r="R728" s="26"/>
      <c r="S728" s="26"/>
      <c r="T728" s="26"/>
      <c r="U728" s="24"/>
      <c r="V728" s="10" t="e">
        <f>_xlfn.XLOOKUP(U728,Таклифлар37[Таклифлар],Таклифлар37[TaklifID])</f>
        <v>#N/A</v>
      </c>
      <c r="W728" s="24"/>
      <c r="X728" s="23"/>
      <c r="Y728" s="7"/>
      <c r="Z728" s="26"/>
      <c r="AB728" s="23"/>
      <c r="AD728" s="2"/>
      <c r="AG728" s="23"/>
      <c r="AI728" s="26"/>
      <c r="AJ728" s="23"/>
      <c r="AM728" s="23"/>
      <c r="AO728" s="32"/>
      <c r="AP728" s="26"/>
      <c r="AR728" s="26"/>
      <c r="AS728" s="27"/>
      <c r="AT728" s="27"/>
      <c r="AU728" s="31"/>
      <c r="AV728" s="24"/>
      <c r="AW728"/>
      <c r="AX728"/>
      <c r="AY728"/>
      <c r="AZ728"/>
      <c r="BA728"/>
      <c r="BB728"/>
      <c r="BC728"/>
      <c r="BD728"/>
      <c r="BE728"/>
      <c r="BF728"/>
      <c r="BG728"/>
    </row>
    <row r="729" spans="2:59" x14ac:dyDescent="0.25">
      <c r="B729" s="22"/>
      <c r="C729" s="23"/>
      <c r="E729" s="23"/>
      <c r="F729" s="24"/>
      <c r="G729" s="2"/>
      <c r="H729" s="10" t="e">
        <f>_xlfn.XLOOKUP(F729,Viloyatlar24[RegionName],Viloyatlar24[RegionId])</f>
        <v>#N/A</v>
      </c>
      <c r="I729" s="10" t="e">
        <f>_xlfn.XLOOKUP('Кўчмас мулк объектлари'!G729,Tumanlar23[DistrictName],Tumanlar23[DistrictId])</f>
        <v>#N/A</v>
      </c>
      <c r="K729" s="24"/>
      <c r="L729" s="10" t="e">
        <f>_xlfn.XLOOKUP(K729,Ташкилотлар39[Ташкилотлар],Ташкилотлар39[TashklilotID])</f>
        <v>#N/A</v>
      </c>
      <c r="M729" s="26"/>
      <c r="N729" s="26"/>
      <c r="O729" s="24"/>
      <c r="P729" s="2"/>
      <c r="Q729" s="26"/>
      <c r="R729" s="26"/>
      <c r="S729" s="26"/>
      <c r="T729" s="26"/>
      <c r="U729" s="24"/>
      <c r="V729" s="10" t="e">
        <f>_xlfn.XLOOKUP(U729,Таклифлар37[Таклифлар],Таклифлар37[TaklifID])</f>
        <v>#N/A</v>
      </c>
      <c r="W729" s="24"/>
      <c r="X729" s="23"/>
      <c r="Y729" s="7"/>
      <c r="Z729" s="26"/>
      <c r="AB729" s="23"/>
      <c r="AD729" s="2"/>
      <c r="AG729" s="23"/>
      <c r="AI729" s="26"/>
      <c r="AJ729" s="23"/>
      <c r="AM729" s="23"/>
      <c r="AO729" s="32"/>
      <c r="AP729" s="26"/>
      <c r="AR729" s="26"/>
      <c r="AS729" s="27"/>
      <c r="AT729" s="27"/>
      <c r="AU729" s="31"/>
      <c r="AV729" s="24"/>
      <c r="AW729"/>
      <c r="AX729"/>
      <c r="AY729"/>
      <c r="AZ729"/>
      <c r="BA729"/>
      <c r="BB729"/>
      <c r="BC729"/>
      <c r="BD729"/>
      <c r="BE729"/>
      <c r="BF729"/>
      <c r="BG729"/>
    </row>
    <row r="730" spans="2:59" x14ac:dyDescent="0.25">
      <c r="B730" s="22"/>
      <c r="C730" s="23"/>
      <c r="E730" s="23"/>
      <c r="F730" s="24"/>
      <c r="G730" s="2"/>
      <c r="H730" s="10" t="e">
        <f>_xlfn.XLOOKUP(F730,Viloyatlar24[RegionName],Viloyatlar24[RegionId])</f>
        <v>#N/A</v>
      </c>
      <c r="I730" s="10" t="e">
        <f>_xlfn.XLOOKUP('Кўчмас мулк объектлари'!G730,Tumanlar23[DistrictName],Tumanlar23[DistrictId])</f>
        <v>#N/A</v>
      </c>
      <c r="K730" s="24"/>
      <c r="L730" s="10" t="e">
        <f>_xlfn.XLOOKUP(K730,Ташкилотлар39[Ташкилотлар],Ташкилотлар39[TashklilotID])</f>
        <v>#N/A</v>
      </c>
      <c r="M730" s="26"/>
      <c r="N730" s="26"/>
      <c r="O730" s="24"/>
      <c r="P730" s="2"/>
      <c r="Q730" s="26"/>
      <c r="R730" s="26"/>
      <c r="S730" s="26"/>
      <c r="T730" s="26"/>
      <c r="U730" s="24"/>
      <c r="V730" s="10" t="e">
        <f>_xlfn.XLOOKUP(U730,Таклифлар37[Таклифлар],Таклифлар37[TaklifID])</f>
        <v>#N/A</v>
      </c>
      <c r="W730" s="24"/>
      <c r="X730" s="23"/>
      <c r="Y730" s="7"/>
      <c r="Z730" s="26"/>
      <c r="AB730" s="23"/>
      <c r="AD730" s="2"/>
      <c r="AG730" s="23"/>
      <c r="AI730" s="26"/>
      <c r="AJ730" s="23"/>
      <c r="AM730" s="23"/>
      <c r="AO730" s="32"/>
      <c r="AP730" s="26"/>
      <c r="AR730" s="26"/>
      <c r="AS730" s="27"/>
      <c r="AT730" s="27"/>
      <c r="AU730" s="31"/>
      <c r="AV730" s="24"/>
      <c r="AW730"/>
      <c r="AX730"/>
      <c r="AY730"/>
      <c r="AZ730"/>
      <c r="BA730"/>
      <c r="BB730"/>
      <c r="BC730"/>
      <c r="BD730"/>
      <c r="BE730"/>
      <c r="BF730"/>
      <c r="BG730"/>
    </row>
    <row r="731" spans="2:59" x14ac:dyDescent="0.25">
      <c r="B731" s="22"/>
      <c r="C731" s="23"/>
      <c r="E731" s="23"/>
      <c r="F731" s="24"/>
      <c r="G731" s="2"/>
      <c r="H731" s="10" t="e">
        <f>_xlfn.XLOOKUP(F731,Viloyatlar24[RegionName],Viloyatlar24[RegionId])</f>
        <v>#N/A</v>
      </c>
      <c r="I731" s="10" t="e">
        <f>_xlfn.XLOOKUP('Кўчмас мулк объектлари'!G731,Tumanlar23[DistrictName],Tumanlar23[DistrictId])</f>
        <v>#N/A</v>
      </c>
      <c r="K731" s="24"/>
      <c r="L731" s="10" t="e">
        <f>_xlfn.XLOOKUP(K731,Ташкилотлар39[Ташкилотлар],Ташкилотлар39[TashklilotID])</f>
        <v>#N/A</v>
      </c>
      <c r="M731" s="26"/>
      <c r="N731" s="26"/>
      <c r="O731" s="24"/>
      <c r="P731" s="2"/>
      <c r="Q731" s="26"/>
      <c r="R731" s="26"/>
      <c r="S731" s="26"/>
      <c r="T731" s="26"/>
      <c r="U731" s="24"/>
      <c r="V731" s="10" t="e">
        <f>_xlfn.XLOOKUP(U731,Таклифлар37[Таклифлар],Таклифлар37[TaklifID])</f>
        <v>#N/A</v>
      </c>
      <c r="W731" s="24"/>
      <c r="X731" s="23"/>
      <c r="Y731" s="7"/>
      <c r="Z731" s="26"/>
      <c r="AB731" s="23"/>
      <c r="AD731" s="2"/>
      <c r="AG731" s="23"/>
      <c r="AI731" s="26"/>
      <c r="AJ731" s="23"/>
      <c r="AM731" s="23"/>
      <c r="AO731" s="32"/>
      <c r="AP731" s="26"/>
      <c r="AR731" s="26"/>
      <c r="AS731" s="27"/>
      <c r="AT731" s="27"/>
      <c r="AU731" s="31"/>
      <c r="AV731" s="24"/>
      <c r="AW731"/>
      <c r="AX731"/>
      <c r="AY731"/>
      <c r="AZ731"/>
      <c r="BA731"/>
      <c r="BB731"/>
      <c r="BC731"/>
      <c r="BD731"/>
      <c r="BE731"/>
      <c r="BF731"/>
      <c r="BG731"/>
    </row>
    <row r="732" spans="2:59" x14ac:dyDescent="0.25">
      <c r="B732" s="22"/>
      <c r="C732" s="23"/>
      <c r="E732" s="23"/>
      <c r="F732" s="24"/>
      <c r="G732" s="2"/>
      <c r="H732" s="10" t="e">
        <f>_xlfn.XLOOKUP(F732,Viloyatlar24[RegionName],Viloyatlar24[RegionId])</f>
        <v>#N/A</v>
      </c>
      <c r="I732" s="10" t="e">
        <f>_xlfn.XLOOKUP('Кўчмас мулк объектлари'!G732,Tumanlar23[DistrictName],Tumanlar23[DistrictId])</f>
        <v>#N/A</v>
      </c>
      <c r="K732" s="24"/>
      <c r="L732" s="10" t="e">
        <f>_xlfn.XLOOKUP(K732,Ташкилотлар39[Ташкилотлар],Ташкилотлар39[TashklilotID])</f>
        <v>#N/A</v>
      </c>
      <c r="M732" s="26"/>
      <c r="N732" s="26"/>
      <c r="O732" s="24"/>
      <c r="P732" s="2"/>
      <c r="Q732" s="26"/>
      <c r="R732" s="26"/>
      <c r="S732" s="26"/>
      <c r="T732" s="26"/>
      <c r="U732" s="24"/>
      <c r="V732" s="10" t="e">
        <f>_xlfn.XLOOKUP(U732,Таклифлар37[Таклифлар],Таклифлар37[TaklifID])</f>
        <v>#N/A</v>
      </c>
      <c r="W732" s="24"/>
      <c r="X732" s="23"/>
      <c r="Y732" s="7"/>
      <c r="Z732" s="26"/>
      <c r="AB732" s="23"/>
      <c r="AD732" s="2"/>
      <c r="AG732" s="23"/>
      <c r="AI732" s="26"/>
      <c r="AJ732" s="23"/>
      <c r="AM732" s="23"/>
      <c r="AO732" s="32"/>
      <c r="AP732" s="26"/>
      <c r="AR732" s="26"/>
      <c r="AS732" s="27"/>
      <c r="AT732" s="27"/>
      <c r="AU732" s="31"/>
      <c r="AV732" s="24"/>
      <c r="AW732"/>
      <c r="AX732"/>
      <c r="AY732"/>
      <c r="AZ732"/>
      <c r="BA732"/>
      <c r="BB732"/>
      <c r="BC732"/>
      <c r="BD732"/>
      <c r="BE732"/>
      <c r="BF732"/>
      <c r="BG732"/>
    </row>
    <row r="733" spans="2:59" x14ac:dyDescent="0.25">
      <c r="B733" s="22"/>
      <c r="C733" s="23"/>
      <c r="E733" s="23"/>
      <c r="F733" s="24"/>
      <c r="G733" s="2"/>
      <c r="H733" s="10" t="e">
        <f>_xlfn.XLOOKUP(F733,Viloyatlar24[RegionName],Viloyatlar24[RegionId])</f>
        <v>#N/A</v>
      </c>
      <c r="I733" s="10" t="e">
        <f>_xlfn.XLOOKUP('Кўчмас мулк объектлари'!G733,Tumanlar23[DistrictName],Tumanlar23[DistrictId])</f>
        <v>#N/A</v>
      </c>
      <c r="K733" s="24"/>
      <c r="L733" s="10" t="e">
        <f>_xlfn.XLOOKUP(K733,Ташкилотлар39[Ташкилотлар],Ташкилотлар39[TashklilotID])</f>
        <v>#N/A</v>
      </c>
      <c r="M733" s="26"/>
      <c r="N733" s="26"/>
      <c r="O733" s="24"/>
      <c r="P733" s="2"/>
      <c r="Q733" s="26"/>
      <c r="R733" s="26"/>
      <c r="S733" s="26"/>
      <c r="T733" s="26"/>
      <c r="U733" s="24"/>
      <c r="V733" s="10" t="e">
        <f>_xlfn.XLOOKUP(U733,Таклифлар37[Таклифлар],Таклифлар37[TaklifID])</f>
        <v>#N/A</v>
      </c>
      <c r="W733" s="24"/>
      <c r="X733" s="23"/>
      <c r="Y733" s="7"/>
      <c r="Z733" s="26"/>
      <c r="AB733" s="23"/>
      <c r="AD733" s="2"/>
      <c r="AG733" s="23"/>
      <c r="AI733" s="26"/>
      <c r="AJ733" s="23"/>
      <c r="AM733" s="23"/>
      <c r="AO733" s="32"/>
      <c r="AP733" s="26"/>
      <c r="AR733" s="26"/>
      <c r="AS733" s="27"/>
      <c r="AT733" s="27"/>
      <c r="AU733" s="31"/>
      <c r="AV733" s="24"/>
      <c r="AW733"/>
      <c r="AX733"/>
      <c r="AY733"/>
      <c r="AZ733"/>
      <c r="BA733"/>
      <c r="BB733"/>
      <c r="BC733"/>
      <c r="BD733"/>
      <c r="BE733"/>
      <c r="BF733"/>
      <c r="BG733"/>
    </row>
    <row r="734" spans="2:59" x14ac:dyDescent="0.25">
      <c r="B734" s="22"/>
      <c r="C734" s="23"/>
      <c r="E734" s="23"/>
      <c r="F734" s="24"/>
      <c r="G734" s="2"/>
      <c r="H734" s="10" t="e">
        <f>_xlfn.XLOOKUP(F734,Viloyatlar24[RegionName],Viloyatlar24[RegionId])</f>
        <v>#N/A</v>
      </c>
      <c r="I734" s="10" t="e">
        <f>_xlfn.XLOOKUP('Кўчмас мулк объектлари'!G734,Tumanlar23[DistrictName],Tumanlar23[DistrictId])</f>
        <v>#N/A</v>
      </c>
      <c r="K734" s="24"/>
      <c r="L734" s="10" t="e">
        <f>_xlfn.XLOOKUP(K734,Ташкилотлар39[Ташкилотлар],Ташкилотлар39[TashklilotID])</f>
        <v>#N/A</v>
      </c>
      <c r="M734" s="26"/>
      <c r="N734" s="26"/>
      <c r="O734" s="24"/>
      <c r="P734" s="2"/>
      <c r="Q734" s="26"/>
      <c r="R734" s="26"/>
      <c r="S734" s="26"/>
      <c r="T734" s="26"/>
      <c r="U734" s="24"/>
      <c r="V734" s="10" t="e">
        <f>_xlfn.XLOOKUP(U734,Таклифлар37[Таклифлар],Таклифлар37[TaklifID])</f>
        <v>#N/A</v>
      </c>
      <c r="W734" s="24"/>
      <c r="X734" s="23"/>
      <c r="Y734" s="7"/>
      <c r="Z734" s="26"/>
      <c r="AB734" s="23"/>
      <c r="AD734" s="2"/>
      <c r="AG734" s="23"/>
      <c r="AI734" s="26"/>
      <c r="AJ734" s="23"/>
      <c r="AM734" s="23"/>
      <c r="AO734" s="32"/>
      <c r="AP734" s="26"/>
      <c r="AR734" s="26"/>
      <c r="AS734" s="27"/>
      <c r="AT734" s="27"/>
      <c r="AU734" s="31"/>
      <c r="AV734" s="24"/>
      <c r="AW734"/>
      <c r="AX734"/>
      <c r="AY734"/>
      <c r="AZ734"/>
      <c r="BA734"/>
      <c r="BB734"/>
      <c r="BC734"/>
      <c r="BD734"/>
      <c r="BE734"/>
      <c r="BF734"/>
      <c r="BG734"/>
    </row>
    <row r="735" spans="2:59" x14ac:dyDescent="0.25">
      <c r="B735" s="22"/>
      <c r="C735" s="23"/>
      <c r="E735" s="23"/>
      <c r="F735" s="24"/>
      <c r="G735" s="2"/>
      <c r="H735" s="10" t="e">
        <f>_xlfn.XLOOKUP(F735,Viloyatlar24[RegionName],Viloyatlar24[RegionId])</f>
        <v>#N/A</v>
      </c>
      <c r="I735" s="10" t="e">
        <f>_xlfn.XLOOKUP('Кўчмас мулк объектлари'!G735,Tumanlar23[DistrictName],Tumanlar23[DistrictId])</f>
        <v>#N/A</v>
      </c>
      <c r="K735" s="24"/>
      <c r="L735" s="10" t="e">
        <f>_xlfn.XLOOKUP(K735,Ташкилотлар39[Ташкилотлар],Ташкилотлар39[TashklilotID])</f>
        <v>#N/A</v>
      </c>
      <c r="M735" s="26"/>
      <c r="N735" s="26"/>
      <c r="O735" s="24"/>
      <c r="P735" s="2"/>
      <c r="Q735" s="26"/>
      <c r="R735" s="26"/>
      <c r="S735" s="26"/>
      <c r="T735" s="26"/>
      <c r="U735" s="24"/>
      <c r="V735" s="10" t="e">
        <f>_xlfn.XLOOKUP(U735,Таклифлар37[Таклифлар],Таклифлар37[TaklifID])</f>
        <v>#N/A</v>
      </c>
      <c r="W735" s="24"/>
      <c r="X735" s="23"/>
      <c r="Y735" s="7"/>
      <c r="Z735" s="26"/>
      <c r="AB735" s="23"/>
      <c r="AD735" s="2"/>
      <c r="AG735" s="23"/>
      <c r="AI735" s="26"/>
      <c r="AJ735" s="23"/>
      <c r="AM735" s="23"/>
      <c r="AO735" s="32"/>
      <c r="AP735" s="26"/>
      <c r="AR735" s="26"/>
      <c r="AS735" s="27"/>
      <c r="AT735" s="27"/>
      <c r="AU735" s="31"/>
      <c r="AV735" s="24"/>
      <c r="AW735"/>
      <c r="AX735"/>
      <c r="AY735"/>
      <c r="AZ735"/>
      <c r="BA735"/>
      <c r="BB735"/>
      <c r="BC735"/>
      <c r="BD735"/>
      <c r="BE735"/>
      <c r="BF735"/>
      <c r="BG735"/>
    </row>
    <row r="736" spans="2:59" x14ac:dyDescent="0.25">
      <c r="B736" s="22"/>
      <c r="C736" s="23"/>
      <c r="E736" s="23"/>
      <c r="F736" s="24"/>
      <c r="G736" s="2"/>
      <c r="H736" s="10" t="e">
        <f>_xlfn.XLOOKUP(F736,Viloyatlar24[RegionName],Viloyatlar24[RegionId])</f>
        <v>#N/A</v>
      </c>
      <c r="I736" s="10" t="e">
        <f>_xlfn.XLOOKUP('Кўчмас мулк объектлари'!G736,Tumanlar23[DistrictName],Tumanlar23[DistrictId])</f>
        <v>#N/A</v>
      </c>
      <c r="K736" s="24"/>
      <c r="L736" s="10" t="e">
        <f>_xlfn.XLOOKUP(K736,Ташкилотлар39[Ташкилотлар],Ташкилотлар39[TashklilotID])</f>
        <v>#N/A</v>
      </c>
      <c r="M736" s="26"/>
      <c r="N736" s="26"/>
      <c r="O736" s="24"/>
      <c r="P736" s="2"/>
      <c r="Q736" s="26"/>
      <c r="R736" s="26"/>
      <c r="S736" s="26"/>
      <c r="T736" s="26"/>
      <c r="U736" s="24"/>
      <c r="V736" s="10" t="e">
        <f>_xlfn.XLOOKUP(U736,Таклифлар37[Таклифлар],Таклифлар37[TaklifID])</f>
        <v>#N/A</v>
      </c>
      <c r="W736" s="24"/>
      <c r="X736" s="23"/>
      <c r="Y736" s="7"/>
      <c r="Z736" s="26"/>
      <c r="AB736" s="23"/>
      <c r="AD736" s="2"/>
      <c r="AG736" s="23"/>
      <c r="AI736" s="26"/>
      <c r="AJ736" s="23"/>
      <c r="AM736" s="23"/>
      <c r="AO736" s="32"/>
      <c r="AP736" s="26"/>
      <c r="AR736" s="26"/>
      <c r="AS736" s="27"/>
      <c r="AT736" s="27"/>
      <c r="AU736" s="31"/>
      <c r="AV736" s="24"/>
      <c r="AW736"/>
      <c r="AX736"/>
      <c r="AY736"/>
      <c r="AZ736"/>
      <c r="BA736"/>
      <c r="BB736"/>
      <c r="BC736"/>
      <c r="BD736"/>
      <c r="BE736"/>
      <c r="BF736"/>
      <c r="BG736"/>
    </row>
    <row r="737" spans="2:59" x14ac:dyDescent="0.25">
      <c r="B737" s="22"/>
      <c r="C737" s="23"/>
      <c r="E737" s="23"/>
      <c r="F737" s="24"/>
      <c r="G737" s="2"/>
      <c r="H737" s="10" t="e">
        <f>_xlfn.XLOOKUP(F737,Viloyatlar24[RegionName],Viloyatlar24[RegionId])</f>
        <v>#N/A</v>
      </c>
      <c r="I737" s="10" t="e">
        <f>_xlfn.XLOOKUP('Кўчмас мулк объектлари'!G737,Tumanlar23[DistrictName],Tumanlar23[DistrictId])</f>
        <v>#N/A</v>
      </c>
      <c r="K737" s="24"/>
      <c r="L737" s="10" t="e">
        <f>_xlfn.XLOOKUP(K737,Ташкилотлар39[Ташкилотлар],Ташкилотлар39[TashklilotID])</f>
        <v>#N/A</v>
      </c>
      <c r="M737" s="26"/>
      <c r="N737" s="26"/>
      <c r="O737" s="24"/>
      <c r="P737" s="2"/>
      <c r="Q737" s="26"/>
      <c r="R737" s="26"/>
      <c r="S737" s="26"/>
      <c r="T737" s="26"/>
      <c r="U737" s="24"/>
      <c r="V737" s="10" t="e">
        <f>_xlfn.XLOOKUP(U737,Таклифлар37[Таклифлар],Таклифлар37[TaklifID])</f>
        <v>#N/A</v>
      </c>
      <c r="W737" s="24"/>
      <c r="X737" s="23"/>
      <c r="Y737" s="7"/>
      <c r="Z737" s="26"/>
      <c r="AB737" s="23"/>
      <c r="AD737" s="2"/>
      <c r="AG737" s="23"/>
      <c r="AI737" s="26"/>
      <c r="AJ737" s="23"/>
      <c r="AM737" s="23"/>
      <c r="AO737" s="32"/>
      <c r="AP737" s="26"/>
      <c r="AR737" s="26"/>
      <c r="AS737" s="27"/>
      <c r="AT737" s="27"/>
      <c r="AU737" s="31"/>
      <c r="AV737" s="24"/>
      <c r="AW737"/>
      <c r="AX737"/>
      <c r="AY737"/>
      <c r="AZ737"/>
      <c r="BA737"/>
      <c r="BB737"/>
      <c r="BC737"/>
      <c r="BD737"/>
      <c r="BE737"/>
      <c r="BF737"/>
      <c r="BG737"/>
    </row>
    <row r="738" spans="2:59" x14ac:dyDescent="0.25">
      <c r="B738" s="22"/>
      <c r="C738" s="23"/>
      <c r="E738" s="23"/>
      <c r="F738" s="24"/>
      <c r="G738" s="2"/>
      <c r="H738" s="10" t="e">
        <f>_xlfn.XLOOKUP(F738,Viloyatlar24[RegionName],Viloyatlar24[RegionId])</f>
        <v>#N/A</v>
      </c>
      <c r="I738" s="10" t="e">
        <f>_xlfn.XLOOKUP('Кўчмас мулк объектлари'!G738,Tumanlar23[DistrictName],Tumanlar23[DistrictId])</f>
        <v>#N/A</v>
      </c>
      <c r="K738" s="24"/>
      <c r="L738" s="10" t="e">
        <f>_xlfn.XLOOKUP(K738,Ташкилотлар39[Ташкилотлар],Ташкилотлар39[TashklilotID])</f>
        <v>#N/A</v>
      </c>
      <c r="M738" s="26"/>
      <c r="N738" s="26"/>
      <c r="O738" s="24"/>
      <c r="P738" s="2"/>
      <c r="Q738" s="26"/>
      <c r="R738" s="26"/>
      <c r="S738" s="26"/>
      <c r="T738" s="26"/>
      <c r="U738" s="24"/>
      <c r="V738" s="10" t="e">
        <f>_xlfn.XLOOKUP(U738,Таклифлар37[Таклифлар],Таклифлар37[TaklifID])</f>
        <v>#N/A</v>
      </c>
      <c r="W738" s="24"/>
      <c r="X738" s="23"/>
      <c r="Y738" s="7"/>
      <c r="Z738" s="26"/>
      <c r="AB738" s="23"/>
      <c r="AD738" s="2"/>
      <c r="AG738" s="23"/>
      <c r="AI738" s="26"/>
      <c r="AJ738" s="23"/>
      <c r="AM738" s="23"/>
      <c r="AO738" s="32"/>
      <c r="AP738" s="26"/>
      <c r="AR738" s="26"/>
      <c r="AS738" s="27"/>
      <c r="AT738" s="27"/>
      <c r="AU738" s="31"/>
      <c r="AV738" s="24"/>
      <c r="AW738"/>
      <c r="AX738"/>
      <c r="AY738"/>
      <c r="AZ738"/>
      <c r="BA738"/>
      <c r="BB738"/>
      <c r="BC738"/>
      <c r="BD738"/>
      <c r="BE738"/>
      <c r="BF738"/>
      <c r="BG738"/>
    </row>
    <row r="739" spans="2:59" x14ac:dyDescent="0.25">
      <c r="B739" s="22"/>
      <c r="C739" s="23"/>
      <c r="E739" s="23"/>
      <c r="F739" s="24"/>
      <c r="G739" s="2"/>
      <c r="H739" s="10" t="e">
        <f>_xlfn.XLOOKUP(F739,Viloyatlar24[RegionName],Viloyatlar24[RegionId])</f>
        <v>#N/A</v>
      </c>
      <c r="I739" s="10" t="e">
        <f>_xlfn.XLOOKUP('Кўчмас мулк объектлари'!G739,Tumanlar23[DistrictName],Tumanlar23[DistrictId])</f>
        <v>#N/A</v>
      </c>
      <c r="K739" s="24"/>
      <c r="L739" s="10" t="e">
        <f>_xlfn.XLOOKUP(K739,Ташкилотлар39[Ташкилотлар],Ташкилотлар39[TashklilotID])</f>
        <v>#N/A</v>
      </c>
      <c r="M739" s="26"/>
      <c r="N739" s="26"/>
      <c r="O739" s="24"/>
      <c r="P739" s="2"/>
      <c r="Q739" s="26"/>
      <c r="R739" s="26"/>
      <c r="S739" s="26"/>
      <c r="T739" s="26"/>
      <c r="U739" s="24"/>
      <c r="V739" s="10" t="e">
        <f>_xlfn.XLOOKUP(U739,Таклифлар37[Таклифлар],Таклифлар37[TaklifID])</f>
        <v>#N/A</v>
      </c>
      <c r="W739" s="24"/>
      <c r="X739" s="23"/>
      <c r="Y739" s="7"/>
      <c r="Z739" s="26"/>
      <c r="AB739" s="23"/>
      <c r="AD739" s="2"/>
      <c r="AG739" s="23"/>
      <c r="AI739" s="26"/>
      <c r="AJ739" s="23"/>
      <c r="AM739" s="23"/>
      <c r="AO739" s="32"/>
      <c r="AP739" s="26"/>
      <c r="AR739" s="26"/>
      <c r="AS739" s="27"/>
      <c r="AT739" s="27"/>
      <c r="AU739" s="31"/>
      <c r="AV739" s="24"/>
      <c r="AW739"/>
      <c r="AX739"/>
      <c r="AY739"/>
      <c r="AZ739"/>
      <c r="BA739"/>
      <c r="BB739"/>
      <c r="BC739"/>
      <c r="BD739"/>
      <c r="BE739"/>
      <c r="BF739"/>
      <c r="BG739"/>
    </row>
    <row r="740" spans="2:59" x14ac:dyDescent="0.25">
      <c r="B740" s="22"/>
      <c r="C740" s="23"/>
      <c r="E740" s="23"/>
      <c r="F740" s="24"/>
      <c r="G740" s="2"/>
      <c r="H740" s="10" t="e">
        <f>_xlfn.XLOOKUP(F740,Viloyatlar24[RegionName],Viloyatlar24[RegionId])</f>
        <v>#N/A</v>
      </c>
      <c r="I740" s="10" t="e">
        <f>_xlfn.XLOOKUP('Кўчмас мулк объектлари'!G740,Tumanlar23[DistrictName],Tumanlar23[DistrictId])</f>
        <v>#N/A</v>
      </c>
      <c r="K740" s="24"/>
      <c r="L740" s="10" t="e">
        <f>_xlfn.XLOOKUP(K740,Ташкилотлар39[Ташкилотлар],Ташкилотлар39[TashklilotID])</f>
        <v>#N/A</v>
      </c>
      <c r="M740" s="26"/>
      <c r="N740" s="26"/>
      <c r="O740" s="24"/>
      <c r="P740" s="2"/>
      <c r="Q740" s="26"/>
      <c r="R740" s="26"/>
      <c r="S740" s="26"/>
      <c r="T740" s="26"/>
      <c r="U740" s="24"/>
      <c r="V740" s="10" t="e">
        <f>_xlfn.XLOOKUP(U740,Таклифлар37[Таклифлар],Таклифлар37[TaklifID])</f>
        <v>#N/A</v>
      </c>
      <c r="W740" s="24"/>
      <c r="X740" s="23"/>
      <c r="Y740" s="7"/>
      <c r="Z740" s="26"/>
      <c r="AB740" s="23"/>
      <c r="AD740" s="2"/>
      <c r="AG740" s="23"/>
      <c r="AI740" s="26"/>
      <c r="AJ740" s="23"/>
      <c r="AM740" s="23"/>
      <c r="AO740" s="32"/>
      <c r="AP740" s="26"/>
      <c r="AR740" s="26"/>
      <c r="AS740" s="27"/>
      <c r="AT740" s="27"/>
      <c r="AU740" s="31"/>
      <c r="AV740" s="24"/>
      <c r="AW740"/>
      <c r="AX740"/>
      <c r="AY740"/>
      <c r="AZ740"/>
      <c r="BA740"/>
      <c r="BB740"/>
      <c r="BC740"/>
      <c r="BD740"/>
      <c r="BE740"/>
      <c r="BF740"/>
      <c r="BG740"/>
    </row>
    <row r="741" spans="2:59" x14ac:dyDescent="0.25">
      <c r="B741" s="22"/>
      <c r="C741" s="23"/>
      <c r="E741" s="23"/>
      <c r="F741" s="24"/>
      <c r="G741" s="2"/>
      <c r="H741" s="10" t="e">
        <f>_xlfn.XLOOKUP(F741,Viloyatlar24[RegionName],Viloyatlar24[RegionId])</f>
        <v>#N/A</v>
      </c>
      <c r="I741" s="10" t="e">
        <f>_xlfn.XLOOKUP('Кўчмас мулк объектлари'!G741,Tumanlar23[DistrictName],Tumanlar23[DistrictId])</f>
        <v>#N/A</v>
      </c>
      <c r="K741" s="24"/>
      <c r="L741" s="10" t="e">
        <f>_xlfn.XLOOKUP(K741,Ташкилотлар39[Ташкилотлар],Ташкилотлар39[TashklilotID])</f>
        <v>#N/A</v>
      </c>
      <c r="M741" s="26"/>
      <c r="N741" s="26"/>
      <c r="O741" s="24"/>
      <c r="P741" s="2"/>
      <c r="Q741" s="26"/>
      <c r="R741" s="26"/>
      <c r="S741" s="26"/>
      <c r="T741" s="26"/>
      <c r="U741" s="24"/>
      <c r="V741" s="10" t="e">
        <f>_xlfn.XLOOKUP(U741,Таклифлар37[Таклифлар],Таклифлар37[TaklifID])</f>
        <v>#N/A</v>
      </c>
      <c r="W741" s="24"/>
      <c r="X741" s="23"/>
      <c r="Y741" s="7"/>
      <c r="Z741" s="26"/>
      <c r="AB741" s="23"/>
      <c r="AD741" s="2"/>
      <c r="AG741" s="23"/>
      <c r="AI741" s="26"/>
      <c r="AJ741" s="23"/>
      <c r="AM741" s="23"/>
      <c r="AO741" s="32"/>
      <c r="AP741" s="26"/>
      <c r="AR741" s="26"/>
      <c r="AS741" s="27"/>
      <c r="AT741" s="27"/>
      <c r="AU741" s="31"/>
      <c r="AV741" s="24"/>
      <c r="AW741"/>
      <c r="AX741"/>
      <c r="AY741"/>
      <c r="AZ741"/>
      <c r="BA741"/>
      <c r="BB741"/>
      <c r="BC741"/>
      <c r="BD741"/>
      <c r="BE741"/>
      <c r="BF741"/>
      <c r="BG741"/>
    </row>
    <row r="742" spans="2:59" x14ac:dyDescent="0.25">
      <c r="B742" s="22"/>
      <c r="C742" s="23"/>
      <c r="E742" s="23"/>
      <c r="F742" s="24"/>
      <c r="G742" s="2"/>
      <c r="H742" s="10" t="e">
        <f>_xlfn.XLOOKUP(F742,Viloyatlar24[RegionName],Viloyatlar24[RegionId])</f>
        <v>#N/A</v>
      </c>
      <c r="I742" s="10" t="e">
        <f>_xlfn.XLOOKUP('Кўчмас мулк объектлари'!G742,Tumanlar23[DistrictName],Tumanlar23[DistrictId])</f>
        <v>#N/A</v>
      </c>
      <c r="K742" s="24"/>
      <c r="L742" s="10" t="e">
        <f>_xlfn.XLOOKUP(K742,Ташкилотлар39[Ташкилотлар],Ташкилотлар39[TashklilotID])</f>
        <v>#N/A</v>
      </c>
      <c r="M742" s="26"/>
      <c r="N742" s="26"/>
      <c r="O742" s="24"/>
      <c r="P742" s="2"/>
      <c r="Q742" s="26"/>
      <c r="R742" s="26"/>
      <c r="S742" s="26"/>
      <c r="T742" s="26"/>
      <c r="U742" s="24"/>
      <c r="V742" s="10" t="e">
        <f>_xlfn.XLOOKUP(U742,Таклифлар37[Таклифлар],Таклифлар37[TaklifID])</f>
        <v>#N/A</v>
      </c>
      <c r="W742" s="24"/>
      <c r="X742" s="23"/>
      <c r="Y742" s="7"/>
      <c r="Z742" s="26"/>
      <c r="AB742" s="23"/>
      <c r="AD742" s="2"/>
      <c r="AG742" s="23"/>
      <c r="AI742" s="26"/>
      <c r="AJ742" s="23"/>
      <c r="AM742" s="23"/>
      <c r="AO742" s="32"/>
      <c r="AP742" s="26"/>
      <c r="AR742" s="26"/>
      <c r="AS742" s="27"/>
      <c r="AT742" s="27"/>
      <c r="AU742" s="31"/>
      <c r="AV742" s="24"/>
      <c r="AW742"/>
      <c r="AX742"/>
      <c r="AY742"/>
      <c r="AZ742"/>
      <c r="BA742"/>
      <c r="BB742"/>
      <c r="BC742"/>
      <c r="BD742"/>
      <c r="BE742"/>
      <c r="BF742"/>
      <c r="BG742"/>
    </row>
    <row r="743" spans="2:59" x14ac:dyDescent="0.25">
      <c r="B743" s="22"/>
      <c r="C743" s="23"/>
      <c r="E743" s="23"/>
      <c r="F743" s="24"/>
      <c r="G743" s="2"/>
      <c r="H743" s="10" t="e">
        <f>_xlfn.XLOOKUP(F743,Viloyatlar24[RegionName],Viloyatlar24[RegionId])</f>
        <v>#N/A</v>
      </c>
      <c r="I743" s="10" t="e">
        <f>_xlfn.XLOOKUP('Кўчмас мулк объектлари'!G743,Tumanlar23[DistrictName],Tumanlar23[DistrictId])</f>
        <v>#N/A</v>
      </c>
      <c r="K743" s="24"/>
      <c r="L743" s="10" t="e">
        <f>_xlfn.XLOOKUP(K743,Ташкилотлар39[Ташкилотлар],Ташкилотлар39[TashklilotID])</f>
        <v>#N/A</v>
      </c>
      <c r="M743" s="26"/>
      <c r="N743" s="26"/>
      <c r="O743" s="24"/>
      <c r="P743" s="2"/>
      <c r="Q743" s="26"/>
      <c r="R743" s="26"/>
      <c r="S743" s="26"/>
      <c r="T743" s="26"/>
      <c r="U743" s="24"/>
      <c r="V743" s="10" t="e">
        <f>_xlfn.XLOOKUP(U743,Таклифлар37[Таклифлар],Таклифлар37[TaklifID])</f>
        <v>#N/A</v>
      </c>
      <c r="W743" s="24"/>
      <c r="X743" s="23"/>
      <c r="Y743" s="7"/>
      <c r="Z743" s="26"/>
      <c r="AB743" s="23"/>
      <c r="AD743" s="2"/>
      <c r="AG743" s="23"/>
      <c r="AI743" s="26"/>
      <c r="AJ743" s="23"/>
      <c r="AM743" s="23"/>
      <c r="AO743" s="32"/>
      <c r="AP743" s="26"/>
      <c r="AR743" s="26"/>
      <c r="AS743" s="27"/>
      <c r="AT743" s="27"/>
      <c r="AU743" s="31"/>
      <c r="AV743" s="24"/>
      <c r="AW743"/>
      <c r="AX743"/>
      <c r="AY743"/>
      <c r="AZ743"/>
      <c r="BA743"/>
      <c r="BB743"/>
      <c r="BC743"/>
      <c r="BD743"/>
      <c r="BE743"/>
      <c r="BF743"/>
      <c r="BG743"/>
    </row>
    <row r="744" spans="2:59" x14ac:dyDescent="0.25">
      <c r="B744" s="22"/>
      <c r="C744" s="23"/>
      <c r="E744" s="23"/>
      <c r="F744" s="24"/>
      <c r="G744" s="2"/>
      <c r="H744" s="10" t="e">
        <f>_xlfn.XLOOKUP(F744,Viloyatlar24[RegionName],Viloyatlar24[RegionId])</f>
        <v>#N/A</v>
      </c>
      <c r="I744" s="10" t="e">
        <f>_xlfn.XLOOKUP('Кўчмас мулк объектлари'!G744,Tumanlar23[DistrictName],Tumanlar23[DistrictId])</f>
        <v>#N/A</v>
      </c>
      <c r="K744" s="24"/>
      <c r="L744" s="10" t="e">
        <f>_xlfn.XLOOKUP(K744,Ташкилотлар39[Ташкилотлар],Ташкилотлар39[TashklilotID])</f>
        <v>#N/A</v>
      </c>
      <c r="M744" s="26"/>
      <c r="N744" s="26"/>
      <c r="O744" s="24"/>
      <c r="P744" s="2"/>
      <c r="Q744" s="26"/>
      <c r="R744" s="26"/>
      <c r="S744" s="26"/>
      <c r="T744" s="26"/>
      <c r="U744" s="24"/>
      <c r="V744" s="10" t="e">
        <f>_xlfn.XLOOKUP(U744,Таклифлар37[Таклифлар],Таклифлар37[TaklifID])</f>
        <v>#N/A</v>
      </c>
      <c r="W744" s="24"/>
      <c r="X744" s="23"/>
      <c r="Y744" s="7"/>
      <c r="Z744" s="26"/>
      <c r="AB744" s="23"/>
      <c r="AD744" s="2"/>
      <c r="AG744" s="23"/>
      <c r="AI744" s="26"/>
      <c r="AJ744" s="23"/>
      <c r="AM744" s="23"/>
      <c r="AO744" s="32"/>
      <c r="AP744" s="26"/>
      <c r="AR744" s="26"/>
      <c r="AS744" s="27"/>
      <c r="AT744" s="27"/>
      <c r="AU744" s="31"/>
      <c r="AV744" s="24"/>
      <c r="AW744"/>
      <c r="AX744"/>
      <c r="AY744"/>
      <c r="AZ744"/>
      <c r="BA744"/>
      <c r="BB744"/>
      <c r="BC744"/>
      <c r="BD744"/>
      <c r="BE744"/>
      <c r="BF744"/>
      <c r="BG744"/>
    </row>
    <row r="745" spans="2:59" x14ac:dyDescent="0.25">
      <c r="B745" s="22"/>
      <c r="C745" s="23"/>
      <c r="E745" s="23"/>
      <c r="F745" s="24"/>
      <c r="G745" s="2"/>
      <c r="H745" s="10" t="e">
        <f>_xlfn.XLOOKUP(F745,Viloyatlar24[RegionName],Viloyatlar24[RegionId])</f>
        <v>#N/A</v>
      </c>
      <c r="I745" s="10" t="e">
        <f>_xlfn.XLOOKUP('Кўчмас мулк объектлари'!G745,Tumanlar23[DistrictName],Tumanlar23[DistrictId])</f>
        <v>#N/A</v>
      </c>
      <c r="K745" s="24"/>
      <c r="L745" s="10" t="e">
        <f>_xlfn.XLOOKUP(K745,Ташкилотлар39[Ташкилотлар],Ташкилотлар39[TashklilotID])</f>
        <v>#N/A</v>
      </c>
      <c r="M745" s="26"/>
      <c r="N745" s="26"/>
      <c r="O745" s="24"/>
      <c r="P745" s="2"/>
      <c r="Q745" s="26"/>
      <c r="R745" s="26"/>
      <c r="S745" s="26"/>
      <c r="T745" s="26"/>
      <c r="U745" s="24"/>
      <c r="V745" s="10" t="e">
        <f>_xlfn.XLOOKUP(U745,Таклифлар37[Таклифлар],Таклифлар37[TaklifID])</f>
        <v>#N/A</v>
      </c>
      <c r="W745" s="24"/>
      <c r="X745" s="23"/>
      <c r="Y745" s="7"/>
      <c r="Z745" s="26"/>
      <c r="AB745" s="23"/>
      <c r="AD745" s="2"/>
      <c r="AG745" s="23"/>
      <c r="AI745" s="26"/>
      <c r="AJ745" s="23"/>
      <c r="AM745" s="23"/>
      <c r="AO745" s="32"/>
      <c r="AP745" s="26"/>
      <c r="AR745" s="26"/>
      <c r="AS745" s="27"/>
      <c r="AT745" s="27"/>
      <c r="AU745" s="31"/>
      <c r="AV745" s="24"/>
      <c r="AW745"/>
      <c r="AX745"/>
      <c r="AY745"/>
      <c r="AZ745"/>
      <c r="BA745"/>
      <c r="BB745"/>
      <c r="BC745"/>
      <c r="BD745"/>
      <c r="BE745"/>
      <c r="BF745"/>
      <c r="BG745"/>
    </row>
    <row r="746" spans="2:59" x14ac:dyDescent="0.25">
      <c r="B746" s="22"/>
      <c r="C746" s="23"/>
      <c r="E746" s="23"/>
      <c r="F746" s="24"/>
      <c r="G746" s="2"/>
      <c r="H746" s="10" t="e">
        <f>_xlfn.XLOOKUP(F746,Viloyatlar24[RegionName],Viloyatlar24[RegionId])</f>
        <v>#N/A</v>
      </c>
      <c r="I746" s="10" t="e">
        <f>_xlfn.XLOOKUP('Кўчмас мулк объектлари'!G746,Tumanlar23[DistrictName],Tumanlar23[DistrictId])</f>
        <v>#N/A</v>
      </c>
      <c r="K746" s="24"/>
      <c r="L746" s="10" t="e">
        <f>_xlfn.XLOOKUP(K746,Ташкилотлар39[Ташкилотлар],Ташкилотлар39[TashklilotID])</f>
        <v>#N/A</v>
      </c>
      <c r="M746" s="26"/>
      <c r="N746" s="26"/>
      <c r="O746" s="24"/>
      <c r="P746" s="2"/>
      <c r="Q746" s="26"/>
      <c r="R746" s="26"/>
      <c r="S746" s="26"/>
      <c r="T746" s="26"/>
      <c r="U746" s="24"/>
      <c r="V746" s="10" t="e">
        <f>_xlfn.XLOOKUP(U746,Таклифлар37[Таклифлар],Таклифлар37[TaklifID])</f>
        <v>#N/A</v>
      </c>
      <c r="W746" s="24"/>
      <c r="X746" s="23"/>
      <c r="Y746" s="7"/>
      <c r="Z746" s="26"/>
      <c r="AB746" s="23"/>
      <c r="AD746" s="2"/>
      <c r="AG746" s="23"/>
      <c r="AI746" s="26"/>
      <c r="AJ746" s="23"/>
      <c r="AM746" s="23"/>
      <c r="AO746" s="32"/>
      <c r="AP746" s="26"/>
      <c r="AR746" s="26"/>
      <c r="AS746" s="27"/>
      <c r="AT746" s="27"/>
      <c r="AU746" s="31"/>
      <c r="AV746" s="24"/>
      <c r="AW746"/>
      <c r="AX746"/>
      <c r="AY746"/>
      <c r="AZ746"/>
      <c r="BA746"/>
      <c r="BB746"/>
      <c r="BC746"/>
      <c r="BD746"/>
      <c r="BE746"/>
      <c r="BF746"/>
      <c r="BG746"/>
    </row>
    <row r="747" spans="2:59" x14ac:dyDescent="0.25">
      <c r="B747" s="22"/>
      <c r="C747" s="23"/>
      <c r="E747" s="23"/>
      <c r="F747" s="24"/>
      <c r="G747" s="2"/>
      <c r="H747" s="10" t="e">
        <f>_xlfn.XLOOKUP(F747,Viloyatlar24[RegionName],Viloyatlar24[RegionId])</f>
        <v>#N/A</v>
      </c>
      <c r="I747" s="10" t="e">
        <f>_xlfn.XLOOKUP('Кўчмас мулк объектлари'!G747,Tumanlar23[DistrictName],Tumanlar23[DistrictId])</f>
        <v>#N/A</v>
      </c>
      <c r="K747" s="24"/>
      <c r="L747" s="10" t="e">
        <f>_xlfn.XLOOKUP(K747,Ташкилотлар39[Ташкилотлар],Ташкилотлар39[TashklilotID])</f>
        <v>#N/A</v>
      </c>
      <c r="M747" s="26"/>
      <c r="N747" s="26"/>
      <c r="O747" s="24"/>
      <c r="P747" s="2"/>
      <c r="Q747" s="26"/>
      <c r="R747" s="26"/>
      <c r="S747" s="26"/>
      <c r="T747" s="26"/>
      <c r="U747" s="24"/>
      <c r="V747" s="10" t="e">
        <f>_xlfn.XLOOKUP(U747,Таклифлар37[Таклифлар],Таклифлар37[TaklifID])</f>
        <v>#N/A</v>
      </c>
      <c r="W747" s="24"/>
      <c r="X747" s="23"/>
      <c r="Y747" s="7"/>
      <c r="Z747" s="26"/>
      <c r="AB747" s="23"/>
      <c r="AD747" s="2"/>
      <c r="AG747" s="23"/>
      <c r="AI747" s="26"/>
      <c r="AJ747" s="23"/>
      <c r="AM747" s="23"/>
      <c r="AO747" s="32"/>
      <c r="AP747" s="26"/>
      <c r="AR747" s="26"/>
      <c r="AS747" s="27"/>
      <c r="AT747" s="27"/>
      <c r="AU747" s="31"/>
      <c r="AV747" s="24"/>
      <c r="AW747"/>
      <c r="AX747"/>
      <c r="AY747"/>
      <c r="AZ747"/>
      <c r="BA747"/>
      <c r="BB747"/>
      <c r="BC747"/>
      <c r="BD747"/>
      <c r="BE747"/>
      <c r="BF747"/>
      <c r="BG747"/>
    </row>
    <row r="748" spans="2:59" x14ac:dyDescent="0.25">
      <c r="B748" s="22"/>
      <c r="C748" s="23"/>
      <c r="E748" s="23"/>
      <c r="F748" s="24"/>
      <c r="G748" s="2"/>
      <c r="H748" s="10" t="e">
        <f>_xlfn.XLOOKUP(F748,Viloyatlar24[RegionName],Viloyatlar24[RegionId])</f>
        <v>#N/A</v>
      </c>
      <c r="I748" s="10" t="e">
        <f>_xlfn.XLOOKUP('Кўчмас мулк объектлари'!G748,Tumanlar23[DistrictName],Tumanlar23[DistrictId])</f>
        <v>#N/A</v>
      </c>
      <c r="K748" s="24"/>
      <c r="L748" s="10" t="e">
        <f>_xlfn.XLOOKUP(K748,Ташкилотлар39[Ташкилотлар],Ташкилотлар39[TashklilotID])</f>
        <v>#N/A</v>
      </c>
      <c r="M748" s="26"/>
      <c r="N748" s="26"/>
      <c r="O748" s="24"/>
      <c r="P748" s="2"/>
      <c r="Q748" s="26"/>
      <c r="R748" s="26"/>
      <c r="S748" s="26"/>
      <c r="T748" s="26"/>
      <c r="U748" s="24"/>
      <c r="V748" s="10" t="e">
        <f>_xlfn.XLOOKUP(U748,Таклифлар37[Таклифлар],Таклифлар37[TaklifID])</f>
        <v>#N/A</v>
      </c>
      <c r="W748" s="24"/>
      <c r="X748" s="23"/>
      <c r="Y748" s="7"/>
      <c r="Z748" s="26"/>
      <c r="AB748" s="23"/>
      <c r="AD748" s="2"/>
      <c r="AG748" s="23"/>
      <c r="AI748" s="26"/>
      <c r="AJ748" s="23"/>
      <c r="AM748" s="23"/>
      <c r="AO748" s="32"/>
      <c r="AP748" s="26"/>
      <c r="AR748" s="26"/>
      <c r="AS748" s="27"/>
      <c r="AT748" s="27"/>
      <c r="AU748" s="31"/>
      <c r="AV748" s="24"/>
      <c r="AW748"/>
      <c r="AX748"/>
      <c r="AY748"/>
      <c r="AZ748"/>
      <c r="BA748"/>
      <c r="BB748"/>
      <c r="BC748"/>
      <c r="BD748"/>
      <c r="BE748"/>
      <c r="BF748"/>
      <c r="BG748"/>
    </row>
    <row r="749" spans="2:59" x14ac:dyDescent="0.25">
      <c r="B749" s="22"/>
      <c r="C749" s="23"/>
      <c r="E749" s="23"/>
      <c r="F749" s="24"/>
      <c r="G749" s="2"/>
      <c r="H749" s="10" t="e">
        <f>_xlfn.XLOOKUP(F749,Viloyatlar24[RegionName],Viloyatlar24[RegionId])</f>
        <v>#N/A</v>
      </c>
      <c r="I749" s="10" t="e">
        <f>_xlfn.XLOOKUP('Кўчмас мулк объектлари'!G749,Tumanlar23[DistrictName],Tumanlar23[DistrictId])</f>
        <v>#N/A</v>
      </c>
      <c r="K749" s="24"/>
      <c r="L749" s="10" t="e">
        <f>_xlfn.XLOOKUP(K749,Ташкилотлар39[Ташкилотлар],Ташкилотлар39[TashklilotID])</f>
        <v>#N/A</v>
      </c>
      <c r="M749" s="26"/>
      <c r="N749" s="26"/>
      <c r="O749" s="24"/>
      <c r="P749" s="2"/>
      <c r="Q749" s="26"/>
      <c r="R749" s="26"/>
      <c r="S749" s="26"/>
      <c r="T749" s="26"/>
      <c r="U749" s="24"/>
      <c r="V749" s="10" t="e">
        <f>_xlfn.XLOOKUP(U749,Таклифлар37[Таклифлар],Таклифлар37[TaklifID])</f>
        <v>#N/A</v>
      </c>
      <c r="W749" s="24"/>
      <c r="X749" s="23"/>
      <c r="Y749" s="7"/>
      <c r="Z749" s="26"/>
      <c r="AB749" s="23"/>
      <c r="AD749" s="2"/>
      <c r="AG749" s="23"/>
      <c r="AI749" s="26"/>
      <c r="AJ749" s="23"/>
      <c r="AM749" s="23"/>
      <c r="AO749" s="32"/>
      <c r="AP749" s="26"/>
      <c r="AR749" s="26"/>
      <c r="AS749" s="27"/>
      <c r="AT749" s="27"/>
      <c r="AU749" s="31"/>
      <c r="AV749" s="24"/>
      <c r="AW749"/>
      <c r="AX749"/>
      <c r="AY749"/>
      <c r="AZ749"/>
      <c r="BA749"/>
      <c r="BB749"/>
      <c r="BC749"/>
      <c r="BD749"/>
      <c r="BE749"/>
      <c r="BF749"/>
      <c r="BG749"/>
    </row>
    <row r="750" spans="2:59" x14ac:dyDescent="0.25">
      <c r="B750" s="22"/>
      <c r="C750" s="23"/>
      <c r="E750" s="23"/>
      <c r="F750" s="24"/>
      <c r="G750" s="2"/>
      <c r="H750" s="10" t="e">
        <f>_xlfn.XLOOKUP(F750,Viloyatlar24[RegionName],Viloyatlar24[RegionId])</f>
        <v>#N/A</v>
      </c>
      <c r="I750" s="10" t="e">
        <f>_xlfn.XLOOKUP('Кўчмас мулк объектлари'!G750,Tumanlar23[DistrictName],Tumanlar23[DistrictId])</f>
        <v>#N/A</v>
      </c>
      <c r="K750" s="24"/>
      <c r="L750" s="10" t="e">
        <f>_xlfn.XLOOKUP(K750,Ташкилотлар39[Ташкилотлар],Ташкилотлар39[TashklilotID])</f>
        <v>#N/A</v>
      </c>
      <c r="M750" s="26"/>
      <c r="N750" s="26"/>
      <c r="O750" s="24"/>
      <c r="P750" s="2"/>
      <c r="Q750" s="26"/>
      <c r="R750" s="26"/>
      <c r="S750" s="26"/>
      <c r="T750" s="26"/>
      <c r="U750" s="24"/>
      <c r="V750" s="10" t="e">
        <f>_xlfn.XLOOKUP(U750,Таклифлар37[Таклифлар],Таклифлар37[TaklifID])</f>
        <v>#N/A</v>
      </c>
      <c r="W750" s="24"/>
      <c r="X750" s="23"/>
      <c r="Y750" s="7"/>
      <c r="Z750" s="26"/>
      <c r="AB750" s="23"/>
      <c r="AD750" s="2"/>
      <c r="AG750" s="23"/>
      <c r="AI750" s="26"/>
      <c r="AJ750" s="23"/>
      <c r="AM750" s="23"/>
      <c r="AO750" s="32"/>
      <c r="AP750" s="26"/>
      <c r="AR750" s="26"/>
      <c r="AS750" s="27"/>
      <c r="AT750" s="27"/>
      <c r="AU750" s="31"/>
      <c r="AV750" s="24"/>
      <c r="AW750"/>
      <c r="AX750"/>
      <c r="AY750"/>
      <c r="AZ750"/>
      <c r="BA750"/>
      <c r="BB750"/>
      <c r="BC750"/>
      <c r="BD750"/>
      <c r="BE750"/>
      <c r="BF750"/>
      <c r="BG750"/>
    </row>
    <row r="751" spans="2:59" x14ac:dyDescent="0.25">
      <c r="B751" s="22"/>
      <c r="C751" s="23"/>
      <c r="E751" s="23"/>
      <c r="F751" s="24"/>
      <c r="G751" s="2"/>
      <c r="H751" s="10" t="e">
        <f>_xlfn.XLOOKUP(F751,Viloyatlar24[RegionName],Viloyatlar24[RegionId])</f>
        <v>#N/A</v>
      </c>
      <c r="I751" s="10" t="e">
        <f>_xlfn.XLOOKUP('Кўчмас мулк объектлари'!G751,Tumanlar23[DistrictName],Tumanlar23[DistrictId])</f>
        <v>#N/A</v>
      </c>
      <c r="K751" s="24"/>
      <c r="L751" s="10" t="e">
        <f>_xlfn.XLOOKUP(K751,Ташкилотлар39[Ташкилотлар],Ташкилотлар39[TashklilotID])</f>
        <v>#N/A</v>
      </c>
      <c r="M751" s="26"/>
      <c r="N751" s="26"/>
      <c r="O751" s="24"/>
      <c r="P751" s="2"/>
      <c r="Q751" s="26"/>
      <c r="R751" s="26"/>
      <c r="S751" s="26"/>
      <c r="T751" s="26"/>
      <c r="U751" s="24"/>
      <c r="V751" s="10" t="e">
        <f>_xlfn.XLOOKUP(U751,Таклифлар37[Таклифлар],Таклифлар37[TaklifID])</f>
        <v>#N/A</v>
      </c>
      <c r="W751" s="24"/>
      <c r="X751" s="23"/>
      <c r="Y751" s="7"/>
      <c r="Z751" s="26"/>
      <c r="AB751" s="23"/>
      <c r="AD751" s="2"/>
      <c r="AG751" s="23"/>
      <c r="AI751" s="26"/>
      <c r="AJ751" s="23"/>
      <c r="AM751" s="23"/>
      <c r="AO751" s="32"/>
      <c r="AP751" s="26"/>
      <c r="AR751" s="26"/>
      <c r="AS751" s="27"/>
      <c r="AT751" s="27"/>
      <c r="AU751" s="31"/>
      <c r="AV751" s="24"/>
      <c r="AW751"/>
      <c r="AX751"/>
      <c r="AY751"/>
      <c r="AZ751"/>
      <c r="BA751"/>
      <c r="BB751"/>
      <c r="BC751"/>
      <c r="BD751"/>
      <c r="BE751"/>
      <c r="BF751"/>
      <c r="BG751"/>
    </row>
    <row r="752" spans="2:59" x14ac:dyDescent="0.25">
      <c r="B752" s="22"/>
      <c r="C752" s="23"/>
      <c r="E752" s="23"/>
      <c r="F752" s="24"/>
      <c r="G752" s="2"/>
      <c r="H752" s="10" t="e">
        <f>_xlfn.XLOOKUP(F752,Viloyatlar24[RegionName],Viloyatlar24[RegionId])</f>
        <v>#N/A</v>
      </c>
      <c r="I752" s="10" t="e">
        <f>_xlfn.XLOOKUP('Кўчмас мулк объектлари'!G752,Tumanlar23[DistrictName],Tumanlar23[DistrictId])</f>
        <v>#N/A</v>
      </c>
      <c r="K752" s="24"/>
      <c r="L752" s="10" t="e">
        <f>_xlfn.XLOOKUP(K752,Ташкилотлар39[Ташкилотлар],Ташкилотлар39[TashklilotID])</f>
        <v>#N/A</v>
      </c>
      <c r="M752" s="26"/>
      <c r="N752" s="26"/>
      <c r="O752" s="24"/>
      <c r="P752" s="2"/>
      <c r="Q752" s="26"/>
      <c r="R752" s="26"/>
      <c r="S752" s="26"/>
      <c r="T752" s="26"/>
      <c r="U752" s="24"/>
      <c r="V752" s="10" t="e">
        <f>_xlfn.XLOOKUP(U752,Таклифлар37[Таклифлар],Таклифлар37[TaklifID])</f>
        <v>#N/A</v>
      </c>
      <c r="W752" s="24"/>
      <c r="X752" s="23"/>
      <c r="Y752" s="7"/>
      <c r="Z752" s="26"/>
      <c r="AB752" s="23"/>
      <c r="AD752" s="2"/>
      <c r="AG752" s="23"/>
      <c r="AI752" s="26"/>
      <c r="AJ752" s="23"/>
      <c r="AM752" s="23"/>
      <c r="AO752" s="32"/>
      <c r="AP752" s="26"/>
      <c r="AR752" s="26"/>
      <c r="AS752" s="27"/>
      <c r="AT752" s="27"/>
      <c r="AU752" s="31"/>
      <c r="AV752" s="24"/>
      <c r="AW752"/>
      <c r="AX752"/>
      <c r="AY752"/>
      <c r="AZ752"/>
      <c r="BA752"/>
      <c r="BB752"/>
      <c r="BC752"/>
      <c r="BD752"/>
      <c r="BE752"/>
      <c r="BF752"/>
      <c r="BG752"/>
    </row>
    <row r="753" spans="2:59" x14ac:dyDescent="0.25">
      <c r="B753" s="22"/>
      <c r="C753" s="23"/>
      <c r="E753" s="23"/>
      <c r="F753" s="24"/>
      <c r="G753" s="2"/>
      <c r="H753" s="10" t="e">
        <f>_xlfn.XLOOKUP(F753,Viloyatlar24[RegionName],Viloyatlar24[RegionId])</f>
        <v>#N/A</v>
      </c>
      <c r="I753" s="10" t="e">
        <f>_xlfn.XLOOKUP('Кўчмас мулк объектлари'!G753,Tumanlar23[DistrictName],Tumanlar23[DistrictId])</f>
        <v>#N/A</v>
      </c>
      <c r="K753" s="24"/>
      <c r="L753" s="10" t="e">
        <f>_xlfn.XLOOKUP(K753,Ташкилотлар39[Ташкилотлар],Ташкилотлар39[TashklilotID])</f>
        <v>#N/A</v>
      </c>
      <c r="M753" s="26"/>
      <c r="N753" s="26"/>
      <c r="O753" s="24"/>
      <c r="P753" s="2"/>
      <c r="Q753" s="26"/>
      <c r="R753" s="26"/>
      <c r="S753" s="26"/>
      <c r="T753" s="26"/>
      <c r="U753" s="24"/>
      <c r="V753" s="10" t="e">
        <f>_xlfn.XLOOKUP(U753,Таклифлар37[Таклифлар],Таклифлар37[TaklifID])</f>
        <v>#N/A</v>
      </c>
      <c r="W753" s="24"/>
      <c r="X753" s="23"/>
      <c r="Y753" s="7"/>
      <c r="Z753" s="26"/>
      <c r="AB753" s="23"/>
      <c r="AD753" s="2"/>
      <c r="AG753" s="23"/>
      <c r="AI753" s="26"/>
      <c r="AJ753" s="23"/>
      <c r="AM753" s="23"/>
      <c r="AO753" s="32"/>
      <c r="AP753" s="26"/>
      <c r="AR753" s="26"/>
      <c r="AS753" s="27"/>
      <c r="AT753" s="27"/>
      <c r="AU753" s="31"/>
      <c r="AV753" s="24"/>
      <c r="AW753"/>
      <c r="AX753"/>
      <c r="AY753"/>
      <c r="AZ753"/>
      <c r="BA753"/>
      <c r="BB753"/>
      <c r="BC753"/>
      <c r="BD753"/>
      <c r="BE753"/>
      <c r="BF753"/>
      <c r="BG753"/>
    </row>
    <row r="754" spans="2:59" x14ac:dyDescent="0.25">
      <c r="B754" s="22"/>
      <c r="C754" s="23"/>
      <c r="E754" s="23"/>
      <c r="F754" s="24"/>
      <c r="G754" s="2"/>
      <c r="H754" s="10" t="e">
        <f>_xlfn.XLOOKUP(F754,Viloyatlar24[RegionName],Viloyatlar24[RegionId])</f>
        <v>#N/A</v>
      </c>
      <c r="I754" s="10" t="e">
        <f>_xlfn.XLOOKUP('Кўчмас мулк объектлари'!G754,Tumanlar23[DistrictName],Tumanlar23[DistrictId])</f>
        <v>#N/A</v>
      </c>
      <c r="K754" s="24"/>
      <c r="L754" s="10" t="e">
        <f>_xlfn.XLOOKUP(K754,Ташкилотлар39[Ташкилотлар],Ташкилотлар39[TashklilotID])</f>
        <v>#N/A</v>
      </c>
      <c r="M754" s="26"/>
      <c r="N754" s="26"/>
      <c r="O754" s="24"/>
      <c r="P754" s="2"/>
      <c r="Q754" s="26"/>
      <c r="R754" s="26"/>
      <c r="S754" s="26"/>
      <c r="T754" s="26"/>
      <c r="U754" s="24"/>
      <c r="V754" s="10" t="e">
        <f>_xlfn.XLOOKUP(U754,Таклифлар37[Таклифлар],Таклифлар37[TaklifID])</f>
        <v>#N/A</v>
      </c>
      <c r="W754" s="24"/>
      <c r="X754" s="23"/>
      <c r="Y754" s="7"/>
      <c r="Z754" s="26"/>
      <c r="AB754" s="23"/>
      <c r="AD754" s="2"/>
      <c r="AG754" s="23"/>
      <c r="AI754" s="26"/>
      <c r="AJ754" s="23"/>
      <c r="AM754" s="23"/>
      <c r="AO754" s="32"/>
      <c r="AP754" s="26"/>
      <c r="AR754" s="26"/>
      <c r="AS754" s="27"/>
      <c r="AT754" s="27"/>
      <c r="AU754" s="31"/>
      <c r="AV754" s="24"/>
      <c r="AW754"/>
      <c r="AX754"/>
      <c r="AY754"/>
      <c r="AZ754"/>
      <c r="BA754"/>
      <c r="BB754"/>
      <c r="BC754"/>
      <c r="BD754"/>
      <c r="BE754"/>
      <c r="BF754"/>
      <c r="BG754"/>
    </row>
    <row r="755" spans="2:59" x14ac:dyDescent="0.25">
      <c r="B755" s="22"/>
      <c r="C755" s="23"/>
      <c r="E755" s="23"/>
      <c r="F755" s="24"/>
      <c r="G755" s="2"/>
      <c r="H755" s="10" t="e">
        <f>_xlfn.XLOOKUP(F755,Viloyatlar24[RegionName],Viloyatlar24[RegionId])</f>
        <v>#N/A</v>
      </c>
      <c r="I755" s="10" t="e">
        <f>_xlfn.XLOOKUP('Кўчмас мулк объектлари'!G755,Tumanlar23[DistrictName],Tumanlar23[DistrictId])</f>
        <v>#N/A</v>
      </c>
      <c r="K755" s="24"/>
      <c r="L755" s="10" t="e">
        <f>_xlfn.XLOOKUP(K755,Ташкилотлар39[Ташкилотлар],Ташкилотлар39[TashklilotID])</f>
        <v>#N/A</v>
      </c>
      <c r="M755" s="26"/>
      <c r="N755" s="26"/>
      <c r="O755" s="24"/>
      <c r="P755" s="2"/>
      <c r="Q755" s="26"/>
      <c r="R755" s="26"/>
      <c r="S755" s="26"/>
      <c r="T755" s="26"/>
      <c r="U755" s="24"/>
      <c r="V755" s="10" t="e">
        <f>_xlfn.XLOOKUP(U755,Таклифлар37[Таклифлар],Таклифлар37[TaklifID])</f>
        <v>#N/A</v>
      </c>
      <c r="W755" s="24"/>
      <c r="X755" s="23"/>
      <c r="Y755" s="7"/>
      <c r="Z755" s="26"/>
      <c r="AB755" s="23"/>
      <c r="AD755" s="2"/>
      <c r="AG755" s="23"/>
      <c r="AI755" s="26"/>
      <c r="AJ755" s="23"/>
      <c r="AM755" s="23"/>
      <c r="AO755" s="32"/>
      <c r="AP755" s="26"/>
      <c r="AR755" s="26"/>
      <c r="AS755" s="27"/>
      <c r="AT755" s="27"/>
      <c r="AU755" s="31"/>
      <c r="AV755" s="24"/>
      <c r="AW755"/>
      <c r="AX755"/>
      <c r="AY755"/>
      <c r="AZ755"/>
      <c r="BA755"/>
      <c r="BB755"/>
      <c r="BC755"/>
      <c r="BD755"/>
      <c r="BE755"/>
      <c r="BF755"/>
      <c r="BG755"/>
    </row>
    <row r="756" spans="2:59" x14ac:dyDescent="0.25">
      <c r="B756" s="22"/>
      <c r="C756" s="23"/>
      <c r="E756" s="23"/>
      <c r="F756" s="24"/>
      <c r="G756" s="2"/>
      <c r="H756" s="10" t="e">
        <f>_xlfn.XLOOKUP(F756,Viloyatlar24[RegionName],Viloyatlar24[RegionId])</f>
        <v>#N/A</v>
      </c>
      <c r="I756" s="10" t="e">
        <f>_xlfn.XLOOKUP('Кўчмас мулк объектлари'!G756,Tumanlar23[DistrictName],Tumanlar23[DistrictId])</f>
        <v>#N/A</v>
      </c>
      <c r="K756" s="24"/>
      <c r="L756" s="10" t="e">
        <f>_xlfn.XLOOKUP(K756,Ташкилотлар39[Ташкилотлар],Ташкилотлар39[TashklilotID])</f>
        <v>#N/A</v>
      </c>
      <c r="M756" s="26"/>
      <c r="N756" s="26"/>
      <c r="O756" s="24"/>
      <c r="P756" s="2"/>
      <c r="Q756" s="26"/>
      <c r="R756" s="26"/>
      <c r="S756" s="26"/>
      <c r="T756" s="26"/>
      <c r="U756" s="24"/>
      <c r="V756" s="10" t="e">
        <f>_xlfn.XLOOKUP(U756,Таклифлар37[Таклифлар],Таклифлар37[TaklifID])</f>
        <v>#N/A</v>
      </c>
      <c r="W756" s="24"/>
      <c r="X756" s="23"/>
      <c r="Y756" s="7"/>
      <c r="Z756" s="26"/>
      <c r="AB756" s="23"/>
      <c r="AD756" s="2"/>
      <c r="AG756" s="23"/>
      <c r="AI756" s="26"/>
      <c r="AJ756" s="23"/>
      <c r="AM756" s="23"/>
      <c r="AO756" s="32"/>
      <c r="AP756" s="26"/>
      <c r="AR756" s="26"/>
      <c r="AS756" s="27"/>
      <c r="AT756" s="27"/>
      <c r="AU756" s="31"/>
      <c r="AV756" s="24"/>
      <c r="AW756"/>
      <c r="AX756"/>
      <c r="AY756"/>
      <c r="AZ756"/>
      <c r="BA756"/>
      <c r="BB756"/>
      <c r="BC756"/>
      <c r="BD756"/>
      <c r="BE756"/>
      <c r="BF756"/>
      <c r="BG756"/>
    </row>
    <row r="757" spans="2:59" x14ac:dyDescent="0.25">
      <c r="B757" s="22"/>
      <c r="C757" s="23"/>
      <c r="E757" s="23"/>
      <c r="F757" s="24"/>
      <c r="G757" s="2"/>
      <c r="H757" s="10" t="e">
        <f>_xlfn.XLOOKUP(F757,Viloyatlar24[RegionName],Viloyatlar24[RegionId])</f>
        <v>#N/A</v>
      </c>
      <c r="I757" s="10" t="e">
        <f>_xlfn.XLOOKUP('Кўчмас мулк объектлари'!G757,Tumanlar23[DistrictName],Tumanlar23[DistrictId])</f>
        <v>#N/A</v>
      </c>
      <c r="K757" s="24"/>
      <c r="L757" s="10" t="e">
        <f>_xlfn.XLOOKUP(K757,Ташкилотлар39[Ташкилотлар],Ташкилотлар39[TashklilotID])</f>
        <v>#N/A</v>
      </c>
      <c r="M757" s="26"/>
      <c r="N757" s="26"/>
      <c r="O757" s="24"/>
      <c r="P757" s="2"/>
      <c r="Q757" s="26"/>
      <c r="R757" s="26"/>
      <c r="S757" s="26"/>
      <c r="T757" s="26"/>
      <c r="U757" s="24"/>
      <c r="V757" s="10" t="e">
        <f>_xlfn.XLOOKUP(U757,Таклифлар37[Таклифлар],Таклифлар37[TaklifID])</f>
        <v>#N/A</v>
      </c>
      <c r="W757" s="24"/>
      <c r="X757" s="23"/>
      <c r="Y757" s="7"/>
      <c r="Z757" s="26"/>
      <c r="AB757" s="23"/>
      <c r="AD757" s="2"/>
      <c r="AG757" s="23"/>
      <c r="AI757" s="26"/>
      <c r="AJ757" s="23"/>
      <c r="AM757" s="23"/>
      <c r="AO757" s="32"/>
      <c r="AP757" s="26"/>
      <c r="AR757" s="26"/>
      <c r="AS757" s="27"/>
      <c r="AT757" s="27"/>
      <c r="AU757" s="31"/>
      <c r="AV757" s="24"/>
      <c r="AW757"/>
      <c r="AX757"/>
      <c r="AY757"/>
      <c r="AZ757"/>
      <c r="BA757"/>
      <c r="BB757"/>
      <c r="BC757"/>
      <c r="BD757"/>
      <c r="BE757"/>
      <c r="BF757"/>
      <c r="BG757"/>
    </row>
    <row r="758" spans="2:59" x14ac:dyDescent="0.25">
      <c r="B758" s="22"/>
      <c r="C758" s="23"/>
      <c r="E758" s="23"/>
      <c r="F758" s="24"/>
      <c r="G758" s="2"/>
      <c r="H758" s="10" t="e">
        <f>_xlfn.XLOOKUP(F758,Viloyatlar24[RegionName],Viloyatlar24[RegionId])</f>
        <v>#N/A</v>
      </c>
      <c r="I758" s="10" t="e">
        <f>_xlfn.XLOOKUP('Кўчмас мулк объектлари'!G758,Tumanlar23[DistrictName],Tumanlar23[DistrictId])</f>
        <v>#N/A</v>
      </c>
      <c r="K758" s="24"/>
      <c r="L758" s="10" t="e">
        <f>_xlfn.XLOOKUP(K758,Ташкилотлар39[Ташкилотлар],Ташкилотлар39[TashklilotID])</f>
        <v>#N/A</v>
      </c>
      <c r="M758" s="26"/>
      <c r="N758" s="26"/>
      <c r="O758" s="24"/>
      <c r="P758" s="2"/>
      <c r="Q758" s="26"/>
      <c r="R758" s="26"/>
      <c r="S758" s="26"/>
      <c r="T758" s="26"/>
      <c r="U758" s="24"/>
      <c r="V758" s="10" t="e">
        <f>_xlfn.XLOOKUP(U758,Таклифлар37[Таклифлар],Таклифлар37[TaklifID])</f>
        <v>#N/A</v>
      </c>
      <c r="W758" s="24"/>
      <c r="X758" s="23"/>
      <c r="Y758" s="7"/>
      <c r="Z758" s="26"/>
      <c r="AB758" s="23"/>
      <c r="AD758" s="2"/>
      <c r="AG758" s="23"/>
      <c r="AI758" s="26"/>
      <c r="AJ758" s="23"/>
      <c r="AM758" s="23"/>
      <c r="AO758" s="32"/>
      <c r="AP758" s="26"/>
      <c r="AR758" s="26"/>
      <c r="AS758" s="27"/>
      <c r="AT758" s="27"/>
      <c r="AU758" s="31"/>
      <c r="AV758" s="24"/>
      <c r="AW758"/>
      <c r="AX758"/>
      <c r="AY758"/>
      <c r="AZ758"/>
      <c r="BA758"/>
      <c r="BB758"/>
      <c r="BC758"/>
      <c r="BD758"/>
      <c r="BE758"/>
      <c r="BF758"/>
      <c r="BG758"/>
    </row>
    <row r="759" spans="2:59" x14ac:dyDescent="0.25">
      <c r="B759" s="22"/>
      <c r="C759" s="23"/>
      <c r="E759" s="23"/>
      <c r="F759" s="24"/>
      <c r="G759" s="2"/>
      <c r="H759" s="10" t="e">
        <f>_xlfn.XLOOKUP(F759,Viloyatlar24[RegionName],Viloyatlar24[RegionId])</f>
        <v>#N/A</v>
      </c>
      <c r="I759" s="10" t="e">
        <f>_xlfn.XLOOKUP('Кўчмас мулк объектлари'!G759,Tumanlar23[DistrictName],Tumanlar23[DistrictId])</f>
        <v>#N/A</v>
      </c>
      <c r="K759" s="24"/>
      <c r="L759" s="10" t="e">
        <f>_xlfn.XLOOKUP(K759,Ташкилотлар39[Ташкилотлар],Ташкилотлар39[TashklilotID])</f>
        <v>#N/A</v>
      </c>
      <c r="M759" s="26"/>
      <c r="N759" s="26"/>
      <c r="O759" s="24"/>
      <c r="P759" s="2"/>
      <c r="Q759" s="26"/>
      <c r="R759" s="26"/>
      <c r="S759" s="26"/>
      <c r="T759" s="26"/>
      <c r="U759" s="24"/>
      <c r="V759" s="10" t="e">
        <f>_xlfn.XLOOKUP(U759,Таклифлар37[Таклифлар],Таклифлар37[TaklifID])</f>
        <v>#N/A</v>
      </c>
      <c r="W759" s="24"/>
      <c r="X759" s="23"/>
      <c r="Y759" s="7"/>
      <c r="Z759" s="26"/>
      <c r="AB759" s="23"/>
      <c r="AD759" s="2"/>
      <c r="AG759" s="23"/>
      <c r="AI759" s="26"/>
      <c r="AJ759" s="23"/>
      <c r="AM759" s="23"/>
      <c r="AO759" s="32"/>
      <c r="AP759" s="26"/>
      <c r="AR759" s="26"/>
      <c r="AS759" s="27"/>
      <c r="AT759" s="27"/>
      <c r="AU759" s="31"/>
      <c r="AV759" s="24"/>
      <c r="AW759"/>
      <c r="AX759"/>
      <c r="AY759"/>
      <c r="AZ759"/>
      <c r="BA759"/>
      <c r="BB759"/>
      <c r="BC759"/>
      <c r="BD759"/>
      <c r="BE759"/>
      <c r="BF759"/>
      <c r="BG759"/>
    </row>
    <row r="760" spans="2:59" x14ac:dyDescent="0.25">
      <c r="B760" s="22"/>
      <c r="C760" s="23"/>
      <c r="E760" s="23"/>
      <c r="F760" s="24"/>
      <c r="G760" s="2"/>
      <c r="H760" s="10" t="e">
        <f>_xlfn.XLOOKUP(F760,Viloyatlar24[RegionName],Viloyatlar24[RegionId])</f>
        <v>#N/A</v>
      </c>
      <c r="I760" s="10" t="e">
        <f>_xlfn.XLOOKUP('Кўчмас мулк объектлари'!G760,Tumanlar23[DistrictName],Tumanlar23[DistrictId])</f>
        <v>#N/A</v>
      </c>
      <c r="K760" s="24"/>
      <c r="L760" s="10" t="e">
        <f>_xlfn.XLOOKUP(K760,Ташкилотлар39[Ташкилотлар],Ташкилотлар39[TashklilotID])</f>
        <v>#N/A</v>
      </c>
      <c r="M760" s="26"/>
      <c r="N760" s="26"/>
      <c r="O760" s="24"/>
      <c r="P760" s="2"/>
      <c r="Q760" s="26"/>
      <c r="R760" s="26"/>
      <c r="S760" s="26"/>
      <c r="T760" s="26"/>
      <c r="U760" s="24"/>
      <c r="V760" s="10" t="e">
        <f>_xlfn.XLOOKUP(U760,Таклифлар37[Таклифлар],Таклифлар37[TaklifID])</f>
        <v>#N/A</v>
      </c>
      <c r="W760" s="24"/>
      <c r="X760" s="23"/>
      <c r="Y760" s="7"/>
      <c r="Z760" s="26"/>
      <c r="AB760" s="23"/>
      <c r="AD760" s="2"/>
      <c r="AG760" s="23"/>
      <c r="AI760" s="26"/>
      <c r="AJ760" s="23"/>
      <c r="AM760" s="23"/>
      <c r="AO760" s="32"/>
      <c r="AP760" s="26"/>
      <c r="AR760" s="26"/>
      <c r="AS760" s="27"/>
      <c r="AT760" s="27"/>
      <c r="AU760" s="31"/>
      <c r="AV760" s="24"/>
      <c r="AW760"/>
      <c r="AX760"/>
      <c r="AY760"/>
      <c r="AZ760"/>
      <c r="BA760"/>
      <c r="BB760"/>
      <c r="BC760"/>
      <c r="BD760"/>
      <c r="BE760"/>
      <c r="BF760"/>
      <c r="BG760"/>
    </row>
    <row r="761" spans="2:59" x14ac:dyDescent="0.25">
      <c r="B761" s="22"/>
      <c r="C761" s="23"/>
      <c r="E761" s="23"/>
      <c r="F761" s="24"/>
      <c r="G761" s="2"/>
      <c r="H761" s="10" t="e">
        <f>_xlfn.XLOOKUP(F761,Viloyatlar24[RegionName],Viloyatlar24[RegionId])</f>
        <v>#N/A</v>
      </c>
      <c r="I761" s="10" t="e">
        <f>_xlfn.XLOOKUP('Кўчмас мулк объектлари'!G761,Tumanlar23[DistrictName],Tumanlar23[DistrictId])</f>
        <v>#N/A</v>
      </c>
      <c r="K761" s="24"/>
      <c r="L761" s="10" t="e">
        <f>_xlfn.XLOOKUP(K761,Ташкилотлар39[Ташкилотлар],Ташкилотлар39[TashklilotID])</f>
        <v>#N/A</v>
      </c>
      <c r="M761" s="26"/>
      <c r="N761" s="26"/>
      <c r="O761" s="24"/>
      <c r="P761" s="2"/>
      <c r="Q761" s="26"/>
      <c r="R761" s="26"/>
      <c r="S761" s="26"/>
      <c r="T761" s="26"/>
      <c r="U761" s="24"/>
      <c r="V761" s="10" t="e">
        <f>_xlfn.XLOOKUP(U761,Таклифлар37[Таклифлар],Таклифлар37[TaklifID])</f>
        <v>#N/A</v>
      </c>
      <c r="W761" s="24"/>
      <c r="X761" s="23"/>
      <c r="Y761" s="7"/>
      <c r="Z761" s="26"/>
      <c r="AB761" s="23"/>
      <c r="AD761" s="2"/>
      <c r="AG761" s="23"/>
      <c r="AI761" s="26"/>
      <c r="AJ761" s="23"/>
      <c r="AM761" s="23"/>
      <c r="AO761" s="32"/>
      <c r="AP761" s="26"/>
      <c r="AR761" s="26"/>
      <c r="AS761" s="27"/>
      <c r="AT761" s="27"/>
      <c r="AU761" s="31"/>
      <c r="AV761" s="24"/>
      <c r="AW761"/>
      <c r="AX761"/>
      <c r="AY761"/>
      <c r="AZ761"/>
      <c r="BA761"/>
      <c r="BB761"/>
      <c r="BC761"/>
      <c r="BD761"/>
      <c r="BE761"/>
      <c r="BF761"/>
      <c r="BG761"/>
    </row>
    <row r="762" spans="2:59" x14ac:dyDescent="0.25">
      <c r="B762" s="22"/>
      <c r="C762" s="23"/>
      <c r="E762" s="23"/>
      <c r="F762" s="24"/>
      <c r="G762" s="2"/>
      <c r="H762" s="10" t="e">
        <f>_xlfn.XLOOKUP(F762,Viloyatlar24[RegionName],Viloyatlar24[RegionId])</f>
        <v>#N/A</v>
      </c>
      <c r="I762" s="10" t="e">
        <f>_xlfn.XLOOKUP('Кўчмас мулк объектлари'!G762,Tumanlar23[DistrictName],Tumanlar23[DistrictId])</f>
        <v>#N/A</v>
      </c>
      <c r="K762" s="24"/>
      <c r="L762" s="10" t="e">
        <f>_xlfn.XLOOKUP(K762,Ташкилотлар39[Ташкилотлар],Ташкилотлар39[TashklilotID])</f>
        <v>#N/A</v>
      </c>
      <c r="M762" s="26"/>
      <c r="N762" s="26"/>
      <c r="O762" s="24"/>
      <c r="P762" s="2"/>
      <c r="Q762" s="26"/>
      <c r="R762" s="26"/>
      <c r="S762" s="26"/>
      <c r="T762" s="26"/>
      <c r="U762" s="24"/>
      <c r="V762" s="10" t="e">
        <f>_xlfn.XLOOKUP(U762,Таклифлар37[Таклифлар],Таклифлар37[TaklifID])</f>
        <v>#N/A</v>
      </c>
      <c r="W762" s="24"/>
      <c r="X762" s="23"/>
      <c r="Y762" s="7"/>
      <c r="Z762" s="26"/>
      <c r="AB762" s="23"/>
      <c r="AD762" s="2"/>
      <c r="AG762" s="23"/>
      <c r="AI762" s="26"/>
      <c r="AJ762" s="23"/>
      <c r="AM762" s="23"/>
      <c r="AO762" s="32"/>
      <c r="AP762" s="26"/>
      <c r="AR762" s="26"/>
      <c r="AS762" s="27"/>
      <c r="AT762" s="27"/>
      <c r="AU762" s="31"/>
      <c r="AV762" s="24"/>
      <c r="AW762"/>
      <c r="AX762"/>
      <c r="AY762"/>
      <c r="AZ762"/>
      <c r="BA762"/>
      <c r="BB762"/>
      <c r="BC762"/>
      <c r="BD762"/>
      <c r="BE762"/>
      <c r="BF762"/>
      <c r="BG762"/>
    </row>
    <row r="763" spans="2:59" x14ac:dyDescent="0.25">
      <c r="B763" s="22"/>
      <c r="C763" s="23"/>
      <c r="E763" s="23"/>
      <c r="F763" s="24"/>
      <c r="G763" s="2"/>
      <c r="H763" s="10" t="e">
        <f>_xlfn.XLOOKUP(F763,Viloyatlar24[RegionName],Viloyatlar24[RegionId])</f>
        <v>#N/A</v>
      </c>
      <c r="I763" s="10" t="e">
        <f>_xlfn.XLOOKUP('Кўчмас мулк объектлари'!G763,Tumanlar23[DistrictName],Tumanlar23[DistrictId])</f>
        <v>#N/A</v>
      </c>
      <c r="K763" s="24"/>
      <c r="L763" s="10" t="e">
        <f>_xlfn.XLOOKUP(K763,Ташкилотлар39[Ташкилотлар],Ташкилотлар39[TashklilotID])</f>
        <v>#N/A</v>
      </c>
      <c r="M763" s="26"/>
      <c r="N763" s="26"/>
      <c r="O763" s="24"/>
      <c r="P763" s="2"/>
      <c r="Q763" s="26"/>
      <c r="R763" s="26"/>
      <c r="S763" s="26"/>
      <c r="T763" s="26"/>
      <c r="U763" s="24"/>
      <c r="V763" s="10" t="e">
        <f>_xlfn.XLOOKUP(U763,Таклифлар37[Таклифлар],Таклифлар37[TaklifID])</f>
        <v>#N/A</v>
      </c>
      <c r="W763" s="24"/>
      <c r="X763" s="23"/>
      <c r="Y763" s="7"/>
      <c r="Z763" s="26"/>
      <c r="AB763" s="23"/>
      <c r="AD763" s="2"/>
      <c r="AG763" s="23"/>
      <c r="AI763" s="26"/>
      <c r="AJ763" s="23"/>
      <c r="AM763" s="23"/>
      <c r="AO763" s="32"/>
      <c r="AP763" s="26"/>
      <c r="AR763" s="26"/>
      <c r="AS763" s="27"/>
      <c r="AT763" s="27"/>
      <c r="AU763" s="31"/>
      <c r="AV763" s="24"/>
      <c r="AW763"/>
      <c r="AX763"/>
      <c r="AY763"/>
      <c r="AZ763"/>
      <c r="BA763"/>
      <c r="BB763"/>
      <c r="BC763"/>
      <c r="BD763"/>
      <c r="BE763"/>
      <c r="BF763"/>
      <c r="BG763"/>
    </row>
    <row r="764" spans="2:59" x14ac:dyDescent="0.25">
      <c r="B764" s="22"/>
      <c r="C764" s="23"/>
      <c r="E764" s="23"/>
      <c r="F764" s="24"/>
      <c r="G764" s="2"/>
      <c r="H764" s="10" t="e">
        <f>_xlfn.XLOOKUP(F764,Viloyatlar24[RegionName],Viloyatlar24[RegionId])</f>
        <v>#N/A</v>
      </c>
      <c r="I764" s="10" t="e">
        <f>_xlfn.XLOOKUP('Кўчмас мулк объектлари'!G764,Tumanlar23[DistrictName],Tumanlar23[DistrictId])</f>
        <v>#N/A</v>
      </c>
      <c r="K764" s="24"/>
      <c r="L764" s="10" t="e">
        <f>_xlfn.XLOOKUP(K764,Ташкилотлар39[Ташкилотлар],Ташкилотлар39[TashklilotID])</f>
        <v>#N/A</v>
      </c>
      <c r="M764" s="26"/>
      <c r="N764" s="26"/>
      <c r="O764" s="24"/>
      <c r="P764" s="2"/>
      <c r="Q764" s="26"/>
      <c r="R764" s="26"/>
      <c r="S764" s="26"/>
      <c r="T764" s="26"/>
      <c r="U764" s="24"/>
      <c r="V764" s="10" t="e">
        <f>_xlfn.XLOOKUP(U764,Таклифлар37[Таклифлар],Таклифлар37[TaklifID])</f>
        <v>#N/A</v>
      </c>
      <c r="W764" s="24"/>
      <c r="X764" s="23"/>
      <c r="Y764" s="7"/>
      <c r="Z764" s="26"/>
      <c r="AB764" s="23"/>
      <c r="AD764" s="2"/>
      <c r="AG764" s="23"/>
      <c r="AI764" s="26"/>
      <c r="AJ764" s="23"/>
      <c r="AM764" s="23"/>
      <c r="AO764" s="32"/>
      <c r="AP764" s="26"/>
      <c r="AR764" s="26"/>
      <c r="AS764" s="27"/>
      <c r="AT764" s="27"/>
      <c r="AU764" s="31"/>
      <c r="AV764" s="24"/>
      <c r="AW764"/>
      <c r="AX764"/>
      <c r="AY764"/>
      <c r="AZ764"/>
      <c r="BA764"/>
      <c r="BB764"/>
      <c r="BC764"/>
      <c r="BD764"/>
      <c r="BE764"/>
      <c r="BF764"/>
      <c r="BG764"/>
    </row>
    <row r="765" spans="2:59" x14ac:dyDescent="0.25">
      <c r="B765" s="22"/>
      <c r="C765" s="23"/>
      <c r="E765" s="23"/>
      <c r="F765" s="24"/>
      <c r="G765" s="2"/>
      <c r="H765" s="10" t="e">
        <f>_xlfn.XLOOKUP(F765,Viloyatlar24[RegionName],Viloyatlar24[RegionId])</f>
        <v>#N/A</v>
      </c>
      <c r="I765" s="10" t="e">
        <f>_xlfn.XLOOKUP('Кўчмас мулк объектлари'!G765,Tumanlar23[DistrictName],Tumanlar23[DistrictId])</f>
        <v>#N/A</v>
      </c>
      <c r="K765" s="24"/>
      <c r="L765" s="10" t="e">
        <f>_xlfn.XLOOKUP(K765,Ташкилотлар39[Ташкилотлар],Ташкилотлар39[TashklilotID])</f>
        <v>#N/A</v>
      </c>
      <c r="M765" s="26"/>
      <c r="N765" s="26"/>
      <c r="O765" s="24"/>
      <c r="P765" s="2"/>
      <c r="Q765" s="26"/>
      <c r="R765" s="26"/>
      <c r="S765" s="26"/>
      <c r="T765" s="26"/>
      <c r="U765" s="24"/>
      <c r="V765" s="10" t="e">
        <f>_xlfn.XLOOKUP(U765,Таклифлар37[Таклифлар],Таклифлар37[TaklifID])</f>
        <v>#N/A</v>
      </c>
      <c r="W765" s="24"/>
      <c r="X765" s="23"/>
      <c r="Y765" s="7"/>
      <c r="Z765" s="26"/>
      <c r="AB765" s="23"/>
      <c r="AD765" s="2"/>
      <c r="AG765" s="23"/>
      <c r="AI765" s="26"/>
      <c r="AJ765" s="23"/>
      <c r="AM765" s="23"/>
      <c r="AO765" s="32"/>
      <c r="AP765" s="26"/>
      <c r="AR765" s="26"/>
      <c r="AS765" s="27"/>
      <c r="AT765" s="27"/>
      <c r="AU765" s="31"/>
      <c r="AV765" s="24"/>
      <c r="AW765"/>
      <c r="AX765"/>
      <c r="AY765"/>
      <c r="AZ765"/>
      <c r="BA765"/>
      <c r="BB765"/>
      <c r="BC765"/>
      <c r="BD765"/>
      <c r="BE765"/>
      <c r="BF765"/>
      <c r="BG765"/>
    </row>
    <row r="766" spans="2:59" x14ac:dyDescent="0.25">
      <c r="B766" s="22"/>
      <c r="C766" s="23"/>
      <c r="E766" s="23"/>
      <c r="F766" s="24"/>
      <c r="G766" s="2"/>
      <c r="H766" s="10" t="e">
        <f>_xlfn.XLOOKUP(F766,Viloyatlar24[RegionName],Viloyatlar24[RegionId])</f>
        <v>#N/A</v>
      </c>
      <c r="I766" s="10" t="e">
        <f>_xlfn.XLOOKUP('Кўчмас мулк объектлари'!G766,Tumanlar23[DistrictName],Tumanlar23[DistrictId])</f>
        <v>#N/A</v>
      </c>
      <c r="K766" s="24"/>
      <c r="L766" s="10" t="e">
        <f>_xlfn.XLOOKUP(K766,Ташкилотлар39[Ташкилотлар],Ташкилотлар39[TashklilotID])</f>
        <v>#N/A</v>
      </c>
      <c r="M766" s="26"/>
      <c r="N766" s="26"/>
      <c r="O766" s="24"/>
      <c r="P766" s="2"/>
      <c r="Q766" s="26"/>
      <c r="R766" s="26"/>
      <c r="S766" s="26"/>
      <c r="T766" s="26"/>
      <c r="U766" s="24"/>
      <c r="V766" s="10" t="e">
        <f>_xlfn.XLOOKUP(U766,Таклифлар37[Таклифлар],Таклифлар37[TaklifID])</f>
        <v>#N/A</v>
      </c>
      <c r="W766" s="24"/>
      <c r="X766" s="23"/>
      <c r="Y766" s="7"/>
      <c r="Z766" s="26"/>
      <c r="AB766" s="23"/>
      <c r="AD766" s="2"/>
      <c r="AG766" s="23"/>
      <c r="AI766" s="26"/>
      <c r="AJ766" s="23"/>
      <c r="AM766" s="23"/>
      <c r="AO766" s="32"/>
      <c r="AP766" s="26"/>
      <c r="AR766" s="26"/>
      <c r="AS766" s="27"/>
      <c r="AT766" s="27"/>
      <c r="AU766" s="31"/>
      <c r="AV766" s="24"/>
      <c r="AW766"/>
      <c r="AX766"/>
      <c r="AY766"/>
      <c r="AZ766"/>
      <c r="BA766"/>
      <c r="BB766"/>
      <c r="BC766"/>
      <c r="BD766"/>
      <c r="BE766"/>
      <c r="BF766"/>
      <c r="BG766"/>
    </row>
    <row r="767" spans="2:59" x14ac:dyDescent="0.25">
      <c r="B767" s="22"/>
      <c r="C767" s="23"/>
      <c r="E767" s="23"/>
      <c r="F767" s="24"/>
      <c r="G767" s="2"/>
      <c r="H767" s="10" t="e">
        <f>_xlfn.XLOOKUP(F767,Viloyatlar24[RegionName],Viloyatlar24[RegionId])</f>
        <v>#N/A</v>
      </c>
      <c r="I767" s="10" t="e">
        <f>_xlfn.XLOOKUP('Кўчмас мулк объектлари'!G767,Tumanlar23[DistrictName],Tumanlar23[DistrictId])</f>
        <v>#N/A</v>
      </c>
      <c r="K767" s="24"/>
      <c r="L767" s="10" t="e">
        <f>_xlfn.XLOOKUP(K767,Ташкилотлар39[Ташкилотлар],Ташкилотлар39[TashklilotID])</f>
        <v>#N/A</v>
      </c>
      <c r="M767" s="26"/>
      <c r="N767" s="26"/>
      <c r="O767" s="24"/>
      <c r="P767" s="2"/>
      <c r="Q767" s="26"/>
      <c r="R767" s="26"/>
      <c r="S767" s="26"/>
      <c r="T767" s="26"/>
      <c r="U767" s="24"/>
      <c r="V767" s="10" t="e">
        <f>_xlfn.XLOOKUP(U767,Таклифлар37[Таклифлар],Таклифлар37[TaklifID])</f>
        <v>#N/A</v>
      </c>
      <c r="W767" s="24"/>
      <c r="X767" s="23"/>
      <c r="Y767" s="7"/>
      <c r="Z767" s="26"/>
      <c r="AB767" s="23"/>
      <c r="AD767" s="2"/>
      <c r="AG767" s="23"/>
      <c r="AI767" s="26"/>
      <c r="AJ767" s="23"/>
      <c r="AM767" s="23"/>
      <c r="AO767" s="32"/>
      <c r="AP767" s="26"/>
      <c r="AR767" s="26"/>
      <c r="AS767" s="27"/>
      <c r="AT767" s="27"/>
      <c r="AU767" s="31"/>
      <c r="AV767" s="24"/>
      <c r="AW767"/>
      <c r="AX767"/>
      <c r="AY767"/>
      <c r="AZ767"/>
      <c r="BA767"/>
      <c r="BB767"/>
      <c r="BC767"/>
      <c r="BD767"/>
      <c r="BE767"/>
      <c r="BF767"/>
      <c r="BG767"/>
    </row>
    <row r="768" spans="2:59" x14ac:dyDescent="0.25">
      <c r="B768" s="22"/>
      <c r="C768" s="23"/>
      <c r="E768" s="23"/>
      <c r="F768" s="24"/>
      <c r="G768" s="2"/>
      <c r="H768" s="10" t="e">
        <f>_xlfn.XLOOKUP(F768,Viloyatlar24[RegionName],Viloyatlar24[RegionId])</f>
        <v>#N/A</v>
      </c>
      <c r="I768" s="10" t="e">
        <f>_xlfn.XLOOKUP('Кўчмас мулк объектлари'!G768,Tumanlar23[DistrictName],Tumanlar23[DistrictId])</f>
        <v>#N/A</v>
      </c>
      <c r="K768" s="24"/>
      <c r="L768" s="10" t="e">
        <f>_xlfn.XLOOKUP(K768,Ташкилотлар39[Ташкилотлар],Ташкилотлар39[TashklilotID])</f>
        <v>#N/A</v>
      </c>
      <c r="M768" s="26"/>
      <c r="N768" s="26"/>
      <c r="O768" s="24"/>
      <c r="P768" s="2"/>
      <c r="Q768" s="26"/>
      <c r="R768" s="26"/>
      <c r="S768" s="26"/>
      <c r="T768" s="26"/>
      <c r="U768" s="24"/>
      <c r="V768" s="10" t="e">
        <f>_xlfn.XLOOKUP(U768,Таклифлар37[Таклифлар],Таклифлар37[TaklifID])</f>
        <v>#N/A</v>
      </c>
      <c r="W768" s="24"/>
      <c r="X768" s="23"/>
      <c r="Y768" s="7"/>
      <c r="Z768" s="26"/>
      <c r="AB768" s="23"/>
      <c r="AD768" s="2"/>
      <c r="AG768" s="23"/>
      <c r="AI768" s="26"/>
      <c r="AJ768" s="23"/>
      <c r="AM768" s="23"/>
      <c r="AO768" s="32"/>
      <c r="AP768" s="26"/>
      <c r="AR768" s="26"/>
      <c r="AS768" s="27"/>
      <c r="AT768" s="27"/>
      <c r="AU768" s="31"/>
      <c r="AV768" s="24"/>
      <c r="AW768"/>
      <c r="AX768"/>
      <c r="AY768"/>
      <c r="AZ768"/>
      <c r="BA768"/>
      <c r="BB768"/>
      <c r="BC768"/>
      <c r="BD768"/>
      <c r="BE768"/>
      <c r="BF768"/>
      <c r="BG768"/>
    </row>
    <row r="769" spans="2:59" x14ac:dyDescent="0.25">
      <c r="B769" s="22"/>
      <c r="C769" s="23"/>
      <c r="E769" s="23"/>
      <c r="F769" s="24"/>
      <c r="G769" s="2"/>
      <c r="H769" s="10" t="e">
        <f>_xlfn.XLOOKUP(F769,Viloyatlar24[RegionName],Viloyatlar24[RegionId])</f>
        <v>#N/A</v>
      </c>
      <c r="I769" s="10" t="e">
        <f>_xlfn.XLOOKUP('Кўчмас мулк объектлари'!G769,Tumanlar23[DistrictName],Tumanlar23[DistrictId])</f>
        <v>#N/A</v>
      </c>
      <c r="K769" s="24"/>
      <c r="L769" s="10" t="e">
        <f>_xlfn.XLOOKUP(K769,Ташкилотлар39[Ташкилотлар],Ташкилотлар39[TashklilotID])</f>
        <v>#N/A</v>
      </c>
      <c r="M769" s="26"/>
      <c r="N769" s="26"/>
      <c r="O769" s="24"/>
      <c r="P769" s="2"/>
      <c r="Q769" s="26"/>
      <c r="R769" s="26"/>
      <c r="S769" s="26"/>
      <c r="T769" s="26"/>
      <c r="U769" s="24"/>
      <c r="V769" s="10" t="e">
        <f>_xlfn.XLOOKUP(U769,Таклифлар37[Таклифлар],Таклифлар37[TaklifID])</f>
        <v>#N/A</v>
      </c>
      <c r="W769" s="24"/>
      <c r="X769" s="23"/>
      <c r="Y769" s="7"/>
      <c r="Z769" s="26"/>
      <c r="AB769" s="23"/>
      <c r="AD769" s="2"/>
      <c r="AG769" s="23"/>
      <c r="AI769" s="26"/>
      <c r="AJ769" s="23"/>
      <c r="AM769" s="23"/>
      <c r="AO769" s="32"/>
      <c r="AP769" s="26"/>
      <c r="AR769" s="26"/>
      <c r="AS769" s="27"/>
      <c r="AT769" s="27"/>
      <c r="AU769" s="31"/>
      <c r="AV769" s="24"/>
      <c r="AW769"/>
      <c r="AX769"/>
      <c r="AY769"/>
      <c r="AZ769"/>
      <c r="BA769"/>
      <c r="BB769"/>
      <c r="BC769"/>
      <c r="BD769"/>
      <c r="BE769"/>
      <c r="BF769"/>
      <c r="BG769"/>
    </row>
    <row r="770" spans="2:59" x14ac:dyDescent="0.25">
      <c r="B770" s="22"/>
      <c r="C770" s="23"/>
      <c r="E770" s="23"/>
      <c r="F770" s="24"/>
      <c r="G770" s="2"/>
      <c r="H770" s="10" t="e">
        <f>_xlfn.XLOOKUP(F770,Viloyatlar24[RegionName],Viloyatlar24[RegionId])</f>
        <v>#N/A</v>
      </c>
      <c r="I770" s="10" t="e">
        <f>_xlfn.XLOOKUP('Кўчмас мулк объектлари'!G770,Tumanlar23[DistrictName],Tumanlar23[DistrictId])</f>
        <v>#N/A</v>
      </c>
      <c r="K770" s="24"/>
      <c r="L770" s="10" t="e">
        <f>_xlfn.XLOOKUP(K770,Ташкилотлар39[Ташкилотлар],Ташкилотлар39[TashklilotID])</f>
        <v>#N/A</v>
      </c>
      <c r="M770" s="26"/>
      <c r="N770" s="26"/>
      <c r="O770" s="24"/>
      <c r="P770" s="2"/>
      <c r="Q770" s="26"/>
      <c r="R770" s="26"/>
      <c r="S770" s="26"/>
      <c r="T770" s="26"/>
      <c r="U770" s="24"/>
      <c r="V770" s="10" t="e">
        <f>_xlfn.XLOOKUP(U770,Таклифлар37[Таклифлар],Таклифлар37[TaklifID])</f>
        <v>#N/A</v>
      </c>
      <c r="W770" s="24"/>
      <c r="X770" s="23"/>
      <c r="Y770" s="7"/>
      <c r="Z770" s="26"/>
      <c r="AB770" s="23"/>
      <c r="AD770" s="2"/>
      <c r="AG770" s="23"/>
      <c r="AI770" s="26"/>
      <c r="AJ770" s="23"/>
      <c r="AM770" s="23"/>
      <c r="AO770" s="32"/>
      <c r="AP770" s="26"/>
      <c r="AR770" s="26"/>
      <c r="AS770" s="27"/>
      <c r="AT770" s="27"/>
      <c r="AU770" s="31"/>
      <c r="AV770" s="24"/>
      <c r="AW770"/>
      <c r="AX770"/>
      <c r="AY770"/>
      <c r="AZ770"/>
      <c r="BA770"/>
      <c r="BB770"/>
      <c r="BC770"/>
      <c r="BD770"/>
      <c r="BE770"/>
      <c r="BF770"/>
      <c r="BG770"/>
    </row>
    <row r="771" spans="2:59" x14ac:dyDescent="0.25">
      <c r="B771" s="22"/>
      <c r="C771" s="23"/>
      <c r="E771" s="23"/>
      <c r="F771" s="24"/>
      <c r="G771" s="2"/>
      <c r="H771" s="10" t="e">
        <f>_xlfn.XLOOKUP(F771,Viloyatlar24[RegionName],Viloyatlar24[RegionId])</f>
        <v>#N/A</v>
      </c>
      <c r="I771" s="10" t="e">
        <f>_xlfn.XLOOKUP('Кўчмас мулк объектлари'!G771,Tumanlar23[DistrictName],Tumanlar23[DistrictId])</f>
        <v>#N/A</v>
      </c>
      <c r="K771" s="24"/>
      <c r="L771" s="10" t="e">
        <f>_xlfn.XLOOKUP(K771,Ташкилотлар39[Ташкилотлар],Ташкилотлар39[TashklilotID])</f>
        <v>#N/A</v>
      </c>
      <c r="M771" s="26"/>
      <c r="N771" s="26"/>
      <c r="O771" s="24"/>
      <c r="P771" s="2"/>
      <c r="Q771" s="26"/>
      <c r="R771" s="26"/>
      <c r="S771" s="26"/>
      <c r="T771" s="26"/>
      <c r="U771" s="24"/>
      <c r="V771" s="10" t="e">
        <f>_xlfn.XLOOKUP(U771,Таклифлар37[Таклифлар],Таклифлар37[TaklifID])</f>
        <v>#N/A</v>
      </c>
      <c r="W771" s="24"/>
      <c r="X771" s="23"/>
      <c r="Y771" s="7"/>
      <c r="Z771" s="26"/>
      <c r="AB771" s="23"/>
      <c r="AD771" s="2"/>
      <c r="AG771" s="23"/>
      <c r="AI771" s="26"/>
      <c r="AJ771" s="23"/>
      <c r="AM771" s="23"/>
      <c r="AO771" s="32"/>
      <c r="AP771" s="26"/>
      <c r="AR771" s="26"/>
      <c r="AS771" s="27"/>
      <c r="AT771" s="27"/>
      <c r="AU771" s="31"/>
      <c r="AV771" s="24"/>
      <c r="AW771"/>
      <c r="AX771"/>
      <c r="AY771"/>
      <c r="AZ771"/>
      <c r="BA771"/>
      <c r="BB771"/>
      <c r="BC771"/>
      <c r="BD771"/>
      <c r="BE771"/>
      <c r="BF771"/>
      <c r="BG771"/>
    </row>
    <row r="772" spans="2:59" x14ac:dyDescent="0.25">
      <c r="B772" s="22"/>
      <c r="C772" s="23"/>
      <c r="E772" s="23"/>
      <c r="F772" s="24"/>
      <c r="G772" s="2"/>
      <c r="H772" s="10" t="e">
        <f>_xlfn.XLOOKUP(F772,Viloyatlar24[RegionName],Viloyatlar24[RegionId])</f>
        <v>#N/A</v>
      </c>
      <c r="I772" s="10" t="e">
        <f>_xlfn.XLOOKUP('Кўчмас мулк объектлари'!G772,Tumanlar23[DistrictName],Tumanlar23[DistrictId])</f>
        <v>#N/A</v>
      </c>
      <c r="K772" s="24"/>
      <c r="L772" s="10" t="e">
        <f>_xlfn.XLOOKUP(K772,Ташкилотлар39[Ташкилотлар],Ташкилотлар39[TashklilotID])</f>
        <v>#N/A</v>
      </c>
      <c r="M772" s="26"/>
      <c r="N772" s="26"/>
      <c r="O772" s="24"/>
      <c r="P772" s="2"/>
      <c r="Q772" s="26"/>
      <c r="R772" s="26"/>
      <c r="S772" s="26"/>
      <c r="T772" s="26"/>
      <c r="U772" s="24"/>
      <c r="V772" s="10" t="e">
        <f>_xlfn.XLOOKUP(U772,Таклифлар37[Таклифлар],Таклифлар37[TaklifID])</f>
        <v>#N/A</v>
      </c>
      <c r="W772" s="24"/>
      <c r="X772" s="23"/>
      <c r="Y772" s="7"/>
      <c r="Z772" s="26"/>
      <c r="AB772" s="23"/>
      <c r="AD772" s="2"/>
      <c r="AG772" s="23"/>
      <c r="AI772" s="26"/>
      <c r="AJ772" s="23"/>
      <c r="AM772" s="23"/>
      <c r="AO772" s="32"/>
      <c r="AP772" s="26"/>
      <c r="AR772" s="26"/>
      <c r="AS772" s="27"/>
      <c r="AT772" s="27"/>
      <c r="AU772" s="31"/>
      <c r="AV772" s="24"/>
      <c r="AW772"/>
      <c r="AX772"/>
      <c r="AY772"/>
      <c r="AZ772"/>
      <c r="BA772"/>
      <c r="BB772"/>
      <c r="BC772"/>
      <c r="BD772"/>
      <c r="BE772"/>
      <c r="BF772"/>
      <c r="BG772"/>
    </row>
    <row r="773" spans="2:59" x14ac:dyDescent="0.25">
      <c r="B773" s="22"/>
      <c r="C773" s="23"/>
      <c r="E773" s="23"/>
      <c r="F773" s="24"/>
      <c r="G773" s="2"/>
      <c r="H773" s="10" t="e">
        <f>_xlfn.XLOOKUP(F773,Viloyatlar24[RegionName],Viloyatlar24[RegionId])</f>
        <v>#N/A</v>
      </c>
      <c r="I773" s="10" t="e">
        <f>_xlfn.XLOOKUP('Кўчмас мулк объектлари'!G773,Tumanlar23[DistrictName],Tumanlar23[DistrictId])</f>
        <v>#N/A</v>
      </c>
      <c r="K773" s="24"/>
      <c r="L773" s="10" t="e">
        <f>_xlfn.XLOOKUP(K773,Ташкилотлар39[Ташкилотлар],Ташкилотлар39[TashklilotID])</f>
        <v>#N/A</v>
      </c>
      <c r="M773" s="26"/>
      <c r="N773" s="26"/>
      <c r="O773" s="24"/>
      <c r="P773" s="2"/>
      <c r="Q773" s="26"/>
      <c r="R773" s="26"/>
      <c r="S773" s="26"/>
      <c r="T773" s="26"/>
      <c r="U773" s="24"/>
      <c r="V773" s="10" t="e">
        <f>_xlfn.XLOOKUP(U773,Таклифлар37[Таклифлар],Таклифлар37[TaklifID])</f>
        <v>#N/A</v>
      </c>
      <c r="W773" s="24"/>
      <c r="X773" s="23"/>
      <c r="Y773" s="7"/>
      <c r="Z773" s="26"/>
      <c r="AB773" s="23"/>
      <c r="AD773" s="2"/>
      <c r="AG773" s="23"/>
      <c r="AI773" s="26"/>
      <c r="AJ773" s="23"/>
      <c r="AM773" s="23"/>
      <c r="AO773" s="32"/>
      <c r="AP773" s="26"/>
      <c r="AR773" s="26"/>
      <c r="AS773" s="27"/>
      <c r="AT773" s="27"/>
      <c r="AU773" s="31"/>
      <c r="AV773" s="24"/>
      <c r="AW773"/>
      <c r="AX773"/>
      <c r="AY773"/>
      <c r="AZ773"/>
      <c r="BA773"/>
      <c r="BB773"/>
      <c r="BC773"/>
      <c r="BD773"/>
      <c r="BE773"/>
      <c r="BF773"/>
      <c r="BG773"/>
    </row>
    <row r="774" spans="2:59" x14ac:dyDescent="0.25">
      <c r="B774" s="22"/>
      <c r="C774" s="23"/>
      <c r="E774" s="23"/>
      <c r="F774" s="24"/>
      <c r="G774" s="2"/>
      <c r="H774" s="10" t="e">
        <f>_xlfn.XLOOKUP(F774,Viloyatlar24[RegionName],Viloyatlar24[RegionId])</f>
        <v>#N/A</v>
      </c>
      <c r="I774" s="10" t="e">
        <f>_xlfn.XLOOKUP('Кўчмас мулк объектлари'!G774,Tumanlar23[DistrictName],Tumanlar23[DistrictId])</f>
        <v>#N/A</v>
      </c>
      <c r="K774" s="24"/>
      <c r="L774" s="10" t="e">
        <f>_xlfn.XLOOKUP(K774,Ташкилотлар39[Ташкилотлар],Ташкилотлар39[TashklilotID])</f>
        <v>#N/A</v>
      </c>
      <c r="M774" s="26"/>
      <c r="N774" s="26"/>
      <c r="O774" s="24"/>
      <c r="P774" s="2"/>
      <c r="Q774" s="26"/>
      <c r="R774" s="26"/>
      <c r="S774" s="26"/>
      <c r="T774" s="26"/>
      <c r="U774" s="24"/>
      <c r="V774" s="10" t="e">
        <f>_xlfn.XLOOKUP(U774,Таклифлар37[Таклифлар],Таклифлар37[TaklifID])</f>
        <v>#N/A</v>
      </c>
      <c r="W774" s="24"/>
      <c r="X774" s="23"/>
      <c r="Y774" s="7"/>
      <c r="Z774" s="26"/>
      <c r="AB774" s="23"/>
      <c r="AD774" s="2"/>
      <c r="AG774" s="23"/>
      <c r="AI774" s="26"/>
      <c r="AJ774" s="23"/>
      <c r="AM774" s="23"/>
      <c r="AO774" s="32"/>
      <c r="AP774" s="26"/>
      <c r="AR774" s="26"/>
      <c r="AS774" s="27"/>
      <c r="AT774" s="27"/>
      <c r="AU774" s="31"/>
      <c r="AV774" s="24"/>
      <c r="AW774"/>
      <c r="AX774"/>
      <c r="AY774"/>
      <c r="AZ774"/>
      <c r="BA774"/>
      <c r="BB774"/>
      <c r="BC774"/>
      <c r="BD774"/>
      <c r="BE774"/>
      <c r="BF774"/>
      <c r="BG774"/>
    </row>
    <row r="775" spans="2:59" x14ac:dyDescent="0.25">
      <c r="B775" s="22"/>
      <c r="C775" s="23"/>
      <c r="E775" s="23"/>
      <c r="F775" s="24"/>
      <c r="G775" s="2"/>
      <c r="H775" s="10" t="e">
        <f>_xlfn.XLOOKUP(F775,Viloyatlar24[RegionName],Viloyatlar24[RegionId])</f>
        <v>#N/A</v>
      </c>
      <c r="I775" s="10" t="e">
        <f>_xlfn.XLOOKUP('Кўчмас мулк объектлари'!G775,Tumanlar23[DistrictName],Tumanlar23[DistrictId])</f>
        <v>#N/A</v>
      </c>
      <c r="K775" s="24"/>
      <c r="L775" s="10" t="e">
        <f>_xlfn.XLOOKUP(K775,Ташкилотлар39[Ташкилотлар],Ташкилотлар39[TashklilotID])</f>
        <v>#N/A</v>
      </c>
      <c r="M775" s="26"/>
      <c r="N775" s="26"/>
      <c r="O775" s="24"/>
      <c r="P775" s="2"/>
      <c r="Q775" s="26"/>
      <c r="R775" s="26"/>
      <c r="S775" s="26"/>
      <c r="T775" s="26"/>
      <c r="U775" s="24"/>
      <c r="V775" s="10" t="e">
        <f>_xlfn.XLOOKUP(U775,Таклифлар37[Таклифлар],Таклифлар37[TaklifID])</f>
        <v>#N/A</v>
      </c>
      <c r="W775" s="24"/>
      <c r="X775" s="23"/>
      <c r="Y775" s="7"/>
      <c r="Z775" s="26"/>
      <c r="AB775" s="23"/>
      <c r="AD775" s="2"/>
      <c r="AG775" s="23"/>
      <c r="AI775" s="26"/>
      <c r="AJ775" s="23"/>
      <c r="AM775" s="23"/>
      <c r="AO775" s="32"/>
      <c r="AP775" s="26"/>
      <c r="AR775" s="26"/>
      <c r="AS775" s="27"/>
      <c r="AT775" s="27"/>
      <c r="AU775" s="31"/>
      <c r="AV775" s="24"/>
      <c r="AW775"/>
      <c r="AX775"/>
      <c r="AY775"/>
      <c r="AZ775"/>
      <c r="BA775"/>
      <c r="BB775"/>
      <c r="BC775"/>
      <c r="BD775"/>
      <c r="BE775"/>
      <c r="BF775"/>
      <c r="BG775"/>
    </row>
    <row r="776" spans="2:59" x14ac:dyDescent="0.25">
      <c r="B776" s="22"/>
      <c r="C776" s="23"/>
      <c r="E776" s="23"/>
      <c r="F776" s="24"/>
      <c r="G776" s="2"/>
      <c r="H776" s="10" t="e">
        <f>_xlfn.XLOOKUP(F776,Viloyatlar24[RegionName],Viloyatlar24[RegionId])</f>
        <v>#N/A</v>
      </c>
      <c r="I776" s="10" t="e">
        <f>_xlfn.XLOOKUP('Кўчмас мулк объектлари'!G776,Tumanlar23[DistrictName],Tumanlar23[DistrictId])</f>
        <v>#N/A</v>
      </c>
      <c r="K776" s="24"/>
      <c r="L776" s="10" t="e">
        <f>_xlfn.XLOOKUP(K776,Ташкилотлар39[Ташкилотлар],Ташкилотлар39[TashklilotID])</f>
        <v>#N/A</v>
      </c>
      <c r="M776" s="26"/>
      <c r="N776" s="26"/>
      <c r="O776" s="24"/>
      <c r="P776" s="2"/>
      <c r="Q776" s="26"/>
      <c r="R776" s="26"/>
      <c r="S776" s="26"/>
      <c r="T776" s="26"/>
      <c r="U776" s="24"/>
      <c r="V776" s="10" t="e">
        <f>_xlfn.XLOOKUP(U776,Таклифлар37[Таклифлар],Таклифлар37[TaklifID])</f>
        <v>#N/A</v>
      </c>
      <c r="W776" s="24"/>
      <c r="X776" s="23"/>
      <c r="Y776" s="7"/>
      <c r="Z776" s="26"/>
      <c r="AB776" s="23"/>
      <c r="AD776" s="2"/>
      <c r="AG776" s="23"/>
      <c r="AI776" s="26"/>
      <c r="AJ776" s="23"/>
      <c r="AM776" s="23"/>
      <c r="AO776" s="32"/>
      <c r="AP776" s="26"/>
      <c r="AR776" s="26"/>
      <c r="AS776" s="27"/>
      <c r="AT776" s="27"/>
      <c r="AU776" s="31"/>
      <c r="AV776" s="24"/>
      <c r="AW776"/>
      <c r="AX776"/>
      <c r="AY776"/>
      <c r="AZ776"/>
      <c r="BA776"/>
      <c r="BB776"/>
      <c r="BC776"/>
      <c r="BD776"/>
      <c r="BE776"/>
      <c r="BF776"/>
      <c r="BG776"/>
    </row>
    <row r="777" spans="2:59" x14ac:dyDescent="0.25">
      <c r="B777" s="22"/>
      <c r="C777" s="23"/>
      <c r="E777" s="23"/>
      <c r="F777" s="24"/>
      <c r="G777" s="2"/>
      <c r="H777" s="10" t="e">
        <f>_xlfn.XLOOKUP(F777,Viloyatlar24[RegionName],Viloyatlar24[RegionId])</f>
        <v>#N/A</v>
      </c>
      <c r="I777" s="10" t="e">
        <f>_xlfn.XLOOKUP('Кўчмас мулк объектлари'!G777,Tumanlar23[DistrictName],Tumanlar23[DistrictId])</f>
        <v>#N/A</v>
      </c>
      <c r="K777" s="24"/>
      <c r="L777" s="10" t="e">
        <f>_xlfn.XLOOKUP(K777,Ташкилотлар39[Ташкилотлар],Ташкилотлар39[TashklilotID])</f>
        <v>#N/A</v>
      </c>
      <c r="M777" s="26"/>
      <c r="N777" s="26"/>
      <c r="O777" s="24"/>
      <c r="P777" s="2"/>
      <c r="Q777" s="26"/>
      <c r="R777" s="26"/>
      <c r="S777" s="26"/>
      <c r="T777" s="26"/>
      <c r="U777" s="24"/>
      <c r="V777" s="10" t="e">
        <f>_xlfn.XLOOKUP(U777,Таклифлар37[Таклифлар],Таклифлар37[TaklifID])</f>
        <v>#N/A</v>
      </c>
      <c r="W777" s="24"/>
      <c r="X777" s="23"/>
      <c r="Y777" s="7"/>
      <c r="Z777" s="26"/>
      <c r="AB777" s="23"/>
      <c r="AD777" s="2"/>
      <c r="AG777" s="23"/>
      <c r="AI777" s="26"/>
      <c r="AJ777" s="23"/>
      <c r="AM777" s="23"/>
      <c r="AO777" s="32"/>
      <c r="AP777" s="26"/>
      <c r="AR777" s="26"/>
      <c r="AS777" s="27"/>
      <c r="AT777" s="27"/>
      <c r="AU777" s="31"/>
      <c r="AV777" s="24"/>
      <c r="AW777"/>
      <c r="AX777"/>
      <c r="AY777"/>
      <c r="AZ777"/>
      <c r="BA777"/>
      <c r="BB777"/>
      <c r="BC777"/>
      <c r="BD777"/>
      <c r="BE777"/>
      <c r="BF777"/>
      <c r="BG777"/>
    </row>
    <row r="778" spans="2:59" x14ac:dyDescent="0.25">
      <c r="B778" s="22"/>
      <c r="C778" s="23"/>
      <c r="E778" s="23"/>
      <c r="F778" s="24"/>
      <c r="G778" s="2"/>
      <c r="H778" s="10" t="e">
        <f>_xlfn.XLOOKUP(F778,Viloyatlar24[RegionName],Viloyatlar24[RegionId])</f>
        <v>#N/A</v>
      </c>
      <c r="I778" s="10" t="e">
        <f>_xlfn.XLOOKUP('Кўчмас мулк объектлари'!G778,Tumanlar23[DistrictName],Tumanlar23[DistrictId])</f>
        <v>#N/A</v>
      </c>
      <c r="K778" s="24"/>
      <c r="L778" s="10" t="e">
        <f>_xlfn.XLOOKUP(K778,Ташкилотлар39[Ташкилотлар],Ташкилотлар39[TashklilotID])</f>
        <v>#N/A</v>
      </c>
      <c r="M778" s="26"/>
      <c r="N778" s="26"/>
      <c r="O778" s="24"/>
      <c r="P778" s="2"/>
      <c r="Q778" s="26"/>
      <c r="R778" s="26"/>
      <c r="S778" s="26"/>
      <c r="T778" s="26"/>
      <c r="U778" s="24"/>
      <c r="V778" s="10" t="e">
        <f>_xlfn.XLOOKUP(U778,Таклифлар37[Таклифлар],Таклифлар37[TaklifID])</f>
        <v>#N/A</v>
      </c>
      <c r="W778" s="24"/>
      <c r="X778" s="23"/>
      <c r="Y778" s="7"/>
      <c r="Z778" s="26"/>
      <c r="AB778" s="23"/>
      <c r="AD778" s="2"/>
      <c r="AG778" s="23"/>
      <c r="AI778" s="26"/>
      <c r="AJ778" s="23"/>
      <c r="AM778" s="23"/>
      <c r="AO778" s="32"/>
      <c r="AP778" s="26"/>
      <c r="AR778" s="26"/>
      <c r="AS778" s="27"/>
      <c r="AT778" s="27"/>
      <c r="AU778" s="31"/>
      <c r="AV778" s="24"/>
      <c r="AW778"/>
      <c r="AX778"/>
      <c r="AY778"/>
      <c r="AZ778"/>
      <c r="BA778"/>
      <c r="BB778"/>
      <c r="BC778"/>
      <c r="BD778"/>
      <c r="BE778"/>
      <c r="BF778"/>
      <c r="BG778"/>
    </row>
    <row r="779" spans="2:59" x14ac:dyDescent="0.25">
      <c r="B779" s="22"/>
      <c r="C779" s="23"/>
      <c r="E779" s="23"/>
      <c r="F779" s="24"/>
      <c r="G779" s="2"/>
      <c r="H779" s="10" t="e">
        <f>_xlfn.XLOOKUP(F779,Viloyatlar24[RegionName],Viloyatlar24[RegionId])</f>
        <v>#N/A</v>
      </c>
      <c r="I779" s="10" t="e">
        <f>_xlfn.XLOOKUP('Кўчмас мулк объектлари'!G779,Tumanlar23[DistrictName],Tumanlar23[DistrictId])</f>
        <v>#N/A</v>
      </c>
      <c r="K779" s="24"/>
      <c r="L779" s="10" t="e">
        <f>_xlfn.XLOOKUP(K779,Ташкилотлар39[Ташкилотлар],Ташкилотлар39[TashklilotID])</f>
        <v>#N/A</v>
      </c>
      <c r="M779" s="26"/>
      <c r="N779" s="26"/>
      <c r="O779" s="24"/>
      <c r="P779" s="2"/>
      <c r="Q779" s="26"/>
      <c r="R779" s="26"/>
      <c r="S779" s="26"/>
      <c r="T779" s="26"/>
      <c r="U779" s="24"/>
      <c r="V779" s="10" t="e">
        <f>_xlfn.XLOOKUP(U779,Таклифлар37[Таклифлар],Таклифлар37[TaklifID])</f>
        <v>#N/A</v>
      </c>
      <c r="W779" s="24"/>
      <c r="X779" s="23"/>
      <c r="Y779" s="7"/>
      <c r="Z779" s="26"/>
      <c r="AB779" s="23"/>
      <c r="AD779" s="2"/>
      <c r="AG779" s="23"/>
      <c r="AI779" s="26"/>
      <c r="AJ779" s="23"/>
      <c r="AM779" s="23"/>
      <c r="AO779" s="32"/>
      <c r="AP779" s="26"/>
      <c r="AR779" s="26"/>
      <c r="AS779" s="27"/>
      <c r="AT779" s="27"/>
      <c r="AU779" s="31"/>
      <c r="AV779" s="24"/>
      <c r="AW779"/>
      <c r="AX779"/>
      <c r="AY779"/>
      <c r="AZ779"/>
      <c r="BA779"/>
      <c r="BB779"/>
      <c r="BC779"/>
      <c r="BD779"/>
      <c r="BE779"/>
      <c r="BF779"/>
      <c r="BG779"/>
    </row>
    <row r="780" spans="2:59" x14ac:dyDescent="0.25">
      <c r="B780" s="22"/>
      <c r="C780" s="23"/>
      <c r="E780" s="23"/>
      <c r="F780" s="24"/>
      <c r="G780" s="2"/>
      <c r="H780" s="10" t="e">
        <f>_xlfn.XLOOKUP(F780,Viloyatlar24[RegionName],Viloyatlar24[RegionId])</f>
        <v>#N/A</v>
      </c>
      <c r="I780" s="10" t="e">
        <f>_xlfn.XLOOKUP('Кўчмас мулк объектлари'!G780,Tumanlar23[DistrictName],Tumanlar23[DistrictId])</f>
        <v>#N/A</v>
      </c>
      <c r="K780" s="24"/>
      <c r="L780" s="10" t="e">
        <f>_xlfn.XLOOKUP(K780,Ташкилотлар39[Ташкилотлар],Ташкилотлар39[TashklilotID])</f>
        <v>#N/A</v>
      </c>
      <c r="M780" s="26"/>
      <c r="N780" s="26"/>
      <c r="O780" s="24"/>
      <c r="P780" s="2"/>
      <c r="Q780" s="26"/>
      <c r="R780" s="26"/>
      <c r="S780" s="26"/>
      <c r="T780" s="26"/>
      <c r="U780" s="24"/>
      <c r="V780" s="10" t="e">
        <f>_xlfn.XLOOKUP(U780,Таклифлар37[Таклифлар],Таклифлар37[TaklifID])</f>
        <v>#N/A</v>
      </c>
      <c r="W780" s="24"/>
      <c r="X780" s="23"/>
      <c r="Y780" s="7"/>
      <c r="Z780" s="26"/>
      <c r="AB780" s="23"/>
      <c r="AD780" s="2"/>
      <c r="AG780" s="23"/>
      <c r="AI780" s="26"/>
      <c r="AJ780" s="23"/>
      <c r="AM780" s="23"/>
      <c r="AO780" s="32"/>
      <c r="AP780" s="26"/>
      <c r="AR780" s="26"/>
      <c r="AS780" s="27"/>
      <c r="AT780" s="27"/>
      <c r="AU780" s="31"/>
      <c r="AV780" s="24"/>
      <c r="AW780"/>
      <c r="AX780"/>
      <c r="AY780"/>
      <c r="AZ780"/>
      <c r="BA780"/>
      <c r="BB780"/>
      <c r="BC780"/>
      <c r="BD780"/>
      <c r="BE780"/>
      <c r="BF780"/>
      <c r="BG780"/>
    </row>
    <row r="781" spans="2:59" x14ac:dyDescent="0.25">
      <c r="B781" s="22"/>
      <c r="C781" s="23"/>
      <c r="E781" s="23"/>
      <c r="F781" s="24"/>
      <c r="G781" s="2"/>
      <c r="H781" s="10" t="e">
        <f>_xlfn.XLOOKUP(F781,Viloyatlar24[RegionName],Viloyatlar24[RegionId])</f>
        <v>#N/A</v>
      </c>
      <c r="I781" s="10" t="e">
        <f>_xlfn.XLOOKUP('Кўчмас мулк объектлари'!G781,Tumanlar23[DistrictName],Tumanlar23[DistrictId])</f>
        <v>#N/A</v>
      </c>
      <c r="K781" s="24"/>
      <c r="L781" s="10" t="e">
        <f>_xlfn.XLOOKUP(K781,Ташкилотлар39[Ташкилотлар],Ташкилотлар39[TashklilotID])</f>
        <v>#N/A</v>
      </c>
      <c r="M781" s="26"/>
      <c r="N781" s="26"/>
      <c r="O781" s="24"/>
      <c r="P781" s="2"/>
      <c r="Q781" s="26"/>
      <c r="R781" s="26"/>
      <c r="S781" s="26"/>
      <c r="T781" s="26"/>
      <c r="U781" s="24"/>
      <c r="V781" s="10" t="e">
        <f>_xlfn.XLOOKUP(U781,Таклифлар37[Таклифлар],Таклифлар37[TaklifID])</f>
        <v>#N/A</v>
      </c>
      <c r="W781" s="24"/>
      <c r="X781" s="23"/>
      <c r="Y781" s="7"/>
      <c r="Z781" s="26"/>
      <c r="AB781" s="23"/>
      <c r="AD781" s="2"/>
      <c r="AG781" s="23"/>
      <c r="AI781" s="26"/>
      <c r="AJ781" s="23"/>
      <c r="AM781" s="23"/>
      <c r="AO781" s="32"/>
      <c r="AP781" s="26"/>
      <c r="AR781" s="26"/>
      <c r="AS781" s="27"/>
      <c r="AT781" s="27"/>
      <c r="AU781" s="31"/>
      <c r="AV781" s="24"/>
      <c r="AW781"/>
      <c r="AX781"/>
      <c r="AY781"/>
      <c r="AZ781"/>
      <c r="BA781"/>
      <c r="BB781"/>
      <c r="BC781"/>
      <c r="BD781"/>
      <c r="BE781"/>
      <c r="BF781"/>
      <c r="BG781"/>
    </row>
    <row r="782" spans="2:59" x14ac:dyDescent="0.25">
      <c r="B782" s="22"/>
      <c r="C782" s="23"/>
      <c r="E782" s="23"/>
      <c r="F782" s="24"/>
      <c r="G782" s="2"/>
      <c r="H782" s="10" t="e">
        <f>_xlfn.XLOOKUP(F782,Viloyatlar24[RegionName],Viloyatlar24[RegionId])</f>
        <v>#N/A</v>
      </c>
      <c r="I782" s="10" t="e">
        <f>_xlfn.XLOOKUP('Кўчмас мулк объектлари'!G782,Tumanlar23[DistrictName],Tumanlar23[DistrictId])</f>
        <v>#N/A</v>
      </c>
      <c r="K782" s="24"/>
      <c r="L782" s="10" t="e">
        <f>_xlfn.XLOOKUP(K782,Ташкилотлар39[Ташкилотлар],Ташкилотлар39[TashklilotID])</f>
        <v>#N/A</v>
      </c>
      <c r="M782" s="26"/>
      <c r="N782" s="26"/>
      <c r="O782" s="24"/>
      <c r="P782" s="2"/>
      <c r="Q782" s="26"/>
      <c r="R782" s="26"/>
      <c r="S782" s="26"/>
      <c r="T782" s="26"/>
      <c r="U782" s="24"/>
      <c r="V782" s="10" t="e">
        <f>_xlfn.XLOOKUP(U782,Таклифлар37[Таклифлар],Таклифлар37[TaklifID])</f>
        <v>#N/A</v>
      </c>
      <c r="W782" s="24"/>
      <c r="X782" s="23"/>
      <c r="Y782" s="7"/>
      <c r="Z782" s="26"/>
      <c r="AB782" s="23"/>
      <c r="AD782" s="2"/>
      <c r="AG782" s="23"/>
      <c r="AI782" s="26"/>
      <c r="AJ782" s="23"/>
      <c r="AM782" s="23"/>
      <c r="AO782" s="32"/>
      <c r="AP782" s="26"/>
      <c r="AR782" s="26"/>
      <c r="AS782" s="27"/>
      <c r="AT782" s="27"/>
      <c r="AU782" s="31"/>
      <c r="AV782" s="24"/>
      <c r="AW782"/>
      <c r="AX782"/>
      <c r="AY782"/>
      <c r="AZ782"/>
      <c r="BA782"/>
      <c r="BB782"/>
      <c r="BC782"/>
      <c r="BD782"/>
      <c r="BE782"/>
      <c r="BF782"/>
      <c r="BG782"/>
    </row>
    <row r="783" spans="2:59" x14ac:dyDescent="0.25">
      <c r="B783" s="22"/>
      <c r="C783" s="23"/>
      <c r="E783" s="23"/>
      <c r="F783" s="24"/>
      <c r="G783" s="2"/>
      <c r="H783" s="10" t="e">
        <f>_xlfn.XLOOKUP(F783,Viloyatlar24[RegionName],Viloyatlar24[RegionId])</f>
        <v>#N/A</v>
      </c>
      <c r="I783" s="10" t="e">
        <f>_xlfn.XLOOKUP('Кўчмас мулк объектлари'!G783,Tumanlar23[DistrictName],Tumanlar23[DistrictId])</f>
        <v>#N/A</v>
      </c>
      <c r="K783" s="24"/>
      <c r="L783" s="10" t="e">
        <f>_xlfn.XLOOKUP(K783,Ташкилотлар39[Ташкилотлар],Ташкилотлар39[TashklilotID])</f>
        <v>#N/A</v>
      </c>
      <c r="M783" s="26"/>
      <c r="N783" s="26"/>
      <c r="O783" s="24"/>
      <c r="P783" s="2"/>
      <c r="Q783" s="26"/>
      <c r="R783" s="26"/>
      <c r="S783" s="26"/>
      <c r="T783" s="26"/>
      <c r="U783" s="24"/>
      <c r="V783" s="10" t="e">
        <f>_xlfn.XLOOKUP(U783,Таклифлар37[Таклифлар],Таклифлар37[TaklifID])</f>
        <v>#N/A</v>
      </c>
      <c r="W783" s="24"/>
      <c r="X783" s="23"/>
      <c r="Y783" s="7"/>
      <c r="Z783" s="26"/>
      <c r="AB783" s="23"/>
      <c r="AD783" s="2"/>
      <c r="AG783" s="23"/>
      <c r="AI783" s="26"/>
      <c r="AJ783" s="23"/>
      <c r="AM783" s="23"/>
      <c r="AO783" s="32"/>
      <c r="AP783" s="26"/>
      <c r="AR783" s="26"/>
      <c r="AS783" s="27"/>
      <c r="AT783" s="27"/>
      <c r="AU783" s="31"/>
      <c r="AV783" s="24"/>
      <c r="AW783"/>
      <c r="AX783"/>
      <c r="AY783"/>
      <c r="AZ783"/>
      <c r="BA783"/>
      <c r="BB783"/>
      <c r="BC783"/>
      <c r="BD783"/>
      <c r="BE783"/>
      <c r="BF783"/>
      <c r="BG783"/>
    </row>
    <row r="784" spans="2:59" x14ac:dyDescent="0.25">
      <c r="B784" s="22"/>
      <c r="C784" s="23"/>
      <c r="E784" s="23"/>
      <c r="F784" s="24"/>
      <c r="G784" s="2"/>
      <c r="H784" s="10" t="e">
        <f>_xlfn.XLOOKUP(F784,Viloyatlar24[RegionName],Viloyatlar24[RegionId])</f>
        <v>#N/A</v>
      </c>
      <c r="I784" s="10" t="e">
        <f>_xlfn.XLOOKUP('Кўчмас мулк объектлари'!G784,Tumanlar23[DistrictName],Tumanlar23[DistrictId])</f>
        <v>#N/A</v>
      </c>
      <c r="K784" s="24"/>
      <c r="L784" s="10" t="e">
        <f>_xlfn.XLOOKUP(K784,Ташкилотлар39[Ташкилотлар],Ташкилотлар39[TashklilotID])</f>
        <v>#N/A</v>
      </c>
      <c r="M784" s="26"/>
      <c r="N784" s="26"/>
      <c r="O784" s="24"/>
      <c r="P784" s="2"/>
      <c r="Q784" s="26"/>
      <c r="R784" s="26"/>
      <c r="S784" s="26"/>
      <c r="T784" s="26"/>
      <c r="U784" s="24"/>
      <c r="V784" s="10" t="e">
        <f>_xlfn.XLOOKUP(U784,Таклифлар37[Таклифлар],Таклифлар37[TaklifID])</f>
        <v>#N/A</v>
      </c>
      <c r="W784" s="24"/>
      <c r="X784" s="23"/>
      <c r="Y784" s="7"/>
      <c r="Z784" s="26"/>
      <c r="AB784" s="23"/>
      <c r="AD784" s="2"/>
      <c r="AG784" s="23"/>
      <c r="AI784" s="26"/>
      <c r="AJ784" s="23"/>
      <c r="AM784" s="23"/>
      <c r="AO784" s="32"/>
      <c r="AP784" s="26"/>
      <c r="AR784" s="26"/>
      <c r="AS784" s="27"/>
      <c r="AT784" s="27"/>
      <c r="AU784" s="31"/>
      <c r="AV784" s="24"/>
      <c r="AW784"/>
      <c r="AX784"/>
      <c r="AY784"/>
      <c r="AZ784"/>
      <c r="BA784"/>
      <c r="BB784"/>
      <c r="BC784"/>
      <c r="BD784"/>
      <c r="BE784"/>
      <c r="BF784"/>
      <c r="BG784"/>
    </row>
    <row r="785" spans="2:59" x14ac:dyDescent="0.25">
      <c r="B785" s="22"/>
      <c r="C785" s="23"/>
      <c r="E785" s="23"/>
      <c r="F785" s="24"/>
      <c r="G785" s="2"/>
      <c r="H785" s="10" t="e">
        <f>_xlfn.XLOOKUP(F785,Viloyatlar24[RegionName],Viloyatlar24[RegionId])</f>
        <v>#N/A</v>
      </c>
      <c r="I785" s="10" t="e">
        <f>_xlfn.XLOOKUP('Кўчмас мулк объектлари'!G785,Tumanlar23[DistrictName],Tumanlar23[DistrictId])</f>
        <v>#N/A</v>
      </c>
      <c r="K785" s="24"/>
      <c r="L785" s="10" t="e">
        <f>_xlfn.XLOOKUP(K785,Ташкилотлар39[Ташкилотлар],Ташкилотлар39[TashklilotID])</f>
        <v>#N/A</v>
      </c>
      <c r="M785" s="26"/>
      <c r="N785" s="26"/>
      <c r="O785" s="24"/>
      <c r="P785" s="2"/>
      <c r="Q785" s="26"/>
      <c r="R785" s="26"/>
      <c r="S785" s="26"/>
      <c r="T785" s="26"/>
      <c r="U785" s="24"/>
      <c r="V785" s="10" t="e">
        <f>_xlfn.XLOOKUP(U785,Таклифлар37[Таклифлар],Таклифлар37[TaklifID])</f>
        <v>#N/A</v>
      </c>
      <c r="W785" s="24"/>
      <c r="X785" s="23"/>
      <c r="Y785" s="7"/>
      <c r="Z785" s="26"/>
      <c r="AB785" s="23"/>
      <c r="AD785" s="2"/>
      <c r="AG785" s="23"/>
      <c r="AI785" s="26"/>
      <c r="AJ785" s="23"/>
      <c r="AM785" s="23"/>
      <c r="AO785" s="32"/>
      <c r="AP785" s="26"/>
      <c r="AR785" s="26"/>
      <c r="AS785" s="27"/>
      <c r="AT785" s="27"/>
      <c r="AU785" s="31"/>
      <c r="AV785" s="24"/>
      <c r="AW785"/>
      <c r="AX785"/>
      <c r="AY785"/>
      <c r="AZ785"/>
      <c r="BA785"/>
      <c r="BB785"/>
      <c r="BC785"/>
      <c r="BD785"/>
      <c r="BE785"/>
      <c r="BF785"/>
      <c r="BG785"/>
    </row>
    <row r="786" spans="2:59" x14ac:dyDescent="0.25">
      <c r="B786" s="22"/>
      <c r="C786" s="23"/>
      <c r="E786" s="23"/>
      <c r="F786" s="24"/>
      <c r="G786" s="2"/>
      <c r="H786" s="10" t="e">
        <f>_xlfn.XLOOKUP(F786,Viloyatlar24[RegionName],Viloyatlar24[RegionId])</f>
        <v>#N/A</v>
      </c>
      <c r="I786" s="10" t="e">
        <f>_xlfn.XLOOKUP('Кўчмас мулк объектлари'!G786,Tumanlar23[DistrictName],Tumanlar23[DistrictId])</f>
        <v>#N/A</v>
      </c>
      <c r="K786" s="24"/>
      <c r="L786" s="10" t="e">
        <f>_xlfn.XLOOKUP(K786,Ташкилотлар39[Ташкилотлар],Ташкилотлар39[TashklilotID])</f>
        <v>#N/A</v>
      </c>
      <c r="M786" s="26"/>
      <c r="N786" s="26"/>
      <c r="O786" s="24"/>
      <c r="P786" s="2"/>
      <c r="Q786" s="26"/>
      <c r="R786" s="26"/>
      <c r="S786" s="26"/>
      <c r="T786" s="26"/>
      <c r="U786" s="24"/>
      <c r="V786" s="10" t="e">
        <f>_xlfn.XLOOKUP(U786,Таклифлар37[Таклифлар],Таклифлар37[TaklifID])</f>
        <v>#N/A</v>
      </c>
      <c r="W786" s="24"/>
      <c r="X786" s="23"/>
      <c r="Y786" s="7"/>
      <c r="Z786" s="26"/>
      <c r="AB786" s="23"/>
      <c r="AD786" s="2"/>
      <c r="AG786" s="23"/>
      <c r="AI786" s="26"/>
      <c r="AJ786" s="23"/>
      <c r="AM786" s="23"/>
      <c r="AO786" s="32"/>
      <c r="AP786" s="26"/>
      <c r="AR786" s="26"/>
      <c r="AS786" s="27"/>
      <c r="AT786" s="27"/>
      <c r="AU786" s="31"/>
      <c r="AV786" s="24"/>
      <c r="AW786"/>
      <c r="AX786"/>
      <c r="AY786"/>
      <c r="AZ786"/>
      <c r="BA786"/>
      <c r="BB786"/>
      <c r="BC786"/>
      <c r="BD786"/>
      <c r="BE786"/>
      <c r="BF786"/>
      <c r="BG786"/>
    </row>
    <row r="787" spans="2:59" x14ac:dyDescent="0.25">
      <c r="B787" s="22"/>
      <c r="C787" s="23"/>
      <c r="E787" s="23"/>
      <c r="F787" s="24"/>
      <c r="G787" s="2"/>
      <c r="H787" s="10" t="e">
        <f>_xlfn.XLOOKUP(F787,Viloyatlar24[RegionName],Viloyatlar24[RegionId])</f>
        <v>#N/A</v>
      </c>
      <c r="I787" s="10" t="e">
        <f>_xlfn.XLOOKUP('Кўчмас мулк объектлари'!G787,Tumanlar23[DistrictName],Tumanlar23[DistrictId])</f>
        <v>#N/A</v>
      </c>
      <c r="K787" s="24"/>
      <c r="L787" s="10" t="e">
        <f>_xlfn.XLOOKUP(K787,Ташкилотлар39[Ташкилотлар],Ташкилотлар39[TashklilotID])</f>
        <v>#N/A</v>
      </c>
      <c r="M787" s="26"/>
      <c r="N787" s="26"/>
      <c r="O787" s="24"/>
      <c r="P787" s="2"/>
      <c r="Q787" s="26"/>
      <c r="R787" s="26"/>
      <c r="S787" s="26"/>
      <c r="T787" s="26"/>
      <c r="U787" s="24"/>
      <c r="V787" s="10" t="e">
        <f>_xlfn.XLOOKUP(U787,Таклифлар37[Таклифлар],Таклифлар37[TaklifID])</f>
        <v>#N/A</v>
      </c>
      <c r="W787" s="24"/>
      <c r="X787" s="23"/>
      <c r="Y787" s="7"/>
      <c r="Z787" s="26"/>
      <c r="AB787" s="23"/>
      <c r="AD787" s="2"/>
      <c r="AG787" s="23"/>
      <c r="AI787" s="26"/>
      <c r="AJ787" s="23"/>
      <c r="AM787" s="23"/>
      <c r="AO787" s="32"/>
      <c r="AP787" s="26"/>
      <c r="AR787" s="26"/>
      <c r="AS787" s="27"/>
      <c r="AT787" s="27"/>
      <c r="AU787" s="31"/>
      <c r="AV787" s="24"/>
      <c r="AW787"/>
      <c r="AX787"/>
      <c r="AY787"/>
      <c r="AZ787"/>
      <c r="BA787"/>
      <c r="BB787"/>
      <c r="BC787"/>
      <c r="BD787"/>
      <c r="BE787"/>
      <c r="BF787"/>
      <c r="BG787"/>
    </row>
    <row r="788" spans="2:59" x14ac:dyDescent="0.25">
      <c r="B788" s="22"/>
      <c r="C788" s="23"/>
      <c r="E788" s="23"/>
      <c r="F788" s="24"/>
      <c r="G788" s="2"/>
      <c r="H788" s="10" t="e">
        <f>_xlfn.XLOOKUP(F788,Viloyatlar24[RegionName],Viloyatlar24[RegionId])</f>
        <v>#N/A</v>
      </c>
      <c r="I788" s="10" t="e">
        <f>_xlfn.XLOOKUP('Кўчмас мулк объектлари'!G788,Tumanlar23[DistrictName],Tumanlar23[DistrictId])</f>
        <v>#N/A</v>
      </c>
      <c r="K788" s="24"/>
      <c r="L788" s="10" t="e">
        <f>_xlfn.XLOOKUP(K788,Ташкилотлар39[Ташкилотлар],Ташкилотлар39[TashklilotID])</f>
        <v>#N/A</v>
      </c>
      <c r="M788" s="26"/>
      <c r="N788" s="26"/>
      <c r="O788" s="24"/>
      <c r="P788" s="2"/>
      <c r="Q788" s="26"/>
      <c r="R788" s="26"/>
      <c r="S788" s="26"/>
      <c r="T788" s="26"/>
      <c r="U788" s="24"/>
      <c r="V788" s="10" t="e">
        <f>_xlfn.XLOOKUP(U788,Таклифлар37[Таклифлар],Таклифлар37[TaklifID])</f>
        <v>#N/A</v>
      </c>
      <c r="W788" s="24"/>
      <c r="X788" s="23"/>
      <c r="Y788" s="7"/>
      <c r="Z788" s="26"/>
      <c r="AB788" s="23"/>
      <c r="AD788" s="2"/>
      <c r="AG788" s="23"/>
      <c r="AI788" s="26"/>
      <c r="AJ788" s="23"/>
      <c r="AM788" s="23"/>
      <c r="AO788" s="32"/>
      <c r="AP788" s="26"/>
      <c r="AR788" s="26"/>
      <c r="AS788" s="27"/>
      <c r="AT788" s="27"/>
      <c r="AU788" s="31"/>
      <c r="AV788" s="24"/>
      <c r="AW788"/>
      <c r="AX788"/>
      <c r="AY788"/>
      <c r="AZ788"/>
      <c r="BA788"/>
      <c r="BB788"/>
      <c r="BC788"/>
      <c r="BD788"/>
      <c r="BE788"/>
      <c r="BF788"/>
      <c r="BG788"/>
    </row>
    <row r="789" spans="2:59" x14ac:dyDescent="0.25">
      <c r="B789" s="22"/>
      <c r="C789" s="23"/>
      <c r="E789" s="23"/>
      <c r="F789" s="24"/>
      <c r="G789" s="2"/>
      <c r="H789" s="10" t="e">
        <f>_xlfn.XLOOKUP(F789,Viloyatlar24[RegionName],Viloyatlar24[RegionId])</f>
        <v>#N/A</v>
      </c>
      <c r="I789" s="10" t="e">
        <f>_xlfn.XLOOKUP('Кўчмас мулк объектлари'!G789,Tumanlar23[DistrictName],Tumanlar23[DistrictId])</f>
        <v>#N/A</v>
      </c>
      <c r="K789" s="24"/>
      <c r="L789" s="10" t="e">
        <f>_xlfn.XLOOKUP(K789,Ташкилотлар39[Ташкилотлар],Ташкилотлар39[TashklilotID])</f>
        <v>#N/A</v>
      </c>
      <c r="M789" s="26"/>
      <c r="N789" s="26"/>
      <c r="O789" s="24"/>
      <c r="P789" s="2"/>
      <c r="Q789" s="26"/>
      <c r="R789" s="26"/>
      <c r="S789" s="26"/>
      <c r="T789" s="26"/>
      <c r="U789" s="24"/>
      <c r="V789" s="10" t="e">
        <f>_xlfn.XLOOKUP(U789,Таклифлар37[Таклифлар],Таклифлар37[TaklifID])</f>
        <v>#N/A</v>
      </c>
      <c r="W789" s="24"/>
      <c r="X789" s="23"/>
      <c r="Y789" s="7"/>
      <c r="Z789" s="26"/>
      <c r="AB789" s="23"/>
      <c r="AD789" s="2"/>
      <c r="AG789" s="23"/>
      <c r="AI789" s="26"/>
      <c r="AJ789" s="23"/>
      <c r="AM789" s="23"/>
      <c r="AO789" s="32"/>
      <c r="AP789" s="26"/>
      <c r="AR789" s="26"/>
      <c r="AS789" s="27"/>
      <c r="AT789" s="27"/>
      <c r="AU789" s="31"/>
      <c r="AV789" s="24"/>
      <c r="AW789"/>
      <c r="AX789"/>
      <c r="AY789"/>
      <c r="AZ789"/>
      <c r="BA789"/>
      <c r="BB789"/>
      <c r="BC789"/>
      <c r="BD789"/>
      <c r="BE789"/>
      <c r="BF789"/>
      <c r="BG789"/>
    </row>
    <row r="790" spans="2:59" x14ac:dyDescent="0.25">
      <c r="B790" s="22"/>
      <c r="C790" s="23"/>
      <c r="E790" s="23"/>
      <c r="F790" s="24"/>
      <c r="G790" s="2"/>
      <c r="H790" s="10" t="e">
        <f>_xlfn.XLOOKUP(F790,Viloyatlar24[RegionName],Viloyatlar24[RegionId])</f>
        <v>#N/A</v>
      </c>
      <c r="I790" s="10" t="e">
        <f>_xlfn.XLOOKUP('Кўчмас мулк объектлари'!G790,Tumanlar23[DistrictName],Tumanlar23[DistrictId])</f>
        <v>#N/A</v>
      </c>
      <c r="K790" s="24"/>
      <c r="L790" s="10" t="e">
        <f>_xlfn.XLOOKUP(K790,Ташкилотлар39[Ташкилотлар],Ташкилотлар39[TashklilotID])</f>
        <v>#N/A</v>
      </c>
      <c r="M790" s="26"/>
      <c r="N790" s="26"/>
      <c r="O790" s="24"/>
      <c r="P790" s="2"/>
      <c r="Q790" s="26"/>
      <c r="R790" s="26"/>
      <c r="S790" s="26"/>
      <c r="T790" s="26"/>
      <c r="U790" s="24"/>
      <c r="V790" s="10" t="e">
        <f>_xlfn.XLOOKUP(U790,Таклифлар37[Таклифлар],Таклифлар37[TaklifID])</f>
        <v>#N/A</v>
      </c>
      <c r="W790" s="24"/>
      <c r="X790" s="23"/>
      <c r="Y790" s="7"/>
      <c r="Z790" s="26"/>
      <c r="AB790" s="23"/>
      <c r="AD790" s="2"/>
      <c r="AG790" s="23"/>
      <c r="AI790" s="26"/>
      <c r="AJ790" s="23"/>
      <c r="AM790" s="23"/>
      <c r="AO790" s="32"/>
      <c r="AP790" s="26"/>
      <c r="AR790" s="26"/>
      <c r="AS790" s="27"/>
      <c r="AT790" s="27"/>
      <c r="AU790" s="31"/>
      <c r="AV790" s="24"/>
      <c r="AW790"/>
      <c r="AX790"/>
      <c r="AY790"/>
      <c r="AZ790"/>
      <c r="BA790"/>
      <c r="BB790"/>
      <c r="BC790"/>
      <c r="BD790"/>
      <c r="BE790"/>
      <c r="BF790"/>
      <c r="BG790"/>
    </row>
    <row r="791" spans="2:59" x14ac:dyDescent="0.25">
      <c r="B791" s="22"/>
      <c r="C791" s="23"/>
      <c r="E791" s="23"/>
      <c r="F791" s="24"/>
      <c r="G791" s="2"/>
      <c r="H791" s="10" t="e">
        <f>_xlfn.XLOOKUP(F791,Viloyatlar24[RegionName],Viloyatlar24[RegionId])</f>
        <v>#N/A</v>
      </c>
      <c r="I791" s="10" t="e">
        <f>_xlfn.XLOOKUP('Кўчмас мулк объектлари'!G791,Tumanlar23[DistrictName],Tumanlar23[DistrictId])</f>
        <v>#N/A</v>
      </c>
      <c r="K791" s="24"/>
      <c r="L791" s="10" t="e">
        <f>_xlfn.XLOOKUP(K791,Ташкилотлар39[Ташкилотлар],Ташкилотлар39[TashklilotID])</f>
        <v>#N/A</v>
      </c>
      <c r="M791" s="26"/>
      <c r="N791" s="26"/>
      <c r="O791" s="24"/>
      <c r="P791" s="2"/>
      <c r="Q791" s="26"/>
      <c r="R791" s="26"/>
      <c r="S791" s="26"/>
      <c r="T791" s="26"/>
      <c r="U791" s="24"/>
      <c r="V791" s="10" t="e">
        <f>_xlfn.XLOOKUP(U791,Таклифлар37[Таклифлар],Таклифлар37[TaklifID])</f>
        <v>#N/A</v>
      </c>
      <c r="W791" s="24"/>
      <c r="X791" s="23"/>
      <c r="Y791" s="7"/>
      <c r="Z791" s="26"/>
      <c r="AB791" s="23"/>
      <c r="AD791" s="2"/>
      <c r="AG791" s="23"/>
      <c r="AI791" s="26"/>
      <c r="AJ791" s="23"/>
      <c r="AM791" s="23"/>
      <c r="AO791" s="32"/>
      <c r="AP791" s="26"/>
      <c r="AR791" s="26"/>
      <c r="AS791" s="27"/>
      <c r="AT791" s="27"/>
      <c r="AU791" s="31"/>
      <c r="AV791" s="24"/>
      <c r="AW791"/>
      <c r="AX791"/>
      <c r="AY791"/>
      <c r="AZ791"/>
      <c r="BA791"/>
      <c r="BB791"/>
      <c r="BC791"/>
      <c r="BD791"/>
      <c r="BE791"/>
      <c r="BF791"/>
      <c r="BG791"/>
    </row>
    <row r="792" spans="2:59" x14ac:dyDescent="0.25">
      <c r="B792" s="22"/>
      <c r="C792" s="23"/>
      <c r="E792" s="23"/>
      <c r="F792" s="24"/>
      <c r="G792" s="2"/>
      <c r="H792" s="10" t="e">
        <f>_xlfn.XLOOKUP(F792,Viloyatlar24[RegionName],Viloyatlar24[RegionId])</f>
        <v>#N/A</v>
      </c>
      <c r="I792" s="10" t="e">
        <f>_xlfn.XLOOKUP('Кўчмас мулк объектлари'!G792,Tumanlar23[DistrictName],Tumanlar23[DistrictId])</f>
        <v>#N/A</v>
      </c>
      <c r="K792" s="24"/>
      <c r="L792" s="10" t="e">
        <f>_xlfn.XLOOKUP(K792,Ташкилотлар39[Ташкилотлар],Ташкилотлар39[TashklilotID])</f>
        <v>#N/A</v>
      </c>
      <c r="M792" s="26"/>
      <c r="N792" s="26"/>
      <c r="O792" s="24"/>
      <c r="P792" s="2"/>
      <c r="Q792" s="26"/>
      <c r="R792" s="26"/>
      <c r="S792" s="26"/>
      <c r="T792" s="26"/>
      <c r="U792" s="24"/>
      <c r="V792" s="10" t="e">
        <f>_xlfn.XLOOKUP(U792,Таклифлар37[Таклифлар],Таклифлар37[TaklifID])</f>
        <v>#N/A</v>
      </c>
      <c r="W792" s="24"/>
      <c r="X792" s="23"/>
      <c r="Y792" s="7"/>
      <c r="Z792" s="26"/>
      <c r="AB792" s="23"/>
      <c r="AD792" s="2"/>
      <c r="AG792" s="23"/>
      <c r="AI792" s="26"/>
      <c r="AJ792" s="23"/>
      <c r="AM792" s="23"/>
      <c r="AO792" s="32"/>
      <c r="AP792" s="26"/>
      <c r="AR792" s="26"/>
      <c r="AS792" s="27"/>
      <c r="AT792" s="27"/>
      <c r="AU792" s="31"/>
      <c r="AV792" s="24"/>
      <c r="AW792"/>
      <c r="AX792"/>
      <c r="AY792"/>
      <c r="AZ792"/>
      <c r="BA792"/>
      <c r="BB792"/>
      <c r="BC792"/>
      <c r="BD792"/>
      <c r="BE792"/>
      <c r="BF792"/>
      <c r="BG792"/>
    </row>
    <row r="793" spans="2:59" x14ac:dyDescent="0.25">
      <c r="B793" s="22"/>
      <c r="C793" s="23"/>
      <c r="E793" s="23"/>
      <c r="F793" s="24"/>
      <c r="G793" s="2"/>
      <c r="H793" s="10" t="e">
        <f>_xlfn.XLOOKUP(F793,Viloyatlar24[RegionName],Viloyatlar24[RegionId])</f>
        <v>#N/A</v>
      </c>
      <c r="I793" s="10" t="e">
        <f>_xlfn.XLOOKUP('Кўчмас мулк объектлари'!G793,Tumanlar23[DistrictName],Tumanlar23[DistrictId])</f>
        <v>#N/A</v>
      </c>
      <c r="K793" s="24"/>
      <c r="L793" s="10" t="e">
        <f>_xlfn.XLOOKUP(K793,Ташкилотлар39[Ташкилотлар],Ташкилотлар39[TashklilotID])</f>
        <v>#N/A</v>
      </c>
      <c r="M793" s="26"/>
      <c r="N793" s="26"/>
      <c r="O793" s="24"/>
      <c r="P793" s="2"/>
      <c r="Q793" s="26"/>
      <c r="R793" s="26"/>
      <c r="S793" s="26"/>
      <c r="T793" s="26"/>
      <c r="U793" s="24"/>
      <c r="V793" s="10" t="e">
        <f>_xlfn.XLOOKUP(U793,Таклифлар37[Таклифлар],Таклифлар37[TaklifID])</f>
        <v>#N/A</v>
      </c>
      <c r="W793" s="24"/>
      <c r="X793" s="23"/>
      <c r="Y793" s="7"/>
      <c r="Z793" s="26"/>
      <c r="AB793" s="23"/>
      <c r="AD793" s="2"/>
      <c r="AG793" s="23"/>
      <c r="AI793" s="26"/>
      <c r="AJ793" s="23"/>
      <c r="AM793" s="23"/>
      <c r="AO793" s="32"/>
      <c r="AP793" s="26"/>
      <c r="AR793" s="26"/>
      <c r="AS793" s="27"/>
      <c r="AT793" s="27"/>
      <c r="AU793" s="31"/>
      <c r="AV793" s="24"/>
      <c r="AW793"/>
      <c r="AX793"/>
      <c r="AY793"/>
      <c r="AZ793"/>
      <c r="BA793"/>
      <c r="BB793"/>
      <c r="BC793"/>
      <c r="BD793"/>
      <c r="BE793"/>
      <c r="BF793"/>
      <c r="BG793"/>
    </row>
    <row r="794" spans="2:59" x14ac:dyDescent="0.25">
      <c r="B794" s="22"/>
      <c r="C794" s="23"/>
      <c r="E794" s="23"/>
      <c r="F794" s="24"/>
      <c r="G794" s="2"/>
      <c r="H794" s="10" t="e">
        <f>_xlfn.XLOOKUP(F794,Viloyatlar24[RegionName],Viloyatlar24[RegionId])</f>
        <v>#N/A</v>
      </c>
      <c r="I794" s="10" t="e">
        <f>_xlfn.XLOOKUP('Кўчмас мулк объектлари'!G794,Tumanlar23[DistrictName],Tumanlar23[DistrictId])</f>
        <v>#N/A</v>
      </c>
      <c r="K794" s="24"/>
      <c r="L794" s="10" t="e">
        <f>_xlfn.XLOOKUP(K794,Ташкилотлар39[Ташкилотлар],Ташкилотлар39[TashklilotID])</f>
        <v>#N/A</v>
      </c>
      <c r="M794" s="26"/>
      <c r="N794" s="26"/>
      <c r="O794" s="24"/>
      <c r="P794" s="2"/>
      <c r="Q794" s="26"/>
      <c r="R794" s="26"/>
      <c r="S794" s="26"/>
      <c r="T794" s="26"/>
      <c r="U794" s="24"/>
      <c r="V794" s="10" t="e">
        <f>_xlfn.XLOOKUP(U794,Таклифлар37[Таклифлар],Таклифлар37[TaklifID])</f>
        <v>#N/A</v>
      </c>
      <c r="W794" s="24"/>
      <c r="X794" s="23"/>
      <c r="Y794" s="7"/>
      <c r="Z794" s="26"/>
      <c r="AB794" s="23"/>
      <c r="AD794" s="2"/>
      <c r="AG794" s="23"/>
      <c r="AI794" s="26"/>
      <c r="AJ794" s="23"/>
      <c r="AM794" s="23"/>
      <c r="AO794" s="32"/>
      <c r="AP794" s="26"/>
      <c r="AR794" s="26"/>
      <c r="AS794" s="27"/>
      <c r="AT794" s="27"/>
      <c r="AU794" s="31"/>
      <c r="AV794" s="24"/>
      <c r="AW794"/>
      <c r="AX794"/>
      <c r="AY794"/>
      <c r="AZ794"/>
      <c r="BA794"/>
      <c r="BB794"/>
      <c r="BC794"/>
      <c r="BD794"/>
      <c r="BE794"/>
      <c r="BF794"/>
      <c r="BG794"/>
    </row>
    <row r="795" spans="2:59" x14ac:dyDescent="0.25">
      <c r="B795" s="22"/>
      <c r="C795" s="23"/>
      <c r="E795" s="23"/>
      <c r="F795" s="24"/>
      <c r="G795" s="2"/>
      <c r="H795" s="10" t="e">
        <f>_xlfn.XLOOKUP(F795,Viloyatlar24[RegionName],Viloyatlar24[RegionId])</f>
        <v>#N/A</v>
      </c>
      <c r="I795" s="10" t="e">
        <f>_xlfn.XLOOKUP('Кўчмас мулк объектлари'!G795,Tumanlar23[DistrictName],Tumanlar23[DistrictId])</f>
        <v>#N/A</v>
      </c>
      <c r="K795" s="24"/>
      <c r="L795" s="10" t="e">
        <f>_xlfn.XLOOKUP(K795,Ташкилотлар39[Ташкилотлар],Ташкилотлар39[TashklilotID])</f>
        <v>#N/A</v>
      </c>
      <c r="M795" s="26"/>
      <c r="N795" s="26"/>
      <c r="O795" s="24"/>
      <c r="P795" s="2"/>
      <c r="Q795" s="26"/>
      <c r="R795" s="26"/>
      <c r="S795" s="26"/>
      <c r="T795" s="26"/>
      <c r="U795" s="24"/>
      <c r="V795" s="10" t="e">
        <f>_xlfn.XLOOKUP(U795,Таклифлар37[Таклифлар],Таклифлар37[TaklifID])</f>
        <v>#N/A</v>
      </c>
      <c r="W795" s="24"/>
      <c r="X795" s="23"/>
      <c r="Y795" s="7"/>
      <c r="Z795" s="26"/>
      <c r="AB795" s="23"/>
      <c r="AD795" s="2"/>
      <c r="AG795" s="23"/>
      <c r="AI795" s="26"/>
      <c r="AJ795" s="23"/>
      <c r="AM795" s="23"/>
      <c r="AO795" s="32"/>
      <c r="AP795" s="26"/>
      <c r="AR795" s="26"/>
      <c r="AS795" s="27"/>
      <c r="AT795" s="27"/>
      <c r="AU795" s="31"/>
      <c r="AV795" s="24"/>
      <c r="AW795"/>
      <c r="AX795"/>
      <c r="AY795"/>
      <c r="AZ795"/>
      <c r="BA795"/>
      <c r="BB795"/>
      <c r="BC795"/>
      <c r="BD795"/>
      <c r="BE795"/>
      <c r="BF795"/>
      <c r="BG795"/>
    </row>
    <row r="796" spans="2:59" x14ac:dyDescent="0.25">
      <c r="B796" s="22"/>
      <c r="C796" s="23"/>
      <c r="E796" s="23"/>
      <c r="F796" s="24"/>
      <c r="G796" s="2"/>
      <c r="H796" s="10" t="e">
        <f>_xlfn.XLOOKUP(F796,Viloyatlar24[RegionName],Viloyatlar24[RegionId])</f>
        <v>#N/A</v>
      </c>
      <c r="I796" s="10" t="e">
        <f>_xlfn.XLOOKUP('Кўчмас мулк объектлари'!G796,Tumanlar23[DistrictName],Tumanlar23[DistrictId])</f>
        <v>#N/A</v>
      </c>
      <c r="K796" s="24"/>
      <c r="L796" s="10" t="e">
        <f>_xlfn.XLOOKUP(K796,Ташкилотлар39[Ташкилотлар],Ташкилотлар39[TashklilotID])</f>
        <v>#N/A</v>
      </c>
      <c r="M796" s="26"/>
      <c r="N796" s="26"/>
      <c r="O796" s="24"/>
      <c r="P796" s="2"/>
      <c r="Q796" s="26"/>
      <c r="R796" s="26"/>
      <c r="S796" s="26"/>
      <c r="T796" s="26"/>
      <c r="U796" s="24"/>
      <c r="V796" s="10" t="e">
        <f>_xlfn.XLOOKUP(U796,Таклифлар37[Таклифлар],Таклифлар37[TaklifID])</f>
        <v>#N/A</v>
      </c>
      <c r="W796" s="24"/>
      <c r="X796" s="23"/>
      <c r="Y796" s="7"/>
      <c r="Z796" s="26"/>
      <c r="AB796" s="23"/>
      <c r="AD796" s="2"/>
      <c r="AG796" s="23"/>
      <c r="AI796" s="26"/>
      <c r="AJ796" s="23"/>
      <c r="AM796" s="23"/>
      <c r="AO796" s="32"/>
      <c r="AP796" s="26"/>
      <c r="AR796" s="26"/>
      <c r="AS796" s="27"/>
      <c r="AT796" s="27"/>
      <c r="AU796" s="31"/>
      <c r="AV796" s="24"/>
      <c r="AW796"/>
      <c r="AX796"/>
      <c r="AY796"/>
      <c r="AZ796"/>
      <c r="BA796"/>
      <c r="BB796"/>
      <c r="BC796"/>
      <c r="BD796"/>
      <c r="BE796"/>
      <c r="BF796"/>
      <c r="BG796"/>
    </row>
    <row r="797" spans="2:59" x14ac:dyDescent="0.25">
      <c r="B797" s="22"/>
      <c r="C797" s="23"/>
      <c r="E797" s="23"/>
      <c r="F797" s="24"/>
      <c r="G797" s="2"/>
      <c r="H797" s="10" t="e">
        <f>_xlfn.XLOOKUP(F797,Viloyatlar24[RegionName],Viloyatlar24[RegionId])</f>
        <v>#N/A</v>
      </c>
      <c r="I797" s="10" t="e">
        <f>_xlfn.XLOOKUP('Кўчмас мулк объектлари'!G797,Tumanlar23[DistrictName],Tumanlar23[DistrictId])</f>
        <v>#N/A</v>
      </c>
      <c r="K797" s="24"/>
      <c r="L797" s="10" t="e">
        <f>_xlfn.XLOOKUP(K797,Ташкилотлар39[Ташкилотлар],Ташкилотлар39[TashklilotID])</f>
        <v>#N/A</v>
      </c>
      <c r="M797" s="26"/>
      <c r="N797" s="26"/>
      <c r="O797" s="24"/>
      <c r="P797" s="2"/>
      <c r="Q797" s="26"/>
      <c r="R797" s="26"/>
      <c r="S797" s="26"/>
      <c r="T797" s="26"/>
      <c r="U797" s="24"/>
      <c r="V797" s="10" t="e">
        <f>_xlfn.XLOOKUP(U797,Таклифлар37[Таклифлар],Таклифлар37[TaklifID])</f>
        <v>#N/A</v>
      </c>
      <c r="W797" s="24"/>
      <c r="X797" s="23"/>
      <c r="Y797" s="7"/>
      <c r="Z797" s="26"/>
      <c r="AB797" s="23"/>
      <c r="AD797" s="2"/>
      <c r="AG797" s="23"/>
      <c r="AI797" s="26"/>
      <c r="AJ797" s="23"/>
      <c r="AM797" s="23"/>
      <c r="AO797" s="32"/>
      <c r="AP797" s="26"/>
      <c r="AR797" s="26"/>
      <c r="AS797" s="27"/>
      <c r="AT797" s="27"/>
      <c r="AU797" s="31"/>
      <c r="AV797" s="24"/>
      <c r="AW797"/>
      <c r="AX797"/>
      <c r="AY797"/>
      <c r="AZ797"/>
      <c r="BA797"/>
      <c r="BB797"/>
      <c r="BC797"/>
      <c r="BD797"/>
      <c r="BE797"/>
      <c r="BF797"/>
      <c r="BG797"/>
    </row>
    <row r="798" spans="2:59" x14ac:dyDescent="0.25">
      <c r="B798" s="22"/>
      <c r="C798" s="23"/>
      <c r="E798" s="23"/>
      <c r="F798" s="24"/>
      <c r="G798" s="2"/>
      <c r="H798" s="10" t="e">
        <f>_xlfn.XLOOKUP(F798,Viloyatlar24[RegionName],Viloyatlar24[RegionId])</f>
        <v>#N/A</v>
      </c>
      <c r="I798" s="10" t="e">
        <f>_xlfn.XLOOKUP('Кўчмас мулк объектлари'!G798,Tumanlar23[DistrictName],Tumanlar23[DistrictId])</f>
        <v>#N/A</v>
      </c>
      <c r="K798" s="24"/>
      <c r="L798" s="10" t="e">
        <f>_xlfn.XLOOKUP(K798,Ташкилотлар39[Ташкилотлар],Ташкилотлар39[TashklilotID])</f>
        <v>#N/A</v>
      </c>
      <c r="M798" s="26"/>
      <c r="N798" s="26"/>
      <c r="O798" s="24"/>
      <c r="P798" s="2"/>
      <c r="Q798" s="26"/>
      <c r="R798" s="26"/>
      <c r="S798" s="26"/>
      <c r="T798" s="26"/>
      <c r="U798" s="24"/>
      <c r="V798" s="10" t="e">
        <f>_xlfn.XLOOKUP(U798,Таклифлар37[Таклифлар],Таклифлар37[TaklifID])</f>
        <v>#N/A</v>
      </c>
      <c r="W798" s="24"/>
      <c r="X798" s="23"/>
      <c r="Y798" s="7"/>
      <c r="Z798" s="26"/>
      <c r="AB798" s="23"/>
      <c r="AD798" s="2"/>
      <c r="AG798" s="23"/>
      <c r="AI798" s="26"/>
      <c r="AJ798" s="23"/>
      <c r="AM798" s="23"/>
      <c r="AO798" s="32"/>
      <c r="AP798" s="26"/>
      <c r="AR798" s="26"/>
      <c r="AS798" s="27"/>
      <c r="AT798" s="27"/>
      <c r="AU798" s="31"/>
      <c r="AV798" s="24"/>
      <c r="AW798"/>
      <c r="AX798"/>
      <c r="AY798"/>
      <c r="AZ798"/>
      <c r="BA798"/>
      <c r="BB798"/>
      <c r="BC798"/>
      <c r="BD798"/>
      <c r="BE798"/>
      <c r="BF798"/>
      <c r="BG798"/>
    </row>
    <row r="799" spans="2:59" x14ac:dyDescent="0.25">
      <c r="B799" s="22"/>
      <c r="C799" s="23"/>
      <c r="E799" s="23"/>
      <c r="F799" s="24"/>
      <c r="G799" s="2"/>
      <c r="H799" s="10" t="e">
        <f>_xlfn.XLOOKUP(F799,Viloyatlar24[RegionName],Viloyatlar24[RegionId])</f>
        <v>#N/A</v>
      </c>
      <c r="I799" s="10" t="e">
        <f>_xlfn.XLOOKUP('Кўчмас мулк объектлари'!G799,Tumanlar23[DistrictName],Tumanlar23[DistrictId])</f>
        <v>#N/A</v>
      </c>
      <c r="K799" s="24"/>
      <c r="L799" s="10" t="e">
        <f>_xlfn.XLOOKUP(K799,Ташкилотлар39[Ташкилотлар],Ташкилотлар39[TashklilotID])</f>
        <v>#N/A</v>
      </c>
      <c r="M799" s="26"/>
      <c r="N799" s="26"/>
      <c r="O799" s="24"/>
      <c r="P799" s="2"/>
      <c r="Q799" s="26"/>
      <c r="R799" s="26"/>
      <c r="S799" s="26"/>
      <c r="T799" s="26"/>
      <c r="U799" s="24"/>
      <c r="V799" s="10" t="e">
        <f>_xlfn.XLOOKUP(U799,Таклифлар37[Таклифлар],Таклифлар37[TaklifID])</f>
        <v>#N/A</v>
      </c>
      <c r="W799" s="24"/>
      <c r="X799" s="23"/>
      <c r="Y799" s="7"/>
      <c r="Z799" s="26"/>
      <c r="AB799" s="23"/>
      <c r="AD799" s="2"/>
      <c r="AG799" s="23"/>
      <c r="AI799" s="26"/>
      <c r="AJ799" s="23"/>
      <c r="AM799" s="23"/>
      <c r="AO799" s="32"/>
      <c r="AP799" s="26"/>
      <c r="AR799" s="26"/>
      <c r="AS799" s="27"/>
      <c r="AT799" s="27"/>
      <c r="AU799" s="31"/>
      <c r="AV799" s="24"/>
      <c r="AW799"/>
      <c r="AX799"/>
      <c r="AY799"/>
      <c r="AZ799"/>
      <c r="BA799"/>
      <c r="BB799"/>
      <c r="BC799"/>
      <c r="BD799"/>
      <c r="BE799"/>
      <c r="BF799"/>
      <c r="BG799"/>
    </row>
    <row r="800" spans="2:59" x14ac:dyDescent="0.25">
      <c r="B800" s="22"/>
      <c r="C800" s="23"/>
      <c r="E800" s="23"/>
      <c r="F800" s="24"/>
      <c r="G800" s="2"/>
      <c r="H800" s="10" t="e">
        <f>_xlfn.XLOOKUP(F800,Viloyatlar24[RegionName],Viloyatlar24[RegionId])</f>
        <v>#N/A</v>
      </c>
      <c r="I800" s="10" t="e">
        <f>_xlfn.XLOOKUP('Кўчмас мулк объектлари'!G800,Tumanlar23[DistrictName],Tumanlar23[DistrictId])</f>
        <v>#N/A</v>
      </c>
      <c r="K800" s="24"/>
      <c r="L800" s="10" t="e">
        <f>_xlfn.XLOOKUP(K800,Ташкилотлар39[Ташкилотлар],Ташкилотлар39[TashklilotID])</f>
        <v>#N/A</v>
      </c>
      <c r="M800" s="26"/>
      <c r="N800" s="26"/>
      <c r="O800" s="24"/>
      <c r="P800" s="2"/>
      <c r="Q800" s="26"/>
      <c r="R800" s="26"/>
      <c r="S800" s="26"/>
      <c r="T800" s="26"/>
      <c r="U800" s="24"/>
      <c r="V800" s="10" t="e">
        <f>_xlfn.XLOOKUP(U800,Таклифлар37[Таклифлар],Таклифлар37[TaklifID])</f>
        <v>#N/A</v>
      </c>
      <c r="W800" s="24"/>
      <c r="X800" s="23"/>
      <c r="Y800" s="7"/>
      <c r="Z800" s="26"/>
      <c r="AB800" s="23"/>
      <c r="AD800" s="2"/>
      <c r="AG800" s="23"/>
      <c r="AI800" s="26"/>
      <c r="AJ800" s="23"/>
      <c r="AM800" s="23"/>
      <c r="AO800" s="32"/>
      <c r="AP800" s="26"/>
      <c r="AR800" s="26"/>
      <c r="AS800" s="27"/>
      <c r="AT800" s="27"/>
      <c r="AU800" s="31"/>
      <c r="AV800" s="24"/>
      <c r="AW800"/>
      <c r="AX800"/>
      <c r="AY800"/>
      <c r="AZ800"/>
      <c r="BA800"/>
      <c r="BB800"/>
      <c r="BC800"/>
      <c r="BD800"/>
      <c r="BE800"/>
      <c r="BF800"/>
      <c r="BG800"/>
    </row>
    <row r="801" spans="2:59" x14ac:dyDescent="0.25">
      <c r="B801" s="22"/>
      <c r="C801" s="23"/>
      <c r="E801" s="23"/>
      <c r="F801" s="24"/>
      <c r="G801" s="2"/>
      <c r="H801" s="10" t="e">
        <f>_xlfn.XLOOKUP(F801,Viloyatlar24[RegionName],Viloyatlar24[RegionId])</f>
        <v>#N/A</v>
      </c>
      <c r="I801" s="10" t="e">
        <f>_xlfn.XLOOKUP('Кўчмас мулк объектлари'!G801,Tumanlar23[DistrictName],Tumanlar23[DistrictId])</f>
        <v>#N/A</v>
      </c>
      <c r="K801" s="24"/>
      <c r="L801" s="10" t="e">
        <f>_xlfn.XLOOKUP(K801,Ташкилотлар39[Ташкилотлар],Ташкилотлар39[TashklilotID])</f>
        <v>#N/A</v>
      </c>
      <c r="M801" s="26"/>
      <c r="N801" s="26"/>
      <c r="O801" s="24"/>
      <c r="P801" s="2"/>
      <c r="Q801" s="26"/>
      <c r="R801" s="26"/>
      <c r="S801" s="26"/>
      <c r="T801" s="26"/>
      <c r="U801" s="24"/>
      <c r="V801" s="10" t="e">
        <f>_xlfn.XLOOKUP(U801,Таклифлар37[Таклифлар],Таклифлар37[TaklifID])</f>
        <v>#N/A</v>
      </c>
      <c r="W801" s="24"/>
      <c r="X801" s="23"/>
      <c r="Y801" s="7"/>
      <c r="Z801" s="26"/>
      <c r="AB801" s="23"/>
      <c r="AD801" s="2"/>
      <c r="AG801" s="23"/>
      <c r="AI801" s="26"/>
      <c r="AJ801" s="23"/>
      <c r="AM801" s="23"/>
      <c r="AO801" s="32"/>
      <c r="AP801" s="26"/>
      <c r="AR801" s="26"/>
      <c r="AS801" s="27"/>
      <c r="AT801" s="27"/>
      <c r="AU801" s="31"/>
      <c r="AV801" s="24"/>
      <c r="AW801"/>
      <c r="AX801"/>
      <c r="AY801"/>
      <c r="AZ801"/>
      <c r="BA801"/>
      <c r="BB801"/>
      <c r="BC801"/>
      <c r="BD801"/>
      <c r="BE801"/>
      <c r="BF801"/>
      <c r="BG801"/>
    </row>
    <row r="802" spans="2:59" x14ac:dyDescent="0.25">
      <c r="B802" s="22"/>
      <c r="C802" s="23"/>
      <c r="E802" s="23"/>
      <c r="F802" s="24"/>
      <c r="G802" s="2"/>
      <c r="H802" s="10" t="e">
        <f>_xlfn.XLOOKUP(F802,Viloyatlar24[RegionName],Viloyatlar24[RegionId])</f>
        <v>#N/A</v>
      </c>
      <c r="I802" s="10" t="e">
        <f>_xlfn.XLOOKUP('Кўчмас мулк объектлари'!G802,Tumanlar23[DistrictName],Tumanlar23[DistrictId])</f>
        <v>#N/A</v>
      </c>
      <c r="K802" s="24"/>
      <c r="L802" s="10" t="e">
        <f>_xlfn.XLOOKUP(K802,Ташкилотлар39[Ташкилотлар],Ташкилотлар39[TashklilotID])</f>
        <v>#N/A</v>
      </c>
      <c r="M802" s="26"/>
      <c r="N802" s="26"/>
      <c r="O802" s="24"/>
      <c r="P802" s="2"/>
      <c r="Q802" s="26"/>
      <c r="R802" s="26"/>
      <c r="S802" s="26"/>
      <c r="T802" s="26"/>
      <c r="U802" s="24"/>
      <c r="V802" s="10" t="e">
        <f>_xlfn.XLOOKUP(U802,Таклифлар37[Таклифлар],Таклифлар37[TaklifID])</f>
        <v>#N/A</v>
      </c>
      <c r="W802" s="24"/>
      <c r="X802" s="23"/>
      <c r="Y802" s="7"/>
      <c r="Z802" s="26"/>
      <c r="AB802" s="23"/>
      <c r="AD802" s="2"/>
      <c r="AG802" s="23"/>
      <c r="AI802" s="26"/>
      <c r="AJ802" s="23"/>
      <c r="AM802" s="23"/>
      <c r="AO802" s="32"/>
      <c r="AP802" s="26"/>
      <c r="AR802" s="26"/>
      <c r="AS802" s="27"/>
      <c r="AT802" s="27"/>
      <c r="AU802" s="31"/>
      <c r="AV802" s="24"/>
      <c r="AW802"/>
      <c r="AX802"/>
      <c r="AY802"/>
      <c r="AZ802"/>
      <c r="BA802"/>
      <c r="BB802"/>
      <c r="BC802"/>
      <c r="BD802"/>
      <c r="BE802"/>
      <c r="BF802"/>
      <c r="BG802"/>
    </row>
    <row r="803" spans="2:59" x14ac:dyDescent="0.25">
      <c r="B803" s="22"/>
      <c r="C803" s="23"/>
      <c r="E803" s="23"/>
      <c r="F803" s="24"/>
      <c r="G803" s="2"/>
      <c r="H803" s="10" t="e">
        <f>_xlfn.XLOOKUP(F803,Viloyatlar24[RegionName],Viloyatlar24[RegionId])</f>
        <v>#N/A</v>
      </c>
      <c r="I803" s="10" t="e">
        <f>_xlfn.XLOOKUP('Кўчмас мулк объектлари'!G803,Tumanlar23[DistrictName],Tumanlar23[DistrictId])</f>
        <v>#N/A</v>
      </c>
      <c r="K803" s="24"/>
      <c r="L803" s="10" t="e">
        <f>_xlfn.XLOOKUP(K803,Ташкилотлар39[Ташкилотлар],Ташкилотлар39[TashklilotID])</f>
        <v>#N/A</v>
      </c>
      <c r="M803" s="26"/>
      <c r="N803" s="26"/>
      <c r="O803" s="24"/>
      <c r="P803" s="2"/>
      <c r="Q803" s="26"/>
      <c r="R803" s="26"/>
      <c r="S803" s="26"/>
      <c r="T803" s="26"/>
      <c r="U803" s="24"/>
      <c r="V803" s="10" t="e">
        <f>_xlfn.XLOOKUP(U803,Таклифлар37[Таклифлар],Таклифлар37[TaklifID])</f>
        <v>#N/A</v>
      </c>
      <c r="W803" s="24"/>
      <c r="X803" s="23"/>
      <c r="Y803" s="7"/>
      <c r="Z803" s="26"/>
      <c r="AB803" s="23"/>
      <c r="AD803" s="2"/>
      <c r="AG803" s="23"/>
      <c r="AI803" s="26"/>
      <c r="AJ803" s="23"/>
      <c r="AM803" s="23"/>
      <c r="AO803" s="32"/>
      <c r="AP803" s="26"/>
      <c r="AR803" s="26"/>
      <c r="AS803" s="27"/>
      <c r="AT803" s="27"/>
      <c r="AU803" s="31"/>
      <c r="AV803" s="24"/>
      <c r="AW803"/>
      <c r="AX803"/>
      <c r="AY803"/>
      <c r="AZ803"/>
      <c r="BA803"/>
      <c r="BB803"/>
      <c r="BC803"/>
      <c r="BD803"/>
      <c r="BE803"/>
      <c r="BF803"/>
      <c r="BG803"/>
    </row>
    <row r="804" spans="2:59" x14ac:dyDescent="0.25">
      <c r="B804" s="22"/>
      <c r="C804" s="23"/>
      <c r="E804" s="23"/>
      <c r="F804" s="24"/>
      <c r="G804" s="2"/>
      <c r="H804" s="10" t="e">
        <f>_xlfn.XLOOKUP(F804,Viloyatlar24[RegionName],Viloyatlar24[RegionId])</f>
        <v>#N/A</v>
      </c>
      <c r="I804" s="10" t="e">
        <f>_xlfn.XLOOKUP('Кўчмас мулк объектлари'!G804,Tumanlar23[DistrictName],Tumanlar23[DistrictId])</f>
        <v>#N/A</v>
      </c>
      <c r="K804" s="24"/>
      <c r="L804" s="10" t="e">
        <f>_xlfn.XLOOKUP(K804,Ташкилотлар39[Ташкилотлар],Ташкилотлар39[TashklilotID])</f>
        <v>#N/A</v>
      </c>
      <c r="M804" s="26"/>
      <c r="N804" s="26"/>
      <c r="O804" s="24"/>
      <c r="P804" s="2"/>
      <c r="Q804" s="26"/>
      <c r="R804" s="26"/>
      <c r="S804" s="26"/>
      <c r="T804" s="26"/>
      <c r="U804" s="24"/>
      <c r="V804" s="10" t="e">
        <f>_xlfn.XLOOKUP(U804,Таклифлар37[Таклифлар],Таклифлар37[TaklifID])</f>
        <v>#N/A</v>
      </c>
      <c r="W804" s="24"/>
      <c r="X804" s="23"/>
      <c r="Y804" s="7"/>
      <c r="Z804" s="26"/>
      <c r="AB804" s="23"/>
      <c r="AD804" s="2"/>
      <c r="AG804" s="23"/>
      <c r="AI804" s="26"/>
      <c r="AJ804" s="23"/>
      <c r="AM804" s="23"/>
      <c r="AO804" s="32"/>
      <c r="AP804" s="26"/>
      <c r="AR804" s="26"/>
      <c r="AS804" s="27"/>
      <c r="AT804" s="27"/>
      <c r="AU804" s="31"/>
      <c r="AV804" s="24"/>
      <c r="AW804"/>
      <c r="AX804"/>
      <c r="AY804"/>
      <c r="AZ804"/>
      <c r="BA804"/>
      <c r="BB804"/>
      <c r="BC804"/>
      <c r="BD804"/>
      <c r="BE804"/>
      <c r="BF804"/>
      <c r="BG804"/>
    </row>
    <row r="805" spans="2:59" x14ac:dyDescent="0.25">
      <c r="B805" s="22"/>
      <c r="C805" s="23"/>
      <c r="E805" s="23"/>
      <c r="F805" s="24"/>
      <c r="G805" s="2"/>
      <c r="H805" s="10" t="e">
        <f>_xlfn.XLOOKUP(F805,Viloyatlar24[RegionName],Viloyatlar24[RegionId])</f>
        <v>#N/A</v>
      </c>
      <c r="I805" s="10" t="e">
        <f>_xlfn.XLOOKUP('Кўчмас мулк объектлари'!G805,Tumanlar23[DistrictName],Tumanlar23[DistrictId])</f>
        <v>#N/A</v>
      </c>
      <c r="K805" s="24"/>
      <c r="L805" s="10" t="e">
        <f>_xlfn.XLOOKUP(K805,Ташкилотлар39[Ташкилотлар],Ташкилотлар39[TashklilotID])</f>
        <v>#N/A</v>
      </c>
      <c r="M805" s="26"/>
      <c r="N805" s="26"/>
      <c r="O805" s="24"/>
      <c r="P805" s="2"/>
      <c r="Q805" s="26"/>
      <c r="R805" s="26"/>
      <c r="S805" s="26"/>
      <c r="T805" s="26"/>
      <c r="U805" s="24"/>
      <c r="V805" s="10" t="e">
        <f>_xlfn.XLOOKUP(U805,Таклифлар37[Таклифлар],Таклифлар37[TaklifID])</f>
        <v>#N/A</v>
      </c>
      <c r="W805" s="24"/>
      <c r="X805" s="23"/>
      <c r="Y805" s="7"/>
      <c r="Z805" s="26"/>
      <c r="AB805" s="23"/>
      <c r="AD805" s="2"/>
      <c r="AG805" s="23"/>
      <c r="AI805" s="26"/>
      <c r="AJ805" s="23"/>
      <c r="AM805" s="23"/>
      <c r="AO805" s="32"/>
      <c r="AP805" s="26"/>
      <c r="AR805" s="26"/>
      <c r="AS805" s="27"/>
      <c r="AT805" s="27"/>
      <c r="AU805" s="31"/>
      <c r="AV805" s="24"/>
      <c r="AW805"/>
      <c r="AX805"/>
      <c r="AY805"/>
      <c r="AZ805"/>
      <c r="BA805"/>
      <c r="BB805"/>
      <c r="BC805"/>
      <c r="BD805"/>
      <c r="BE805"/>
      <c r="BF805"/>
      <c r="BG805"/>
    </row>
    <row r="806" spans="2:59" x14ac:dyDescent="0.25">
      <c r="B806" s="22"/>
      <c r="C806" s="23"/>
      <c r="E806" s="23"/>
      <c r="F806" s="24"/>
      <c r="G806" s="2"/>
      <c r="H806" s="10" t="e">
        <f>_xlfn.XLOOKUP(F806,Viloyatlar24[RegionName],Viloyatlar24[RegionId])</f>
        <v>#N/A</v>
      </c>
      <c r="I806" s="10" t="e">
        <f>_xlfn.XLOOKUP('Кўчмас мулк объектлари'!G806,Tumanlar23[DistrictName],Tumanlar23[DistrictId])</f>
        <v>#N/A</v>
      </c>
      <c r="K806" s="24"/>
      <c r="L806" s="10" t="e">
        <f>_xlfn.XLOOKUP(K806,Ташкилотлар39[Ташкилотлар],Ташкилотлар39[TashklilotID])</f>
        <v>#N/A</v>
      </c>
      <c r="M806" s="26"/>
      <c r="N806" s="26"/>
      <c r="O806" s="24"/>
      <c r="P806" s="2"/>
      <c r="Q806" s="26"/>
      <c r="R806" s="26"/>
      <c r="S806" s="26"/>
      <c r="T806" s="26"/>
      <c r="U806" s="24"/>
      <c r="V806" s="10" t="e">
        <f>_xlfn.XLOOKUP(U806,Таклифлар37[Таклифлар],Таклифлар37[TaklifID])</f>
        <v>#N/A</v>
      </c>
      <c r="W806" s="24"/>
      <c r="X806" s="23"/>
      <c r="Y806" s="7"/>
      <c r="Z806" s="26"/>
      <c r="AB806" s="23"/>
      <c r="AD806" s="2"/>
      <c r="AG806" s="23"/>
      <c r="AI806" s="26"/>
      <c r="AJ806" s="23"/>
      <c r="AM806" s="23"/>
      <c r="AO806" s="32"/>
      <c r="AP806" s="26"/>
      <c r="AR806" s="26"/>
      <c r="AS806" s="27"/>
      <c r="AT806" s="27"/>
      <c r="AU806" s="31"/>
      <c r="AV806" s="24"/>
      <c r="AW806"/>
      <c r="AX806"/>
      <c r="AY806"/>
      <c r="AZ806"/>
      <c r="BA806"/>
      <c r="BB806"/>
      <c r="BC806"/>
      <c r="BD806"/>
      <c r="BE806"/>
      <c r="BF806"/>
      <c r="BG806"/>
    </row>
    <row r="807" spans="2:59" x14ac:dyDescent="0.25">
      <c r="B807" s="22"/>
      <c r="C807" s="23"/>
      <c r="E807" s="23"/>
      <c r="F807" s="24"/>
      <c r="G807" s="2"/>
      <c r="H807" s="10" t="e">
        <f>_xlfn.XLOOKUP(F807,Viloyatlar24[RegionName],Viloyatlar24[RegionId])</f>
        <v>#N/A</v>
      </c>
      <c r="I807" s="10" t="e">
        <f>_xlfn.XLOOKUP('Кўчмас мулк объектлари'!G807,Tumanlar23[DistrictName],Tumanlar23[DistrictId])</f>
        <v>#N/A</v>
      </c>
      <c r="K807" s="24"/>
      <c r="L807" s="10" t="e">
        <f>_xlfn.XLOOKUP(K807,Ташкилотлар39[Ташкилотлар],Ташкилотлар39[TashklilotID])</f>
        <v>#N/A</v>
      </c>
      <c r="M807" s="26"/>
      <c r="N807" s="26"/>
      <c r="O807" s="24"/>
      <c r="P807" s="2"/>
      <c r="Q807" s="26"/>
      <c r="R807" s="26"/>
      <c r="S807" s="26"/>
      <c r="T807" s="26"/>
      <c r="U807" s="24"/>
      <c r="V807" s="10" t="e">
        <f>_xlfn.XLOOKUP(U807,Таклифлар37[Таклифлар],Таклифлар37[TaklifID])</f>
        <v>#N/A</v>
      </c>
      <c r="W807" s="24"/>
      <c r="X807" s="23"/>
      <c r="Y807" s="7"/>
      <c r="Z807" s="26"/>
      <c r="AB807" s="23"/>
      <c r="AD807" s="2"/>
      <c r="AG807" s="23"/>
      <c r="AI807" s="26"/>
      <c r="AJ807" s="23"/>
      <c r="AM807" s="23"/>
      <c r="AO807" s="32"/>
      <c r="AP807" s="26"/>
      <c r="AR807" s="26"/>
      <c r="AS807" s="27"/>
      <c r="AT807" s="27"/>
      <c r="AU807" s="31"/>
      <c r="AV807" s="24"/>
      <c r="AW807"/>
      <c r="AX807"/>
      <c r="AY807"/>
      <c r="AZ807"/>
      <c r="BA807"/>
      <c r="BB807"/>
      <c r="BC807"/>
      <c r="BD807"/>
      <c r="BE807"/>
      <c r="BF807"/>
      <c r="BG807"/>
    </row>
    <row r="808" spans="2:59" x14ac:dyDescent="0.25">
      <c r="B808" s="22"/>
      <c r="C808" s="23"/>
      <c r="E808" s="23"/>
      <c r="F808" s="24"/>
      <c r="G808" s="2"/>
      <c r="H808" s="10" t="e">
        <f>_xlfn.XLOOKUP(F808,Viloyatlar24[RegionName],Viloyatlar24[RegionId])</f>
        <v>#N/A</v>
      </c>
      <c r="I808" s="10" t="e">
        <f>_xlfn.XLOOKUP('Кўчмас мулк объектлари'!G808,Tumanlar23[DistrictName],Tumanlar23[DistrictId])</f>
        <v>#N/A</v>
      </c>
      <c r="K808" s="24"/>
      <c r="L808" s="10" t="e">
        <f>_xlfn.XLOOKUP(K808,Ташкилотлар39[Ташкилотлар],Ташкилотлар39[TashklilotID])</f>
        <v>#N/A</v>
      </c>
      <c r="M808" s="26"/>
      <c r="N808" s="26"/>
      <c r="O808" s="24"/>
      <c r="P808" s="2"/>
      <c r="Q808" s="26"/>
      <c r="R808" s="26"/>
      <c r="S808" s="26"/>
      <c r="T808" s="26"/>
      <c r="U808" s="24"/>
      <c r="V808" s="10" t="e">
        <f>_xlfn.XLOOKUP(U808,Таклифлар37[Таклифлар],Таклифлар37[TaklifID])</f>
        <v>#N/A</v>
      </c>
      <c r="W808" s="24"/>
      <c r="X808" s="23"/>
      <c r="Y808" s="7"/>
      <c r="Z808" s="26"/>
      <c r="AB808" s="23"/>
      <c r="AD808" s="2"/>
      <c r="AG808" s="23"/>
      <c r="AI808" s="26"/>
      <c r="AJ808" s="23"/>
      <c r="AM808" s="23"/>
      <c r="AO808" s="32"/>
      <c r="AP808" s="26"/>
      <c r="AR808" s="26"/>
      <c r="AS808" s="27"/>
      <c r="AT808" s="27"/>
      <c r="AU808" s="31"/>
      <c r="AV808" s="24"/>
      <c r="AW808"/>
      <c r="AX808"/>
      <c r="AY808"/>
      <c r="AZ808"/>
      <c r="BA808"/>
      <c r="BB808"/>
      <c r="BC808"/>
      <c r="BD808"/>
      <c r="BE808"/>
      <c r="BF808"/>
      <c r="BG808"/>
    </row>
    <row r="809" spans="2:59" x14ac:dyDescent="0.25">
      <c r="B809" s="22"/>
      <c r="C809" s="23"/>
      <c r="E809" s="23"/>
      <c r="F809" s="24"/>
      <c r="G809" s="2"/>
      <c r="H809" s="10" t="e">
        <f>_xlfn.XLOOKUP(F809,Viloyatlar24[RegionName],Viloyatlar24[RegionId])</f>
        <v>#N/A</v>
      </c>
      <c r="I809" s="10" t="e">
        <f>_xlfn.XLOOKUP('Кўчмас мулк объектлари'!G809,Tumanlar23[DistrictName],Tumanlar23[DistrictId])</f>
        <v>#N/A</v>
      </c>
      <c r="K809" s="24"/>
      <c r="L809" s="10" t="e">
        <f>_xlfn.XLOOKUP(K809,Ташкилотлар39[Ташкилотлар],Ташкилотлар39[TashklilotID])</f>
        <v>#N/A</v>
      </c>
      <c r="M809" s="26"/>
      <c r="N809" s="26"/>
      <c r="O809" s="24"/>
      <c r="P809" s="2"/>
      <c r="Q809" s="26"/>
      <c r="R809" s="26"/>
      <c r="S809" s="26"/>
      <c r="T809" s="26"/>
      <c r="U809" s="24"/>
      <c r="V809" s="10" t="e">
        <f>_xlfn.XLOOKUP(U809,Таклифлар37[Таклифлар],Таклифлар37[TaklifID])</f>
        <v>#N/A</v>
      </c>
      <c r="W809" s="24"/>
      <c r="X809" s="23"/>
      <c r="Y809" s="7"/>
      <c r="Z809" s="26"/>
      <c r="AB809" s="23"/>
      <c r="AD809" s="2"/>
      <c r="AG809" s="23"/>
      <c r="AI809" s="26"/>
      <c r="AJ809" s="23"/>
      <c r="AM809" s="23"/>
      <c r="AO809" s="32"/>
      <c r="AP809" s="26"/>
      <c r="AR809" s="26"/>
      <c r="AS809" s="27"/>
      <c r="AT809" s="27"/>
      <c r="AU809" s="31"/>
      <c r="AV809" s="24"/>
      <c r="AW809"/>
      <c r="AX809"/>
      <c r="AY809"/>
      <c r="AZ809"/>
      <c r="BA809"/>
      <c r="BB809"/>
      <c r="BC809"/>
      <c r="BD809"/>
      <c r="BE809"/>
      <c r="BF809"/>
      <c r="BG809"/>
    </row>
    <row r="810" spans="2:59" x14ac:dyDescent="0.25">
      <c r="B810" s="22"/>
      <c r="C810" s="23"/>
      <c r="E810" s="23"/>
      <c r="F810" s="24"/>
      <c r="G810" s="2"/>
      <c r="H810" s="10" t="e">
        <f>_xlfn.XLOOKUP(F810,Viloyatlar24[RegionName],Viloyatlar24[RegionId])</f>
        <v>#N/A</v>
      </c>
      <c r="I810" s="10" t="e">
        <f>_xlfn.XLOOKUP('Кўчмас мулк объектлари'!G810,Tumanlar23[DistrictName],Tumanlar23[DistrictId])</f>
        <v>#N/A</v>
      </c>
      <c r="K810" s="24"/>
      <c r="L810" s="10" t="e">
        <f>_xlfn.XLOOKUP(K810,Ташкилотлар39[Ташкилотлар],Ташкилотлар39[TashklilotID])</f>
        <v>#N/A</v>
      </c>
      <c r="M810" s="26"/>
      <c r="N810" s="26"/>
      <c r="O810" s="24"/>
      <c r="P810" s="2"/>
      <c r="Q810" s="26"/>
      <c r="R810" s="26"/>
      <c r="S810" s="26"/>
      <c r="T810" s="26"/>
      <c r="U810" s="24"/>
      <c r="V810" s="10" t="e">
        <f>_xlfn.XLOOKUP(U810,Таклифлар37[Таклифлар],Таклифлар37[TaklifID])</f>
        <v>#N/A</v>
      </c>
      <c r="W810" s="24"/>
      <c r="X810" s="23"/>
      <c r="Y810" s="7"/>
      <c r="Z810" s="26"/>
      <c r="AB810" s="23"/>
      <c r="AD810" s="2"/>
      <c r="AG810" s="23"/>
      <c r="AI810" s="26"/>
      <c r="AJ810" s="23"/>
      <c r="AM810" s="23"/>
      <c r="AO810" s="32"/>
      <c r="AP810" s="26"/>
      <c r="AR810" s="26"/>
      <c r="AS810" s="27"/>
      <c r="AT810" s="27"/>
      <c r="AU810" s="31"/>
      <c r="AV810" s="24"/>
      <c r="AW810"/>
      <c r="AX810"/>
      <c r="AY810"/>
      <c r="AZ810"/>
      <c r="BA810"/>
      <c r="BB810"/>
      <c r="BC810"/>
      <c r="BD810"/>
      <c r="BE810"/>
      <c r="BF810"/>
      <c r="BG810"/>
    </row>
    <row r="811" spans="2:59" x14ac:dyDescent="0.25">
      <c r="B811" s="22"/>
      <c r="C811" s="23"/>
      <c r="E811" s="23"/>
      <c r="F811" s="24"/>
      <c r="G811" s="2"/>
      <c r="H811" s="10" t="e">
        <f>_xlfn.XLOOKUP(F811,Viloyatlar24[RegionName],Viloyatlar24[RegionId])</f>
        <v>#N/A</v>
      </c>
      <c r="I811" s="10" t="e">
        <f>_xlfn.XLOOKUP('Кўчмас мулк объектлари'!G811,Tumanlar23[DistrictName],Tumanlar23[DistrictId])</f>
        <v>#N/A</v>
      </c>
      <c r="K811" s="24"/>
      <c r="L811" s="10" t="e">
        <f>_xlfn.XLOOKUP(K811,Ташкилотлар39[Ташкилотлар],Ташкилотлар39[TashklilotID])</f>
        <v>#N/A</v>
      </c>
      <c r="M811" s="26"/>
      <c r="N811" s="26"/>
      <c r="O811" s="24"/>
      <c r="P811" s="2"/>
      <c r="Q811" s="26"/>
      <c r="R811" s="26"/>
      <c r="S811" s="26"/>
      <c r="T811" s="26"/>
      <c r="U811" s="24"/>
      <c r="V811" s="10" t="e">
        <f>_xlfn.XLOOKUP(U811,Таклифлар37[Таклифлар],Таклифлар37[TaklifID])</f>
        <v>#N/A</v>
      </c>
      <c r="W811" s="24"/>
      <c r="X811" s="23"/>
      <c r="Y811" s="7"/>
      <c r="Z811" s="26"/>
      <c r="AB811" s="23"/>
      <c r="AD811" s="2"/>
      <c r="AG811" s="23"/>
      <c r="AI811" s="26"/>
      <c r="AJ811" s="23"/>
      <c r="AM811" s="23"/>
      <c r="AO811" s="32"/>
      <c r="AP811" s="26"/>
      <c r="AR811" s="26"/>
      <c r="AS811" s="27"/>
      <c r="AT811" s="27"/>
      <c r="AU811" s="31"/>
      <c r="AV811" s="24"/>
      <c r="AW811"/>
      <c r="AX811"/>
      <c r="AY811"/>
      <c r="AZ811"/>
      <c r="BA811"/>
      <c r="BB811"/>
      <c r="BC811"/>
      <c r="BD811"/>
      <c r="BE811"/>
      <c r="BF811"/>
      <c r="BG811"/>
    </row>
    <row r="812" spans="2:59" x14ac:dyDescent="0.25">
      <c r="B812" s="22"/>
      <c r="C812" s="23"/>
      <c r="E812" s="23"/>
      <c r="F812" s="24"/>
      <c r="G812" s="2"/>
      <c r="H812" s="10" t="e">
        <f>_xlfn.XLOOKUP(F812,Viloyatlar24[RegionName],Viloyatlar24[RegionId])</f>
        <v>#N/A</v>
      </c>
      <c r="I812" s="10" t="e">
        <f>_xlfn.XLOOKUP('Кўчмас мулк объектлари'!G812,Tumanlar23[DistrictName],Tumanlar23[DistrictId])</f>
        <v>#N/A</v>
      </c>
      <c r="K812" s="24"/>
      <c r="L812" s="10" t="e">
        <f>_xlfn.XLOOKUP(K812,Ташкилотлар39[Ташкилотлар],Ташкилотлар39[TashklilotID])</f>
        <v>#N/A</v>
      </c>
      <c r="M812" s="26"/>
      <c r="N812" s="26"/>
      <c r="O812" s="24"/>
      <c r="P812" s="2"/>
      <c r="Q812" s="26"/>
      <c r="R812" s="26"/>
      <c r="S812" s="26"/>
      <c r="T812" s="26"/>
      <c r="U812" s="24"/>
      <c r="V812" s="10" t="e">
        <f>_xlfn.XLOOKUP(U812,Таклифлар37[Таклифлар],Таклифлар37[TaklifID])</f>
        <v>#N/A</v>
      </c>
      <c r="W812" s="24"/>
      <c r="X812" s="23"/>
      <c r="Y812" s="7"/>
      <c r="Z812" s="26"/>
      <c r="AB812" s="23"/>
      <c r="AD812" s="2"/>
      <c r="AG812" s="23"/>
      <c r="AI812" s="26"/>
      <c r="AJ812" s="23"/>
      <c r="AM812" s="23"/>
      <c r="AO812" s="32"/>
      <c r="AP812" s="26"/>
      <c r="AR812" s="26"/>
      <c r="AS812" s="27"/>
      <c r="AT812" s="27"/>
      <c r="AU812" s="31"/>
      <c r="AV812" s="24"/>
      <c r="AW812"/>
      <c r="AX812"/>
      <c r="AY812"/>
      <c r="AZ812"/>
      <c r="BA812"/>
      <c r="BB812"/>
      <c r="BC812"/>
      <c r="BD812"/>
      <c r="BE812"/>
      <c r="BF812"/>
      <c r="BG812"/>
    </row>
    <row r="813" spans="2:59" x14ac:dyDescent="0.25">
      <c r="B813" s="22"/>
      <c r="C813" s="23"/>
      <c r="E813" s="23"/>
      <c r="F813" s="24"/>
      <c r="G813" s="2"/>
      <c r="H813" s="10" t="e">
        <f>_xlfn.XLOOKUP(F813,Viloyatlar24[RegionName],Viloyatlar24[RegionId])</f>
        <v>#N/A</v>
      </c>
      <c r="I813" s="10" t="e">
        <f>_xlfn.XLOOKUP('Кўчмас мулк объектлари'!G813,Tumanlar23[DistrictName],Tumanlar23[DistrictId])</f>
        <v>#N/A</v>
      </c>
      <c r="K813" s="24"/>
      <c r="L813" s="10" t="e">
        <f>_xlfn.XLOOKUP(K813,Ташкилотлар39[Ташкилотлар],Ташкилотлар39[TashklilotID])</f>
        <v>#N/A</v>
      </c>
      <c r="M813" s="26"/>
      <c r="N813" s="26"/>
      <c r="O813" s="24"/>
      <c r="P813" s="2"/>
      <c r="Q813" s="26"/>
      <c r="R813" s="26"/>
      <c r="S813" s="26"/>
      <c r="T813" s="26"/>
      <c r="U813" s="24"/>
      <c r="V813" s="10" t="e">
        <f>_xlfn.XLOOKUP(U813,Таклифлар37[Таклифлар],Таклифлар37[TaklifID])</f>
        <v>#N/A</v>
      </c>
      <c r="W813" s="24"/>
      <c r="X813" s="23"/>
      <c r="Y813" s="7"/>
      <c r="Z813" s="26"/>
      <c r="AB813" s="23"/>
      <c r="AD813" s="2"/>
      <c r="AG813" s="23"/>
      <c r="AI813" s="26"/>
      <c r="AJ813" s="23"/>
      <c r="AM813" s="23"/>
      <c r="AO813" s="32"/>
      <c r="AP813" s="26"/>
      <c r="AR813" s="26"/>
      <c r="AS813" s="27"/>
      <c r="AT813" s="27"/>
      <c r="AU813" s="31"/>
      <c r="AV813" s="24"/>
      <c r="AW813"/>
      <c r="AX813"/>
      <c r="AY813"/>
      <c r="AZ813"/>
      <c r="BA813"/>
      <c r="BB813"/>
      <c r="BC813"/>
      <c r="BD813"/>
      <c r="BE813"/>
      <c r="BF813"/>
      <c r="BG813"/>
    </row>
    <row r="814" spans="2:59" x14ac:dyDescent="0.25">
      <c r="B814" s="22"/>
      <c r="C814" s="23"/>
      <c r="E814" s="23"/>
      <c r="F814" s="24"/>
      <c r="G814" s="2"/>
      <c r="H814" s="10" t="e">
        <f>_xlfn.XLOOKUP(F814,Viloyatlar24[RegionName],Viloyatlar24[RegionId])</f>
        <v>#N/A</v>
      </c>
      <c r="I814" s="10" t="e">
        <f>_xlfn.XLOOKUP('Кўчмас мулк объектлари'!G814,Tumanlar23[DistrictName],Tumanlar23[DistrictId])</f>
        <v>#N/A</v>
      </c>
      <c r="K814" s="24"/>
      <c r="L814" s="10" t="e">
        <f>_xlfn.XLOOKUP(K814,Ташкилотлар39[Ташкилотлар],Ташкилотлар39[TashklilotID])</f>
        <v>#N/A</v>
      </c>
      <c r="M814" s="26"/>
      <c r="N814" s="26"/>
      <c r="O814" s="24"/>
      <c r="P814" s="2"/>
      <c r="Q814" s="26"/>
      <c r="R814" s="26"/>
      <c r="S814" s="26"/>
      <c r="T814" s="26"/>
      <c r="U814" s="24"/>
      <c r="V814" s="10" t="e">
        <f>_xlfn.XLOOKUP(U814,Таклифлар37[Таклифлар],Таклифлар37[TaklifID])</f>
        <v>#N/A</v>
      </c>
      <c r="W814" s="24"/>
      <c r="X814" s="23"/>
      <c r="Y814" s="7"/>
      <c r="Z814" s="26"/>
      <c r="AB814" s="23"/>
      <c r="AD814" s="2"/>
      <c r="AG814" s="23"/>
      <c r="AI814" s="26"/>
      <c r="AJ814" s="23"/>
      <c r="AM814" s="23"/>
      <c r="AO814" s="32"/>
      <c r="AP814" s="26"/>
      <c r="AR814" s="26"/>
      <c r="AS814" s="27"/>
      <c r="AT814" s="27"/>
      <c r="AU814" s="31"/>
      <c r="AV814" s="24"/>
      <c r="AW814"/>
      <c r="AX814"/>
      <c r="AY814"/>
      <c r="AZ814"/>
      <c r="BA814"/>
      <c r="BB814"/>
      <c r="BC814"/>
      <c r="BD814"/>
      <c r="BE814"/>
      <c r="BF814"/>
      <c r="BG814"/>
    </row>
    <row r="815" spans="2:59" x14ac:dyDescent="0.25">
      <c r="B815" s="22"/>
      <c r="C815" s="23"/>
      <c r="E815" s="23"/>
      <c r="F815" s="24"/>
      <c r="G815" s="2"/>
      <c r="H815" s="10" t="e">
        <f>_xlfn.XLOOKUP(F815,Viloyatlar24[RegionName],Viloyatlar24[RegionId])</f>
        <v>#N/A</v>
      </c>
      <c r="I815" s="10" t="e">
        <f>_xlfn.XLOOKUP('Кўчмас мулк объектлари'!G815,Tumanlar23[DistrictName],Tumanlar23[DistrictId])</f>
        <v>#N/A</v>
      </c>
      <c r="K815" s="24"/>
      <c r="L815" s="10" t="e">
        <f>_xlfn.XLOOKUP(K815,Ташкилотлар39[Ташкилотлар],Ташкилотлар39[TashklilotID])</f>
        <v>#N/A</v>
      </c>
      <c r="M815" s="26"/>
      <c r="N815" s="26"/>
      <c r="O815" s="24"/>
      <c r="P815" s="2"/>
      <c r="Q815" s="26"/>
      <c r="R815" s="26"/>
      <c r="S815" s="26"/>
      <c r="T815" s="26"/>
      <c r="U815" s="24"/>
      <c r="V815" s="10" t="e">
        <f>_xlfn.XLOOKUP(U815,Таклифлар37[Таклифлар],Таклифлар37[TaklifID])</f>
        <v>#N/A</v>
      </c>
      <c r="W815" s="24"/>
      <c r="X815" s="23"/>
      <c r="Y815" s="7"/>
      <c r="Z815" s="26"/>
      <c r="AB815" s="23"/>
      <c r="AD815" s="2"/>
      <c r="AG815" s="23"/>
      <c r="AI815" s="26"/>
      <c r="AJ815" s="23"/>
      <c r="AM815" s="23"/>
      <c r="AO815" s="32"/>
      <c r="AP815" s="26"/>
      <c r="AR815" s="26"/>
      <c r="AS815" s="27"/>
      <c r="AT815" s="27"/>
      <c r="AU815" s="31"/>
      <c r="AV815" s="24"/>
      <c r="AW815"/>
      <c r="AX815"/>
      <c r="AY815"/>
      <c r="AZ815"/>
      <c r="BA815"/>
      <c r="BB815"/>
      <c r="BC815"/>
      <c r="BD815"/>
      <c r="BE815"/>
      <c r="BF815"/>
      <c r="BG815"/>
    </row>
    <row r="816" spans="2:59" x14ac:dyDescent="0.25">
      <c r="B816" s="22"/>
      <c r="C816" s="23"/>
      <c r="E816" s="23"/>
      <c r="F816" s="24"/>
      <c r="G816" s="2"/>
      <c r="H816" s="10" t="e">
        <f>_xlfn.XLOOKUP(F816,Viloyatlar24[RegionName],Viloyatlar24[RegionId])</f>
        <v>#N/A</v>
      </c>
      <c r="I816" s="10" t="e">
        <f>_xlfn.XLOOKUP('Кўчмас мулк объектлари'!G816,Tumanlar23[DistrictName],Tumanlar23[DistrictId])</f>
        <v>#N/A</v>
      </c>
      <c r="K816" s="24"/>
      <c r="L816" s="10" t="e">
        <f>_xlfn.XLOOKUP(K816,Ташкилотлар39[Ташкилотлар],Ташкилотлар39[TashklilotID])</f>
        <v>#N/A</v>
      </c>
      <c r="M816" s="26"/>
      <c r="N816" s="26"/>
      <c r="O816" s="24"/>
      <c r="P816" s="2"/>
      <c r="Q816" s="26"/>
      <c r="R816" s="26"/>
      <c r="S816" s="26"/>
      <c r="T816" s="26"/>
      <c r="U816" s="24"/>
      <c r="V816" s="10" t="e">
        <f>_xlfn.XLOOKUP(U816,Таклифлар37[Таклифлар],Таклифлар37[TaklifID])</f>
        <v>#N/A</v>
      </c>
      <c r="W816" s="24"/>
      <c r="X816" s="23"/>
      <c r="Y816" s="7"/>
      <c r="Z816" s="26"/>
      <c r="AB816" s="23"/>
      <c r="AD816" s="2"/>
      <c r="AG816" s="23"/>
      <c r="AI816" s="26"/>
      <c r="AJ816" s="23"/>
      <c r="AM816" s="23"/>
      <c r="AO816" s="32"/>
      <c r="AP816" s="26"/>
      <c r="AR816" s="26"/>
      <c r="AS816" s="27"/>
      <c r="AT816" s="27"/>
      <c r="AU816" s="31"/>
      <c r="AV816" s="24"/>
      <c r="AW816"/>
      <c r="AX816"/>
      <c r="AY816"/>
      <c r="AZ816"/>
      <c r="BA816"/>
      <c r="BB816"/>
      <c r="BC816"/>
      <c r="BD816"/>
      <c r="BE816"/>
      <c r="BF816"/>
      <c r="BG816"/>
    </row>
    <row r="817" spans="2:59" x14ac:dyDescent="0.25">
      <c r="B817" s="22"/>
      <c r="C817" s="23"/>
      <c r="E817" s="23"/>
      <c r="F817" s="24"/>
      <c r="G817" s="2"/>
      <c r="H817" s="10" t="e">
        <f>_xlfn.XLOOKUP(F817,Viloyatlar24[RegionName],Viloyatlar24[RegionId])</f>
        <v>#N/A</v>
      </c>
      <c r="I817" s="10" t="e">
        <f>_xlfn.XLOOKUP('Кўчмас мулк объектлари'!G817,Tumanlar23[DistrictName],Tumanlar23[DistrictId])</f>
        <v>#N/A</v>
      </c>
      <c r="K817" s="24"/>
      <c r="L817" s="10" t="e">
        <f>_xlfn.XLOOKUP(K817,Ташкилотлар39[Ташкилотлар],Ташкилотлар39[TashklilotID])</f>
        <v>#N/A</v>
      </c>
      <c r="M817" s="26"/>
      <c r="N817" s="26"/>
      <c r="O817" s="24"/>
      <c r="P817" s="2"/>
      <c r="Q817" s="26"/>
      <c r="R817" s="26"/>
      <c r="S817" s="26"/>
      <c r="T817" s="26"/>
      <c r="U817" s="24"/>
      <c r="V817" s="10" t="e">
        <f>_xlfn.XLOOKUP(U817,Таклифлар37[Таклифлар],Таклифлар37[TaklifID])</f>
        <v>#N/A</v>
      </c>
      <c r="W817" s="24"/>
      <c r="X817" s="23"/>
      <c r="Y817" s="7"/>
      <c r="Z817" s="26"/>
      <c r="AB817" s="23"/>
      <c r="AD817" s="2"/>
      <c r="AG817" s="23"/>
      <c r="AI817" s="26"/>
      <c r="AJ817" s="23"/>
      <c r="AM817" s="23"/>
      <c r="AO817" s="32"/>
      <c r="AP817" s="26"/>
      <c r="AR817" s="26"/>
      <c r="AS817" s="27"/>
      <c r="AT817" s="27"/>
      <c r="AU817" s="31"/>
      <c r="AV817" s="24"/>
      <c r="AW817"/>
      <c r="AX817"/>
      <c r="AY817"/>
      <c r="AZ817"/>
      <c r="BA817"/>
      <c r="BB817"/>
      <c r="BC817"/>
      <c r="BD817"/>
      <c r="BE817"/>
      <c r="BF817"/>
      <c r="BG817"/>
    </row>
    <row r="818" spans="2:59" x14ac:dyDescent="0.25">
      <c r="B818" s="22"/>
      <c r="C818" s="23"/>
      <c r="E818" s="23"/>
      <c r="F818" s="24"/>
      <c r="G818" s="2"/>
      <c r="H818" s="10" t="e">
        <f>_xlfn.XLOOKUP(F818,Viloyatlar24[RegionName],Viloyatlar24[RegionId])</f>
        <v>#N/A</v>
      </c>
      <c r="I818" s="10" t="e">
        <f>_xlfn.XLOOKUP('Кўчмас мулк объектлари'!G818,Tumanlar23[DistrictName],Tumanlar23[DistrictId])</f>
        <v>#N/A</v>
      </c>
      <c r="K818" s="24"/>
      <c r="L818" s="10" t="e">
        <f>_xlfn.XLOOKUP(K818,Ташкилотлар39[Ташкилотлар],Ташкилотлар39[TashklilotID])</f>
        <v>#N/A</v>
      </c>
      <c r="M818" s="26"/>
      <c r="N818" s="26"/>
      <c r="O818" s="24"/>
      <c r="P818" s="2"/>
      <c r="Q818" s="26"/>
      <c r="R818" s="26"/>
      <c r="S818" s="26"/>
      <c r="T818" s="26"/>
      <c r="U818" s="24"/>
      <c r="V818" s="10" t="e">
        <f>_xlfn.XLOOKUP(U818,Таклифлар37[Таклифлар],Таклифлар37[TaklifID])</f>
        <v>#N/A</v>
      </c>
      <c r="W818" s="24"/>
      <c r="X818" s="23"/>
      <c r="Y818" s="7"/>
      <c r="Z818" s="26"/>
      <c r="AB818" s="23"/>
      <c r="AD818" s="2"/>
      <c r="AG818" s="23"/>
      <c r="AI818" s="26"/>
      <c r="AJ818" s="23"/>
      <c r="AM818" s="23"/>
      <c r="AO818" s="32"/>
      <c r="AP818" s="26"/>
      <c r="AR818" s="26"/>
      <c r="AS818" s="27"/>
      <c r="AT818" s="27"/>
      <c r="AU818" s="31"/>
      <c r="AV818" s="24"/>
      <c r="AW818"/>
      <c r="AX818"/>
      <c r="AY818"/>
      <c r="AZ818"/>
      <c r="BA818"/>
      <c r="BB818"/>
      <c r="BC818"/>
      <c r="BD818"/>
      <c r="BE818"/>
      <c r="BF818"/>
      <c r="BG818"/>
    </row>
    <row r="819" spans="2:59" x14ac:dyDescent="0.25">
      <c r="B819" s="22"/>
      <c r="C819" s="23"/>
      <c r="E819" s="23"/>
      <c r="F819" s="24"/>
      <c r="G819" s="2"/>
      <c r="H819" s="10" t="e">
        <f>_xlfn.XLOOKUP(F819,Viloyatlar24[RegionName],Viloyatlar24[RegionId])</f>
        <v>#N/A</v>
      </c>
      <c r="I819" s="10" t="e">
        <f>_xlfn.XLOOKUP('Кўчмас мулк объектлари'!G819,Tumanlar23[DistrictName],Tumanlar23[DistrictId])</f>
        <v>#N/A</v>
      </c>
      <c r="K819" s="24"/>
      <c r="L819" s="10" t="e">
        <f>_xlfn.XLOOKUP(K819,Ташкилотлар39[Ташкилотлар],Ташкилотлар39[TashklilotID])</f>
        <v>#N/A</v>
      </c>
      <c r="M819" s="26"/>
      <c r="N819" s="26"/>
      <c r="O819" s="24"/>
      <c r="P819" s="2"/>
      <c r="Q819" s="26"/>
      <c r="R819" s="26"/>
      <c r="S819" s="26"/>
      <c r="T819" s="26"/>
      <c r="U819" s="24"/>
      <c r="V819" s="10" t="e">
        <f>_xlfn.XLOOKUP(U819,Таклифлар37[Таклифлар],Таклифлар37[TaklifID])</f>
        <v>#N/A</v>
      </c>
      <c r="W819" s="24"/>
      <c r="X819" s="23"/>
      <c r="Y819" s="7"/>
      <c r="Z819" s="26"/>
      <c r="AB819" s="23"/>
      <c r="AD819" s="2"/>
      <c r="AG819" s="23"/>
      <c r="AI819" s="26"/>
      <c r="AJ819" s="23"/>
      <c r="AM819" s="23"/>
      <c r="AO819" s="32"/>
      <c r="AP819" s="26"/>
      <c r="AR819" s="26"/>
      <c r="AS819" s="27"/>
      <c r="AT819" s="27"/>
      <c r="AU819" s="31"/>
      <c r="AV819" s="24"/>
      <c r="AW819"/>
      <c r="AX819"/>
      <c r="AY819"/>
      <c r="AZ819"/>
      <c r="BA819"/>
      <c r="BB819"/>
      <c r="BC819"/>
      <c r="BD819"/>
      <c r="BE819"/>
      <c r="BF819"/>
      <c r="BG819"/>
    </row>
    <row r="820" spans="2:59" x14ac:dyDescent="0.25">
      <c r="B820" s="22"/>
      <c r="C820" s="23"/>
      <c r="E820" s="23"/>
      <c r="F820" s="24"/>
      <c r="G820" s="2"/>
      <c r="H820" s="10" t="e">
        <f>_xlfn.XLOOKUP(F820,Viloyatlar24[RegionName],Viloyatlar24[RegionId])</f>
        <v>#N/A</v>
      </c>
      <c r="I820" s="10" t="e">
        <f>_xlfn.XLOOKUP('Кўчмас мулк объектлари'!G820,Tumanlar23[DistrictName],Tumanlar23[DistrictId])</f>
        <v>#N/A</v>
      </c>
      <c r="K820" s="24"/>
      <c r="L820" s="10" t="e">
        <f>_xlfn.XLOOKUP(K820,Ташкилотлар39[Ташкилотлар],Ташкилотлар39[TashklilotID])</f>
        <v>#N/A</v>
      </c>
      <c r="M820" s="26"/>
      <c r="N820" s="26"/>
      <c r="O820" s="24"/>
      <c r="P820" s="2"/>
      <c r="Q820" s="26"/>
      <c r="R820" s="26"/>
      <c r="S820" s="26"/>
      <c r="T820" s="26"/>
      <c r="U820" s="24"/>
      <c r="V820" s="10" t="e">
        <f>_xlfn.XLOOKUP(U820,Таклифлар37[Таклифлар],Таклифлар37[TaklifID])</f>
        <v>#N/A</v>
      </c>
      <c r="W820" s="24"/>
      <c r="X820" s="23"/>
      <c r="Y820" s="7"/>
      <c r="Z820" s="26"/>
      <c r="AB820" s="23"/>
      <c r="AD820" s="2"/>
      <c r="AG820" s="23"/>
      <c r="AI820" s="26"/>
      <c r="AJ820" s="23"/>
      <c r="AM820" s="23"/>
      <c r="AO820" s="32"/>
      <c r="AP820" s="26"/>
      <c r="AR820" s="26"/>
      <c r="AS820" s="27"/>
      <c r="AT820" s="27"/>
      <c r="AU820" s="31"/>
      <c r="AV820" s="24"/>
      <c r="AW820"/>
      <c r="AX820"/>
      <c r="AY820"/>
      <c r="AZ820"/>
      <c r="BA820"/>
      <c r="BB820"/>
      <c r="BC820"/>
      <c r="BD820"/>
      <c r="BE820"/>
      <c r="BF820"/>
      <c r="BG820"/>
    </row>
    <row r="821" spans="2:59" x14ac:dyDescent="0.25">
      <c r="B821" s="22"/>
      <c r="C821" s="23"/>
      <c r="E821" s="23"/>
      <c r="F821" s="24"/>
      <c r="G821" s="2"/>
      <c r="H821" s="10" t="e">
        <f>_xlfn.XLOOKUP(F821,Viloyatlar24[RegionName],Viloyatlar24[RegionId])</f>
        <v>#N/A</v>
      </c>
      <c r="I821" s="10" t="e">
        <f>_xlfn.XLOOKUP('Кўчмас мулк объектлари'!G821,Tumanlar23[DistrictName],Tumanlar23[DistrictId])</f>
        <v>#N/A</v>
      </c>
      <c r="K821" s="24"/>
      <c r="L821" s="10" t="e">
        <f>_xlfn.XLOOKUP(K821,Ташкилотлар39[Ташкилотлар],Ташкилотлар39[TashklilotID])</f>
        <v>#N/A</v>
      </c>
      <c r="M821" s="26"/>
      <c r="N821" s="26"/>
      <c r="O821" s="24"/>
      <c r="P821" s="2"/>
      <c r="Q821" s="26"/>
      <c r="R821" s="26"/>
      <c r="S821" s="26"/>
      <c r="T821" s="26"/>
      <c r="U821" s="24"/>
      <c r="V821" s="10" t="e">
        <f>_xlfn.XLOOKUP(U821,Таклифлар37[Таклифлар],Таклифлар37[TaklifID])</f>
        <v>#N/A</v>
      </c>
      <c r="W821" s="24"/>
      <c r="X821" s="23"/>
      <c r="Y821" s="7"/>
      <c r="Z821" s="26"/>
      <c r="AB821" s="23"/>
      <c r="AD821" s="2"/>
      <c r="AG821" s="23"/>
      <c r="AI821" s="26"/>
      <c r="AJ821" s="23"/>
      <c r="AM821" s="23"/>
      <c r="AO821" s="32"/>
      <c r="AP821" s="26"/>
      <c r="AR821" s="26"/>
      <c r="AS821" s="27"/>
      <c r="AT821" s="27"/>
      <c r="AU821" s="31"/>
      <c r="AV821" s="24"/>
      <c r="AW821"/>
      <c r="AX821"/>
      <c r="AY821"/>
      <c r="AZ821"/>
      <c r="BA821"/>
      <c r="BB821"/>
      <c r="BC821"/>
      <c r="BD821"/>
      <c r="BE821"/>
      <c r="BF821"/>
      <c r="BG821"/>
    </row>
    <row r="822" spans="2:59" x14ac:dyDescent="0.25">
      <c r="B822" s="22"/>
      <c r="C822" s="23"/>
      <c r="E822" s="23"/>
      <c r="F822" s="24"/>
      <c r="G822" s="2"/>
      <c r="H822" s="10" t="e">
        <f>_xlfn.XLOOKUP(F822,Viloyatlar24[RegionName],Viloyatlar24[RegionId])</f>
        <v>#N/A</v>
      </c>
      <c r="I822" s="10" t="e">
        <f>_xlfn.XLOOKUP('Кўчмас мулк объектлари'!G822,Tumanlar23[DistrictName],Tumanlar23[DistrictId])</f>
        <v>#N/A</v>
      </c>
      <c r="K822" s="24"/>
      <c r="L822" s="10" t="e">
        <f>_xlfn.XLOOKUP(K822,Ташкилотлар39[Ташкилотлар],Ташкилотлар39[TashklilotID])</f>
        <v>#N/A</v>
      </c>
      <c r="M822" s="26"/>
      <c r="N822" s="26"/>
      <c r="O822" s="24"/>
      <c r="P822" s="2"/>
      <c r="Q822" s="26"/>
      <c r="R822" s="26"/>
      <c r="S822" s="26"/>
      <c r="T822" s="26"/>
      <c r="U822" s="24"/>
      <c r="V822" s="10" t="e">
        <f>_xlfn.XLOOKUP(U822,Таклифлар37[Таклифлар],Таклифлар37[TaklifID])</f>
        <v>#N/A</v>
      </c>
      <c r="W822" s="24"/>
      <c r="X822" s="23"/>
      <c r="Y822" s="7"/>
      <c r="Z822" s="26"/>
      <c r="AB822" s="23"/>
      <c r="AD822" s="2"/>
      <c r="AG822" s="23"/>
      <c r="AI822" s="26"/>
      <c r="AJ822" s="23"/>
      <c r="AM822" s="23"/>
      <c r="AO822" s="32"/>
      <c r="AP822" s="26"/>
      <c r="AR822" s="26"/>
      <c r="AS822" s="27"/>
      <c r="AT822" s="27"/>
      <c r="AU822" s="31"/>
      <c r="AV822" s="24"/>
      <c r="AW822"/>
      <c r="AX822"/>
      <c r="AY822"/>
      <c r="AZ822"/>
      <c r="BA822"/>
      <c r="BB822"/>
      <c r="BC822"/>
      <c r="BD822"/>
      <c r="BE822"/>
      <c r="BF822"/>
      <c r="BG822"/>
    </row>
    <row r="823" spans="2:59" x14ac:dyDescent="0.25">
      <c r="B823" s="22"/>
      <c r="C823" s="23"/>
      <c r="E823" s="23"/>
      <c r="F823" s="24"/>
      <c r="G823" s="2"/>
      <c r="H823" s="10" t="e">
        <f>_xlfn.XLOOKUP(F823,Viloyatlar24[RegionName],Viloyatlar24[RegionId])</f>
        <v>#N/A</v>
      </c>
      <c r="I823" s="10" t="e">
        <f>_xlfn.XLOOKUP('Кўчмас мулк объектлари'!G823,Tumanlar23[DistrictName],Tumanlar23[DistrictId])</f>
        <v>#N/A</v>
      </c>
      <c r="K823" s="24"/>
      <c r="L823" s="10" t="e">
        <f>_xlfn.XLOOKUP(K823,Ташкилотлар39[Ташкилотлар],Ташкилотлар39[TashklilotID])</f>
        <v>#N/A</v>
      </c>
      <c r="M823" s="26"/>
      <c r="N823" s="26"/>
      <c r="O823" s="24"/>
      <c r="P823" s="2"/>
      <c r="Q823" s="26"/>
      <c r="R823" s="26"/>
      <c r="S823" s="26"/>
      <c r="T823" s="26"/>
      <c r="U823" s="24"/>
      <c r="V823" s="10" t="e">
        <f>_xlfn.XLOOKUP(U823,Таклифлар37[Таклифлар],Таклифлар37[TaklifID])</f>
        <v>#N/A</v>
      </c>
      <c r="W823" s="24"/>
      <c r="X823" s="23"/>
      <c r="Y823" s="7"/>
      <c r="Z823" s="26"/>
      <c r="AB823" s="23"/>
      <c r="AD823" s="2"/>
      <c r="AG823" s="23"/>
      <c r="AI823" s="26"/>
      <c r="AJ823" s="23"/>
      <c r="AM823" s="23"/>
      <c r="AO823" s="32"/>
      <c r="AP823" s="26"/>
      <c r="AR823" s="26"/>
      <c r="AS823" s="27"/>
      <c r="AT823" s="27"/>
      <c r="AU823" s="31"/>
      <c r="AV823" s="24"/>
      <c r="AW823"/>
      <c r="AX823"/>
      <c r="AY823"/>
      <c r="AZ823"/>
      <c r="BA823"/>
      <c r="BB823"/>
      <c r="BC823"/>
      <c r="BD823"/>
      <c r="BE823"/>
      <c r="BF823"/>
      <c r="BG823"/>
    </row>
    <row r="824" spans="2:59" x14ac:dyDescent="0.25">
      <c r="B824" s="22"/>
      <c r="C824" s="23"/>
      <c r="E824" s="23"/>
      <c r="F824" s="24"/>
      <c r="G824" s="2"/>
      <c r="H824" s="10" t="e">
        <f>_xlfn.XLOOKUP(F824,Viloyatlar24[RegionName],Viloyatlar24[RegionId])</f>
        <v>#N/A</v>
      </c>
      <c r="I824" s="10" t="e">
        <f>_xlfn.XLOOKUP('Кўчмас мулк объектлари'!G824,Tumanlar23[DistrictName],Tumanlar23[DistrictId])</f>
        <v>#N/A</v>
      </c>
      <c r="K824" s="24"/>
      <c r="L824" s="10" t="e">
        <f>_xlfn.XLOOKUP(K824,Ташкилотлар39[Ташкилотлар],Ташкилотлар39[TashklilotID])</f>
        <v>#N/A</v>
      </c>
      <c r="M824" s="26"/>
      <c r="N824" s="26"/>
      <c r="O824" s="24"/>
      <c r="P824" s="2"/>
      <c r="Q824" s="26"/>
      <c r="R824" s="26"/>
      <c r="S824" s="26"/>
      <c r="T824" s="26"/>
      <c r="U824" s="24"/>
      <c r="V824" s="10" t="e">
        <f>_xlfn.XLOOKUP(U824,Таклифлар37[Таклифлар],Таклифлар37[TaklifID])</f>
        <v>#N/A</v>
      </c>
      <c r="W824" s="24"/>
      <c r="X824" s="23"/>
      <c r="Y824" s="7"/>
      <c r="Z824" s="26"/>
      <c r="AB824" s="23"/>
      <c r="AD824" s="2"/>
      <c r="AG824" s="23"/>
      <c r="AI824" s="26"/>
      <c r="AJ824" s="23"/>
      <c r="AM824" s="23"/>
      <c r="AO824" s="32"/>
      <c r="AP824" s="26"/>
      <c r="AR824" s="26"/>
      <c r="AS824" s="27"/>
      <c r="AT824" s="27"/>
      <c r="AU824" s="31"/>
      <c r="AV824" s="24"/>
      <c r="AW824"/>
      <c r="AX824"/>
      <c r="AY824"/>
      <c r="AZ824"/>
      <c r="BA824"/>
      <c r="BB824"/>
      <c r="BC824"/>
      <c r="BD824"/>
      <c r="BE824"/>
      <c r="BF824"/>
      <c r="BG824"/>
    </row>
    <row r="825" spans="2:59" x14ac:dyDescent="0.25">
      <c r="B825" s="22"/>
      <c r="C825" s="23"/>
      <c r="E825" s="23"/>
      <c r="F825" s="24"/>
      <c r="G825" s="2"/>
      <c r="H825" s="10" t="e">
        <f>_xlfn.XLOOKUP(F825,Viloyatlar24[RegionName],Viloyatlar24[RegionId])</f>
        <v>#N/A</v>
      </c>
      <c r="I825" s="10" t="e">
        <f>_xlfn.XLOOKUP('Кўчмас мулк объектлари'!G825,Tumanlar23[DistrictName],Tumanlar23[DistrictId])</f>
        <v>#N/A</v>
      </c>
      <c r="K825" s="24"/>
      <c r="L825" s="10" t="e">
        <f>_xlfn.XLOOKUP(K825,Ташкилотлар39[Ташкилотлар],Ташкилотлар39[TashklilotID])</f>
        <v>#N/A</v>
      </c>
      <c r="M825" s="26"/>
      <c r="N825" s="26"/>
      <c r="O825" s="24"/>
      <c r="P825" s="2"/>
      <c r="Q825" s="26"/>
      <c r="R825" s="26"/>
      <c r="S825" s="26"/>
      <c r="T825" s="26"/>
      <c r="U825" s="24"/>
      <c r="V825" s="10" t="e">
        <f>_xlfn.XLOOKUP(U825,Таклифлар37[Таклифлар],Таклифлар37[TaklifID])</f>
        <v>#N/A</v>
      </c>
      <c r="W825" s="24"/>
      <c r="X825" s="23"/>
      <c r="Y825" s="7"/>
      <c r="Z825" s="26"/>
      <c r="AB825" s="23"/>
      <c r="AD825" s="2"/>
      <c r="AG825" s="23"/>
      <c r="AI825" s="26"/>
      <c r="AJ825" s="23"/>
      <c r="AM825" s="23"/>
      <c r="AO825" s="32"/>
      <c r="AP825" s="26"/>
      <c r="AR825" s="26"/>
      <c r="AS825" s="27"/>
      <c r="AT825" s="27"/>
      <c r="AU825" s="31"/>
      <c r="AV825" s="24"/>
      <c r="AW825"/>
      <c r="AX825"/>
      <c r="AY825"/>
      <c r="AZ825"/>
      <c r="BA825"/>
      <c r="BB825"/>
      <c r="BC825"/>
      <c r="BD825"/>
      <c r="BE825"/>
      <c r="BF825"/>
      <c r="BG825"/>
    </row>
    <row r="826" spans="2:59" x14ac:dyDescent="0.25">
      <c r="B826" s="22"/>
      <c r="C826" s="23"/>
      <c r="E826" s="23"/>
      <c r="F826" s="24"/>
      <c r="G826" s="2"/>
      <c r="H826" s="10" t="e">
        <f>_xlfn.XLOOKUP(F826,Viloyatlar24[RegionName],Viloyatlar24[RegionId])</f>
        <v>#N/A</v>
      </c>
      <c r="I826" s="10" t="e">
        <f>_xlfn.XLOOKUP('Кўчмас мулк объектлари'!G826,Tumanlar23[DistrictName],Tumanlar23[DistrictId])</f>
        <v>#N/A</v>
      </c>
      <c r="K826" s="24"/>
      <c r="L826" s="10" t="e">
        <f>_xlfn.XLOOKUP(K826,Ташкилотлар39[Ташкилотлар],Ташкилотлар39[TashklilotID])</f>
        <v>#N/A</v>
      </c>
      <c r="M826" s="26"/>
      <c r="N826" s="26"/>
      <c r="O826" s="24"/>
      <c r="P826" s="2"/>
      <c r="Q826" s="26"/>
      <c r="R826" s="26"/>
      <c r="S826" s="26"/>
      <c r="T826" s="26"/>
      <c r="U826" s="24"/>
      <c r="V826" s="10" t="e">
        <f>_xlfn.XLOOKUP(U826,Таклифлар37[Таклифлар],Таклифлар37[TaklifID])</f>
        <v>#N/A</v>
      </c>
      <c r="W826" s="24"/>
      <c r="X826" s="23"/>
      <c r="Y826" s="7"/>
      <c r="Z826" s="26"/>
      <c r="AB826" s="23"/>
      <c r="AD826" s="2"/>
      <c r="AG826" s="23"/>
      <c r="AI826" s="26"/>
      <c r="AJ826" s="23"/>
      <c r="AM826" s="23"/>
      <c r="AO826" s="32"/>
      <c r="AP826" s="26"/>
      <c r="AR826" s="26"/>
      <c r="AS826" s="27"/>
      <c r="AT826" s="27"/>
      <c r="AU826" s="31"/>
      <c r="AV826" s="24"/>
      <c r="AW826"/>
      <c r="AX826"/>
      <c r="AY826"/>
      <c r="AZ826"/>
      <c r="BA826"/>
      <c r="BB826"/>
      <c r="BC826"/>
      <c r="BD826"/>
      <c r="BE826"/>
      <c r="BF826"/>
      <c r="BG826"/>
    </row>
    <row r="827" spans="2:59" x14ac:dyDescent="0.25">
      <c r="B827" s="22"/>
      <c r="C827" s="23"/>
      <c r="E827" s="23"/>
      <c r="F827" s="24"/>
      <c r="G827" s="2"/>
      <c r="H827" s="10" t="e">
        <f>_xlfn.XLOOKUP(F827,Viloyatlar24[RegionName],Viloyatlar24[RegionId])</f>
        <v>#N/A</v>
      </c>
      <c r="I827" s="10" t="e">
        <f>_xlfn.XLOOKUP('Кўчмас мулк объектлари'!G827,Tumanlar23[DistrictName],Tumanlar23[DistrictId])</f>
        <v>#N/A</v>
      </c>
      <c r="K827" s="24"/>
      <c r="L827" s="10" t="e">
        <f>_xlfn.XLOOKUP(K827,Ташкилотлар39[Ташкилотлар],Ташкилотлар39[TashklilotID])</f>
        <v>#N/A</v>
      </c>
      <c r="M827" s="26"/>
      <c r="N827" s="26"/>
      <c r="O827" s="24"/>
      <c r="P827" s="2"/>
      <c r="Q827" s="26"/>
      <c r="R827" s="26"/>
      <c r="S827" s="26"/>
      <c r="T827" s="26"/>
      <c r="U827" s="24"/>
      <c r="V827" s="10" t="e">
        <f>_xlfn.XLOOKUP(U827,Таклифлар37[Таклифлар],Таклифлар37[TaklifID])</f>
        <v>#N/A</v>
      </c>
      <c r="W827" s="24"/>
      <c r="X827" s="23"/>
      <c r="Y827" s="7"/>
      <c r="Z827" s="26"/>
      <c r="AB827" s="23"/>
      <c r="AD827" s="2"/>
      <c r="AG827" s="23"/>
      <c r="AI827" s="26"/>
      <c r="AJ827" s="23"/>
      <c r="AM827" s="23"/>
      <c r="AO827" s="32"/>
      <c r="AP827" s="26"/>
      <c r="AR827" s="26"/>
      <c r="AS827" s="27"/>
      <c r="AT827" s="27"/>
      <c r="AU827" s="31"/>
      <c r="AV827" s="24"/>
      <c r="AW827"/>
      <c r="AX827"/>
      <c r="AY827"/>
      <c r="AZ827"/>
      <c r="BA827"/>
      <c r="BB827"/>
      <c r="BC827"/>
      <c r="BD827"/>
      <c r="BE827"/>
      <c r="BF827"/>
      <c r="BG827"/>
    </row>
    <row r="828" spans="2:59" x14ac:dyDescent="0.25">
      <c r="B828" s="22"/>
      <c r="C828" s="23"/>
      <c r="E828" s="23"/>
      <c r="F828" s="24"/>
      <c r="G828" s="2"/>
      <c r="H828" s="10" t="e">
        <f>_xlfn.XLOOKUP(F828,Viloyatlar24[RegionName],Viloyatlar24[RegionId])</f>
        <v>#N/A</v>
      </c>
      <c r="I828" s="10" t="e">
        <f>_xlfn.XLOOKUP('Кўчмас мулк объектлари'!G828,Tumanlar23[DistrictName],Tumanlar23[DistrictId])</f>
        <v>#N/A</v>
      </c>
      <c r="K828" s="24"/>
      <c r="L828" s="10" t="e">
        <f>_xlfn.XLOOKUP(K828,Ташкилотлар39[Ташкилотлар],Ташкилотлар39[TashklilotID])</f>
        <v>#N/A</v>
      </c>
      <c r="M828" s="26"/>
      <c r="N828" s="26"/>
      <c r="O828" s="24"/>
      <c r="P828" s="2"/>
      <c r="Q828" s="26"/>
      <c r="R828" s="26"/>
      <c r="S828" s="26"/>
      <c r="T828" s="26"/>
      <c r="U828" s="24"/>
      <c r="V828" s="10" t="e">
        <f>_xlfn.XLOOKUP(U828,Таклифлар37[Таклифлар],Таклифлар37[TaklifID])</f>
        <v>#N/A</v>
      </c>
      <c r="W828" s="24"/>
      <c r="X828" s="23"/>
      <c r="Y828" s="7"/>
      <c r="Z828" s="26"/>
      <c r="AB828" s="23"/>
      <c r="AD828" s="2"/>
      <c r="AG828" s="23"/>
      <c r="AI828" s="26"/>
      <c r="AJ828" s="23"/>
      <c r="AM828" s="23"/>
      <c r="AO828" s="32"/>
      <c r="AP828" s="26"/>
      <c r="AR828" s="26"/>
      <c r="AS828" s="27"/>
      <c r="AT828" s="27"/>
      <c r="AU828" s="31"/>
      <c r="AV828" s="24"/>
      <c r="AW828"/>
      <c r="AX828"/>
      <c r="AY828"/>
      <c r="AZ828"/>
      <c r="BA828"/>
      <c r="BB828"/>
      <c r="BC828"/>
      <c r="BD828"/>
      <c r="BE828"/>
      <c r="BF828"/>
      <c r="BG828"/>
    </row>
    <row r="829" spans="2:59" x14ac:dyDescent="0.25">
      <c r="B829" s="22"/>
      <c r="C829" s="23"/>
      <c r="E829" s="23"/>
      <c r="F829" s="24"/>
      <c r="G829" s="2"/>
      <c r="H829" s="10" t="e">
        <f>_xlfn.XLOOKUP(F829,Viloyatlar24[RegionName],Viloyatlar24[RegionId])</f>
        <v>#N/A</v>
      </c>
      <c r="I829" s="10" t="e">
        <f>_xlfn.XLOOKUP('Кўчмас мулк объектлари'!G829,Tumanlar23[DistrictName],Tumanlar23[DistrictId])</f>
        <v>#N/A</v>
      </c>
      <c r="K829" s="24"/>
      <c r="L829" s="10" t="e">
        <f>_xlfn.XLOOKUP(K829,Ташкилотлар39[Ташкилотлар],Ташкилотлар39[TashklilotID])</f>
        <v>#N/A</v>
      </c>
      <c r="M829" s="26"/>
      <c r="N829" s="26"/>
      <c r="O829" s="24"/>
      <c r="P829" s="2"/>
      <c r="Q829" s="26"/>
      <c r="R829" s="26"/>
      <c r="S829" s="26"/>
      <c r="T829" s="26"/>
      <c r="U829" s="24"/>
      <c r="V829" s="10" t="e">
        <f>_xlfn.XLOOKUP(U829,Таклифлар37[Таклифлар],Таклифлар37[TaklifID])</f>
        <v>#N/A</v>
      </c>
      <c r="W829" s="24"/>
      <c r="X829" s="23"/>
      <c r="Y829" s="7"/>
      <c r="Z829" s="26"/>
      <c r="AB829" s="23"/>
      <c r="AD829" s="2"/>
      <c r="AG829" s="23"/>
      <c r="AI829" s="26"/>
      <c r="AJ829" s="23"/>
      <c r="AM829" s="23"/>
      <c r="AO829" s="32"/>
      <c r="AP829" s="26"/>
      <c r="AR829" s="26"/>
      <c r="AS829" s="27"/>
      <c r="AT829" s="27"/>
      <c r="AU829" s="31"/>
      <c r="AV829" s="24"/>
      <c r="AW829"/>
      <c r="AX829"/>
      <c r="AY829"/>
      <c r="AZ829"/>
      <c r="BA829"/>
      <c r="BB829"/>
      <c r="BC829"/>
      <c r="BD829"/>
      <c r="BE829"/>
      <c r="BF829"/>
      <c r="BG829"/>
    </row>
    <row r="830" spans="2:59" x14ac:dyDescent="0.25">
      <c r="B830" s="22"/>
      <c r="C830" s="23"/>
      <c r="E830" s="23"/>
      <c r="F830" s="24"/>
      <c r="G830" s="2"/>
      <c r="H830" s="10" t="e">
        <f>_xlfn.XLOOKUP(F830,Viloyatlar24[RegionName],Viloyatlar24[RegionId])</f>
        <v>#N/A</v>
      </c>
      <c r="I830" s="10" t="e">
        <f>_xlfn.XLOOKUP('Кўчмас мулк объектлари'!G830,Tumanlar23[DistrictName],Tumanlar23[DistrictId])</f>
        <v>#N/A</v>
      </c>
      <c r="K830" s="24"/>
      <c r="L830" s="10" t="e">
        <f>_xlfn.XLOOKUP(K830,Ташкилотлар39[Ташкилотлар],Ташкилотлар39[TashklilotID])</f>
        <v>#N/A</v>
      </c>
      <c r="M830" s="26"/>
      <c r="N830" s="26"/>
      <c r="O830" s="24"/>
      <c r="P830" s="2"/>
      <c r="Q830" s="26"/>
      <c r="R830" s="26"/>
      <c r="S830" s="26"/>
      <c r="T830" s="26"/>
      <c r="U830" s="24"/>
      <c r="V830" s="10" t="e">
        <f>_xlfn.XLOOKUP(U830,Таклифлар37[Таклифлар],Таклифлар37[TaklifID])</f>
        <v>#N/A</v>
      </c>
      <c r="W830" s="24"/>
      <c r="X830" s="23"/>
      <c r="Y830" s="7"/>
      <c r="Z830" s="26"/>
      <c r="AB830" s="23"/>
      <c r="AD830" s="2"/>
      <c r="AG830" s="23"/>
      <c r="AI830" s="26"/>
      <c r="AJ830" s="23"/>
      <c r="AM830" s="23"/>
      <c r="AO830" s="32"/>
      <c r="AP830" s="26"/>
      <c r="AR830" s="26"/>
      <c r="AS830" s="27"/>
      <c r="AT830" s="27"/>
      <c r="AU830" s="31"/>
      <c r="AV830" s="24"/>
      <c r="AW830"/>
      <c r="AX830"/>
      <c r="AY830"/>
      <c r="AZ830"/>
      <c r="BA830"/>
      <c r="BB830"/>
      <c r="BC830"/>
      <c r="BD830"/>
      <c r="BE830"/>
      <c r="BF830"/>
      <c r="BG830"/>
    </row>
    <row r="831" spans="2:59" x14ac:dyDescent="0.25">
      <c r="B831" s="22"/>
      <c r="C831" s="23"/>
      <c r="E831" s="23"/>
      <c r="F831" s="24"/>
      <c r="G831" s="2"/>
      <c r="H831" s="10" t="e">
        <f>_xlfn.XLOOKUP(F831,Viloyatlar24[RegionName],Viloyatlar24[RegionId])</f>
        <v>#N/A</v>
      </c>
      <c r="I831" s="10" t="e">
        <f>_xlfn.XLOOKUP('Кўчмас мулк объектлари'!G831,Tumanlar23[DistrictName],Tumanlar23[DistrictId])</f>
        <v>#N/A</v>
      </c>
      <c r="K831" s="24"/>
      <c r="L831" s="10" t="e">
        <f>_xlfn.XLOOKUP(K831,Ташкилотлар39[Ташкилотлар],Ташкилотлар39[TashklilotID])</f>
        <v>#N/A</v>
      </c>
      <c r="M831" s="26"/>
      <c r="N831" s="26"/>
      <c r="O831" s="24"/>
      <c r="P831" s="2"/>
      <c r="Q831" s="26"/>
      <c r="R831" s="26"/>
      <c r="S831" s="26"/>
      <c r="T831" s="26"/>
      <c r="U831" s="24"/>
      <c r="V831" s="10" t="e">
        <f>_xlfn.XLOOKUP(U831,Таклифлар37[Таклифлар],Таклифлар37[TaklifID])</f>
        <v>#N/A</v>
      </c>
      <c r="W831" s="24"/>
      <c r="X831" s="23"/>
      <c r="Y831" s="7"/>
      <c r="Z831" s="26"/>
      <c r="AB831" s="23"/>
      <c r="AD831" s="2"/>
      <c r="AG831" s="23"/>
      <c r="AI831" s="26"/>
      <c r="AJ831" s="23"/>
      <c r="AM831" s="23"/>
      <c r="AO831" s="32"/>
      <c r="AP831" s="26"/>
      <c r="AR831" s="26"/>
      <c r="AS831" s="27"/>
      <c r="AT831" s="27"/>
      <c r="AU831" s="31"/>
      <c r="AV831" s="24"/>
      <c r="AW831"/>
      <c r="AX831"/>
      <c r="AY831"/>
      <c r="AZ831"/>
      <c r="BA831"/>
      <c r="BB831"/>
      <c r="BC831"/>
      <c r="BD831"/>
      <c r="BE831"/>
      <c r="BF831"/>
      <c r="BG831"/>
    </row>
    <row r="832" spans="2:59" x14ac:dyDescent="0.25">
      <c r="B832" s="22"/>
      <c r="C832" s="23"/>
      <c r="E832" s="23"/>
      <c r="F832" s="24"/>
      <c r="G832" s="2"/>
      <c r="H832" s="10" t="e">
        <f>_xlfn.XLOOKUP(F832,Viloyatlar24[RegionName],Viloyatlar24[RegionId])</f>
        <v>#N/A</v>
      </c>
      <c r="I832" s="10" t="e">
        <f>_xlfn.XLOOKUP('Кўчмас мулк объектлари'!G832,Tumanlar23[DistrictName],Tumanlar23[DistrictId])</f>
        <v>#N/A</v>
      </c>
      <c r="K832" s="24"/>
      <c r="L832" s="10" t="e">
        <f>_xlfn.XLOOKUP(K832,Ташкилотлар39[Ташкилотлар],Ташкилотлар39[TashklilotID])</f>
        <v>#N/A</v>
      </c>
      <c r="M832" s="26"/>
      <c r="N832" s="26"/>
      <c r="O832" s="24"/>
      <c r="P832" s="2"/>
      <c r="Q832" s="26"/>
      <c r="R832" s="26"/>
      <c r="S832" s="26"/>
      <c r="T832" s="26"/>
      <c r="U832" s="24"/>
      <c r="V832" s="10" t="e">
        <f>_xlfn.XLOOKUP(U832,Таклифлар37[Таклифлар],Таклифлар37[TaklifID])</f>
        <v>#N/A</v>
      </c>
      <c r="W832" s="24"/>
      <c r="X832" s="23"/>
      <c r="Y832" s="7"/>
      <c r="Z832" s="26"/>
      <c r="AB832" s="23"/>
      <c r="AD832" s="2"/>
      <c r="AG832" s="23"/>
      <c r="AI832" s="26"/>
      <c r="AJ832" s="23"/>
      <c r="AM832" s="23"/>
      <c r="AO832" s="32"/>
      <c r="AP832" s="26"/>
      <c r="AR832" s="26"/>
      <c r="AS832" s="27"/>
      <c r="AT832" s="27"/>
      <c r="AU832" s="31"/>
      <c r="AV832" s="24"/>
      <c r="AW832"/>
      <c r="AX832"/>
      <c r="AY832"/>
      <c r="AZ832"/>
      <c r="BA832"/>
      <c r="BB832"/>
      <c r="BC832"/>
      <c r="BD832"/>
      <c r="BE832"/>
      <c r="BF832"/>
      <c r="BG832"/>
    </row>
    <row r="833" spans="2:59" x14ac:dyDescent="0.25">
      <c r="B833" s="22"/>
      <c r="C833" s="23"/>
      <c r="E833" s="23"/>
      <c r="F833" s="24"/>
      <c r="G833" s="2"/>
      <c r="H833" s="10" t="e">
        <f>_xlfn.XLOOKUP(F833,Viloyatlar24[RegionName],Viloyatlar24[RegionId])</f>
        <v>#N/A</v>
      </c>
      <c r="I833" s="10" t="e">
        <f>_xlfn.XLOOKUP('Кўчмас мулк объектлари'!G833,Tumanlar23[DistrictName],Tumanlar23[DistrictId])</f>
        <v>#N/A</v>
      </c>
      <c r="K833" s="24"/>
      <c r="L833" s="10" t="e">
        <f>_xlfn.XLOOKUP(K833,Ташкилотлар39[Ташкилотлар],Ташкилотлар39[TashklilotID])</f>
        <v>#N/A</v>
      </c>
      <c r="M833" s="26"/>
      <c r="N833" s="26"/>
      <c r="O833" s="24"/>
      <c r="P833" s="2"/>
      <c r="Q833" s="26"/>
      <c r="R833" s="26"/>
      <c r="S833" s="26"/>
      <c r="T833" s="26"/>
      <c r="U833" s="24"/>
      <c r="V833" s="10" t="e">
        <f>_xlfn.XLOOKUP(U833,Таклифлар37[Таклифлар],Таклифлар37[TaklifID])</f>
        <v>#N/A</v>
      </c>
      <c r="W833" s="24"/>
      <c r="X833" s="23"/>
      <c r="Y833" s="7"/>
      <c r="Z833" s="26"/>
      <c r="AB833" s="23"/>
      <c r="AD833" s="2"/>
      <c r="AG833" s="23"/>
      <c r="AI833" s="26"/>
      <c r="AJ833" s="23"/>
      <c r="AM833" s="23"/>
      <c r="AO833" s="32"/>
      <c r="AP833" s="26"/>
      <c r="AR833" s="26"/>
      <c r="AS833" s="27"/>
      <c r="AT833" s="27"/>
      <c r="AU833" s="31"/>
      <c r="AV833" s="24"/>
      <c r="AW833"/>
      <c r="AX833"/>
      <c r="AY833"/>
      <c r="AZ833"/>
      <c r="BA833"/>
      <c r="BB833"/>
      <c r="BC833"/>
      <c r="BD833"/>
      <c r="BE833"/>
      <c r="BF833"/>
      <c r="BG833"/>
    </row>
    <row r="834" spans="2:59" x14ac:dyDescent="0.25">
      <c r="B834" s="22"/>
      <c r="C834" s="23"/>
      <c r="E834" s="23"/>
      <c r="F834" s="24"/>
      <c r="G834" s="2"/>
      <c r="H834" s="10" t="e">
        <f>_xlfn.XLOOKUP(F834,Viloyatlar24[RegionName],Viloyatlar24[RegionId])</f>
        <v>#N/A</v>
      </c>
      <c r="I834" s="10" t="e">
        <f>_xlfn.XLOOKUP('Кўчмас мулк объектлари'!G834,Tumanlar23[DistrictName],Tumanlar23[DistrictId])</f>
        <v>#N/A</v>
      </c>
      <c r="K834" s="24"/>
      <c r="L834" s="10" t="e">
        <f>_xlfn.XLOOKUP(K834,Ташкилотлар39[Ташкилотлар],Ташкилотлар39[TashklilotID])</f>
        <v>#N/A</v>
      </c>
      <c r="M834" s="26"/>
      <c r="N834" s="26"/>
      <c r="O834" s="24"/>
      <c r="P834" s="2"/>
      <c r="Q834" s="26"/>
      <c r="R834" s="26"/>
      <c r="S834" s="26"/>
      <c r="T834" s="26"/>
      <c r="U834" s="24"/>
      <c r="V834" s="10" t="e">
        <f>_xlfn.XLOOKUP(U834,Таклифлар37[Таклифлар],Таклифлар37[TaklifID])</f>
        <v>#N/A</v>
      </c>
      <c r="W834" s="24"/>
      <c r="X834" s="23"/>
      <c r="Y834" s="7"/>
      <c r="Z834" s="26"/>
      <c r="AB834" s="23"/>
      <c r="AD834" s="2"/>
      <c r="AG834" s="23"/>
      <c r="AI834" s="26"/>
      <c r="AJ834" s="23"/>
      <c r="AM834" s="23"/>
      <c r="AO834" s="32"/>
      <c r="AP834" s="26"/>
      <c r="AR834" s="26"/>
      <c r="AS834" s="27"/>
      <c r="AT834" s="27"/>
      <c r="AU834" s="31"/>
      <c r="AV834" s="24"/>
      <c r="AW834"/>
      <c r="AX834"/>
      <c r="AY834"/>
      <c r="AZ834"/>
      <c r="BA834"/>
      <c r="BB834"/>
      <c r="BC834"/>
      <c r="BD834"/>
      <c r="BE834"/>
      <c r="BF834"/>
      <c r="BG834"/>
    </row>
    <row r="835" spans="2:59" x14ac:dyDescent="0.25">
      <c r="B835" s="22"/>
      <c r="C835" s="23"/>
      <c r="E835" s="23"/>
      <c r="F835" s="24"/>
      <c r="G835" s="2"/>
      <c r="H835" s="10" t="e">
        <f>_xlfn.XLOOKUP(F835,Viloyatlar24[RegionName],Viloyatlar24[RegionId])</f>
        <v>#N/A</v>
      </c>
      <c r="I835" s="10" t="e">
        <f>_xlfn.XLOOKUP('Кўчмас мулк объектлари'!G835,Tumanlar23[DistrictName],Tumanlar23[DistrictId])</f>
        <v>#N/A</v>
      </c>
      <c r="K835" s="24"/>
      <c r="L835" s="10" t="e">
        <f>_xlfn.XLOOKUP(K835,Ташкилотлар39[Ташкилотлар],Ташкилотлар39[TashklilotID])</f>
        <v>#N/A</v>
      </c>
      <c r="M835" s="26"/>
      <c r="N835" s="26"/>
      <c r="O835" s="24"/>
      <c r="P835" s="2"/>
      <c r="Q835" s="26"/>
      <c r="R835" s="26"/>
      <c r="S835" s="26"/>
      <c r="T835" s="26"/>
      <c r="U835" s="24"/>
      <c r="V835" s="10" t="e">
        <f>_xlfn.XLOOKUP(U835,Таклифлар37[Таклифлар],Таклифлар37[TaklifID])</f>
        <v>#N/A</v>
      </c>
      <c r="W835" s="24"/>
      <c r="X835" s="23"/>
      <c r="Y835" s="7"/>
      <c r="Z835" s="26"/>
      <c r="AB835" s="23"/>
      <c r="AD835" s="2"/>
      <c r="AG835" s="23"/>
      <c r="AI835" s="26"/>
      <c r="AJ835" s="23"/>
      <c r="AM835" s="23"/>
      <c r="AO835" s="32"/>
      <c r="AP835" s="26"/>
      <c r="AR835" s="26"/>
      <c r="AS835" s="27"/>
      <c r="AT835" s="27"/>
      <c r="AU835" s="31"/>
      <c r="AV835" s="24"/>
      <c r="AW835"/>
      <c r="AX835"/>
      <c r="AY835"/>
      <c r="AZ835"/>
      <c r="BA835"/>
      <c r="BB835"/>
      <c r="BC835"/>
      <c r="BD835"/>
      <c r="BE835"/>
      <c r="BF835"/>
      <c r="BG835"/>
    </row>
    <row r="836" spans="2:59" x14ac:dyDescent="0.25">
      <c r="B836" s="22"/>
      <c r="C836" s="23"/>
      <c r="E836" s="23"/>
      <c r="F836" s="24"/>
      <c r="G836" s="2"/>
      <c r="H836" s="10" t="e">
        <f>_xlfn.XLOOKUP(F836,Viloyatlar24[RegionName],Viloyatlar24[RegionId])</f>
        <v>#N/A</v>
      </c>
      <c r="I836" s="10" t="e">
        <f>_xlfn.XLOOKUP('Кўчмас мулк объектлари'!G836,Tumanlar23[DistrictName],Tumanlar23[DistrictId])</f>
        <v>#N/A</v>
      </c>
      <c r="K836" s="24"/>
      <c r="L836" s="10" t="e">
        <f>_xlfn.XLOOKUP(K836,Ташкилотлар39[Ташкилотлар],Ташкилотлар39[TashklilotID])</f>
        <v>#N/A</v>
      </c>
      <c r="M836" s="26"/>
      <c r="N836" s="26"/>
      <c r="O836" s="24"/>
      <c r="P836" s="2"/>
      <c r="Q836" s="26"/>
      <c r="R836" s="26"/>
      <c r="S836" s="26"/>
      <c r="T836" s="26"/>
      <c r="U836" s="24"/>
      <c r="V836" s="10" t="e">
        <f>_xlfn.XLOOKUP(U836,Таклифлар37[Таклифлар],Таклифлар37[TaklifID])</f>
        <v>#N/A</v>
      </c>
      <c r="W836" s="24"/>
      <c r="X836" s="23"/>
      <c r="Y836" s="7"/>
      <c r="Z836" s="26"/>
      <c r="AB836" s="23"/>
      <c r="AD836" s="2"/>
      <c r="AG836" s="23"/>
      <c r="AI836" s="26"/>
      <c r="AJ836" s="23"/>
      <c r="AM836" s="23"/>
      <c r="AO836" s="32"/>
      <c r="AP836" s="26"/>
      <c r="AR836" s="26"/>
      <c r="AS836" s="27"/>
      <c r="AT836" s="27"/>
      <c r="AU836" s="31"/>
      <c r="AV836" s="24"/>
      <c r="AW836"/>
      <c r="AX836"/>
      <c r="AY836"/>
      <c r="AZ836"/>
      <c r="BA836"/>
      <c r="BB836"/>
      <c r="BC836"/>
      <c r="BD836"/>
      <c r="BE836"/>
      <c r="BF836"/>
      <c r="BG836"/>
    </row>
    <row r="837" spans="2:59" x14ac:dyDescent="0.25">
      <c r="B837" s="22"/>
      <c r="C837" s="23"/>
      <c r="E837" s="23"/>
      <c r="F837" s="24"/>
      <c r="G837" s="2"/>
      <c r="H837" s="10" t="e">
        <f>_xlfn.XLOOKUP(F837,Viloyatlar24[RegionName],Viloyatlar24[RegionId])</f>
        <v>#N/A</v>
      </c>
      <c r="I837" s="10" t="e">
        <f>_xlfn.XLOOKUP('Кўчмас мулк объектлари'!G837,Tumanlar23[DistrictName],Tumanlar23[DistrictId])</f>
        <v>#N/A</v>
      </c>
      <c r="K837" s="24"/>
      <c r="L837" s="10" t="e">
        <f>_xlfn.XLOOKUP(K837,Ташкилотлар39[Ташкилотлар],Ташкилотлар39[TashklilotID])</f>
        <v>#N/A</v>
      </c>
      <c r="M837" s="26"/>
      <c r="N837" s="26"/>
      <c r="O837" s="24"/>
      <c r="P837" s="2"/>
      <c r="Q837" s="26"/>
      <c r="R837" s="26"/>
      <c r="S837" s="26"/>
      <c r="T837" s="26"/>
      <c r="U837" s="24"/>
      <c r="V837" s="10" t="e">
        <f>_xlfn.XLOOKUP(U837,Таклифлар37[Таклифлар],Таклифлар37[TaklifID])</f>
        <v>#N/A</v>
      </c>
      <c r="W837" s="24"/>
      <c r="X837" s="23"/>
      <c r="Y837" s="7"/>
      <c r="Z837" s="26"/>
      <c r="AB837" s="23"/>
      <c r="AD837" s="2"/>
      <c r="AG837" s="23"/>
      <c r="AI837" s="26"/>
      <c r="AJ837" s="23"/>
      <c r="AM837" s="23"/>
      <c r="AO837" s="32"/>
      <c r="AP837" s="26"/>
      <c r="AR837" s="26"/>
      <c r="AS837" s="27"/>
      <c r="AT837" s="27"/>
      <c r="AU837" s="31"/>
      <c r="AV837" s="24"/>
      <c r="AW837"/>
      <c r="AX837"/>
      <c r="AY837"/>
      <c r="AZ837"/>
      <c r="BA837"/>
      <c r="BB837"/>
      <c r="BC837"/>
      <c r="BD837"/>
      <c r="BE837"/>
      <c r="BF837"/>
      <c r="BG837"/>
    </row>
    <row r="838" spans="2:59" x14ac:dyDescent="0.25">
      <c r="B838" s="22"/>
      <c r="C838" s="23"/>
      <c r="E838" s="23"/>
      <c r="F838" s="24"/>
      <c r="G838" s="2"/>
      <c r="H838" s="10" t="e">
        <f>_xlfn.XLOOKUP(F838,Viloyatlar24[RegionName],Viloyatlar24[RegionId])</f>
        <v>#N/A</v>
      </c>
      <c r="I838" s="10" t="e">
        <f>_xlfn.XLOOKUP('Кўчмас мулк объектлари'!G838,Tumanlar23[DistrictName],Tumanlar23[DistrictId])</f>
        <v>#N/A</v>
      </c>
      <c r="K838" s="24"/>
      <c r="L838" s="10" t="e">
        <f>_xlfn.XLOOKUP(K838,Ташкилотлар39[Ташкилотлар],Ташкилотлар39[TashklilotID])</f>
        <v>#N/A</v>
      </c>
      <c r="M838" s="26"/>
      <c r="N838" s="26"/>
      <c r="O838" s="24"/>
      <c r="P838" s="2"/>
      <c r="Q838" s="26"/>
      <c r="R838" s="26"/>
      <c r="S838" s="26"/>
      <c r="T838" s="26"/>
      <c r="U838" s="24"/>
      <c r="V838" s="10" t="e">
        <f>_xlfn.XLOOKUP(U838,Таклифлар37[Таклифлар],Таклифлар37[TaklifID])</f>
        <v>#N/A</v>
      </c>
      <c r="W838" s="24"/>
      <c r="X838" s="23"/>
      <c r="Y838" s="7"/>
      <c r="Z838" s="26"/>
      <c r="AB838" s="23"/>
      <c r="AD838" s="2"/>
      <c r="AG838" s="23"/>
      <c r="AI838" s="26"/>
      <c r="AJ838" s="23"/>
      <c r="AM838" s="23"/>
      <c r="AO838" s="32"/>
      <c r="AP838" s="26"/>
      <c r="AR838" s="26"/>
      <c r="AS838" s="27"/>
      <c r="AT838" s="27"/>
      <c r="AU838" s="31"/>
      <c r="AV838" s="24"/>
      <c r="AW838"/>
      <c r="AX838"/>
      <c r="AY838"/>
      <c r="AZ838"/>
      <c r="BA838"/>
      <c r="BB838"/>
      <c r="BC838"/>
      <c r="BD838"/>
      <c r="BE838"/>
      <c r="BF838"/>
      <c r="BG838"/>
    </row>
    <row r="839" spans="2:59" x14ac:dyDescent="0.25">
      <c r="B839" s="22"/>
      <c r="C839" s="23"/>
      <c r="E839" s="23"/>
      <c r="F839" s="24"/>
      <c r="G839" s="2"/>
      <c r="H839" s="10" t="e">
        <f>_xlfn.XLOOKUP(F839,Viloyatlar24[RegionName],Viloyatlar24[RegionId])</f>
        <v>#N/A</v>
      </c>
      <c r="I839" s="10" t="e">
        <f>_xlfn.XLOOKUP('Кўчмас мулк объектлари'!G839,Tumanlar23[DistrictName],Tumanlar23[DistrictId])</f>
        <v>#N/A</v>
      </c>
      <c r="K839" s="24"/>
      <c r="L839" s="10" t="e">
        <f>_xlfn.XLOOKUP(K839,Ташкилотлар39[Ташкилотлар],Ташкилотлар39[TashklilotID])</f>
        <v>#N/A</v>
      </c>
      <c r="M839" s="26"/>
      <c r="N839" s="26"/>
      <c r="O839" s="24"/>
      <c r="P839" s="2"/>
      <c r="Q839" s="26"/>
      <c r="R839" s="26"/>
      <c r="S839" s="26"/>
      <c r="T839" s="26"/>
      <c r="U839" s="24"/>
      <c r="V839" s="10" t="e">
        <f>_xlfn.XLOOKUP(U839,Таклифлар37[Таклифлар],Таклифлар37[TaklifID])</f>
        <v>#N/A</v>
      </c>
      <c r="W839" s="24"/>
      <c r="X839" s="23"/>
      <c r="Y839" s="7"/>
      <c r="Z839" s="26"/>
      <c r="AB839" s="23"/>
      <c r="AD839" s="2"/>
      <c r="AG839" s="23"/>
      <c r="AI839" s="26"/>
      <c r="AJ839" s="23"/>
      <c r="AM839" s="23"/>
      <c r="AO839" s="32"/>
      <c r="AP839" s="26"/>
      <c r="AR839" s="26"/>
      <c r="AS839" s="27"/>
      <c r="AT839" s="27"/>
      <c r="AU839" s="31"/>
      <c r="AV839" s="24"/>
      <c r="AW839"/>
      <c r="AX839"/>
      <c r="AY839"/>
      <c r="AZ839"/>
      <c r="BA839"/>
      <c r="BB839"/>
      <c r="BC839"/>
      <c r="BD839"/>
      <c r="BE839"/>
      <c r="BF839"/>
      <c r="BG839"/>
    </row>
    <row r="840" spans="2:59" x14ac:dyDescent="0.25">
      <c r="B840" s="22"/>
      <c r="C840" s="23"/>
      <c r="E840" s="23"/>
      <c r="F840" s="24"/>
      <c r="G840" s="2"/>
      <c r="H840" s="10" t="e">
        <f>_xlfn.XLOOKUP(F840,Viloyatlar24[RegionName],Viloyatlar24[RegionId])</f>
        <v>#N/A</v>
      </c>
      <c r="I840" s="10" t="e">
        <f>_xlfn.XLOOKUP('Кўчмас мулк объектлари'!G840,Tumanlar23[DistrictName],Tumanlar23[DistrictId])</f>
        <v>#N/A</v>
      </c>
      <c r="K840" s="24"/>
      <c r="L840" s="10" t="e">
        <f>_xlfn.XLOOKUP(K840,Ташкилотлар39[Ташкилотлар],Ташкилотлар39[TashklilotID])</f>
        <v>#N/A</v>
      </c>
      <c r="M840" s="26"/>
      <c r="N840" s="26"/>
      <c r="O840" s="24"/>
      <c r="P840" s="2"/>
      <c r="Q840" s="26"/>
      <c r="R840" s="26"/>
      <c r="S840" s="26"/>
      <c r="T840" s="26"/>
      <c r="U840" s="24"/>
      <c r="V840" s="10" t="e">
        <f>_xlfn.XLOOKUP(U840,Таклифлар37[Таклифлар],Таклифлар37[TaklifID])</f>
        <v>#N/A</v>
      </c>
      <c r="W840" s="24"/>
      <c r="X840" s="23"/>
      <c r="Y840" s="7"/>
      <c r="Z840" s="26"/>
      <c r="AB840" s="23"/>
      <c r="AD840" s="2"/>
      <c r="AG840" s="23"/>
      <c r="AI840" s="26"/>
      <c r="AJ840" s="23"/>
      <c r="AM840" s="23"/>
      <c r="AO840" s="32"/>
      <c r="AP840" s="26"/>
      <c r="AR840" s="26"/>
      <c r="AS840" s="27"/>
      <c r="AT840" s="27"/>
      <c r="AU840" s="31"/>
      <c r="AV840" s="24"/>
      <c r="AW840"/>
      <c r="AX840"/>
      <c r="AY840"/>
      <c r="AZ840"/>
      <c r="BA840"/>
      <c r="BB840"/>
      <c r="BC840"/>
      <c r="BD840"/>
      <c r="BE840"/>
      <c r="BF840"/>
      <c r="BG840"/>
    </row>
    <row r="841" spans="2:59" x14ac:dyDescent="0.25">
      <c r="B841" s="22"/>
      <c r="C841" s="23"/>
      <c r="E841" s="23"/>
      <c r="F841" s="24"/>
      <c r="G841" s="2"/>
      <c r="H841" s="10" t="e">
        <f>_xlfn.XLOOKUP(F841,Viloyatlar24[RegionName],Viloyatlar24[RegionId])</f>
        <v>#N/A</v>
      </c>
      <c r="I841" s="10" t="e">
        <f>_xlfn.XLOOKUP('Кўчмас мулк объектлари'!G841,Tumanlar23[DistrictName],Tumanlar23[DistrictId])</f>
        <v>#N/A</v>
      </c>
      <c r="K841" s="24"/>
      <c r="L841" s="10" t="e">
        <f>_xlfn.XLOOKUP(K841,Ташкилотлар39[Ташкилотлар],Ташкилотлар39[TashklilotID])</f>
        <v>#N/A</v>
      </c>
      <c r="M841" s="26"/>
      <c r="N841" s="26"/>
      <c r="O841" s="24"/>
      <c r="P841" s="2"/>
      <c r="Q841" s="26"/>
      <c r="R841" s="26"/>
      <c r="S841" s="26"/>
      <c r="T841" s="26"/>
      <c r="U841" s="24"/>
      <c r="V841" s="10" t="e">
        <f>_xlfn.XLOOKUP(U841,Таклифлар37[Таклифлар],Таклифлар37[TaklifID])</f>
        <v>#N/A</v>
      </c>
      <c r="W841" s="24"/>
      <c r="X841" s="23"/>
      <c r="Y841" s="7"/>
      <c r="Z841" s="26"/>
      <c r="AB841" s="23"/>
      <c r="AD841" s="2"/>
      <c r="AG841" s="23"/>
      <c r="AI841" s="26"/>
      <c r="AJ841" s="23"/>
      <c r="AM841" s="23"/>
      <c r="AO841" s="32"/>
      <c r="AP841" s="26"/>
      <c r="AR841" s="26"/>
      <c r="AS841" s="27"/>
      <c r="AT841" s="27"/>
      <c r="AU841" s="31"/>
      <c r="AV841" s="24"/>
      <c r="AW841"/>
      <c r="AX841"/>
      <c r="AY841"/>
      <c r="AZ841"/>
      <c r="BA841"/>
      <c r="BB841"/>
      <c r="BC841"/>
      <c r="BD841"/>
      <c r="BE841"/>
      <c r="BF841"/>
      <c r="BG841"/>
    </row>
    <row r="842" spans="2:59" x14ac:dyDescent="0.25">
      <c r="B842" s="22"/>
      <c r="C842" s="23"/>
      <c r="E842" s="23"/>
      <c r="F842" s="24"/>
      <c r="G842" s="2"/>
      <c r="H842" s="10" t="e">
        <f>_xlfn.XLOOKUP(F842,Viloyatlar24[RegionName],Viloyatlar24[RegionId])</f>
        <v>#N/A</v>
      </c>
      <c r="I842" s="10" t="e">
        <f>_xlfn.XLOOKUP('Кўчмас мулк объектлари'!G842,Tumanlar23[DistrictName],Tumanlar23[DistrictId])</f>
        <v>#N/A</v>
      </c>
      <c r="K842" s="24"/>
      <c r="L842" s="10" t="e">
        <f>_xlfn.XLOOKUP(K842,Ташкилотлар39[Ташкилотлар],Ташкилотлар39[TashklilotID])</f>
        <v>#N/A</v>
      </c>
      <c r="M842" s="26"/>
      <c r="N842" s="26"/>
      <c r="O842" s="24"/>
      <c r="P842" s="2"/>
      <c r="Q842" s="26"/>
      <c r="R842" s="26"/>
      <c r="S842" s="26"/>
      <c r="T842" s="26"/>
      <c r="U842" s="24"/>
      <c r="V842" s="10" t="e">
        <f>_xlfn.XLOOKUP(U842,Таклифлар37[Таклифлар],Таклифлар37[TaklifID])</f>
        <v>#N/A</v>
      </c>
      <c r="W842" s="24"/>
      <c r="X842" s="23"/>
      <c r="Y842" s="7"/>
      <c r="Z842" s="26"/>
      <c r="AB842" s="23"/>
      <c r="AD842" s="2"/>
      <c r="AG842" s="23"/>
      <c r="AI842" s="26"/>
      <c r="AJ842" s="23"/>
      <c r="AM842" s="23"/>
      <c r="AO842" s="32"/>
      <c r="AP842" s="26"/>
      <c r="AR842" s="26"/>
      <c r="AS842" s="27"/>
      <c r="AT842" s="27"/>
      <c r="AU842" s="31"/>
      <c r="AV842" s="24"/>
      <c r="AW842"/>
      <c r="AX842"/>
      <c r="AY842"/>
      <c r="AZ842"/>
      <c r="BA842"/>
      <c r="BB842"/>
      <c r="BC842"/>
      <c r="BD842"/>
      <c r="BE842"/>
      <c r="BF842"/>
      <c r="BG842"/>
    </row>
    <row r="843" spans="2:59" x14ac:dyDescent="0.25">
      <c r="B843" s="22"/>
      <c r="C843" s="23"/>
      <c r="E843" s="23"/>
      <c r="F843" s="24"/>
      <c r="G843" s="2"/>
      <c r="H843" s="10" t="e">
        <f>_xlfn.XLOOKUP(F843,Viloyatlar24[RegionName],Viloyatlar24[RegionId])</f>
        <v>#N/A</v>
      </c>
      <c r="I843" s="10" t="e">
        <f>_xlfn.XLOOKUP('Кўчмас мулк объектлари'!G843,Tumanlar23[DistrictName],Tumanlar23[DistrictId])</f>
        <v>#N/A</v>
      </c>
      <c r="K843" s="24"/>
      <c r="L843" s="10" t="e">
        <f>_xlfn.XLOOKUP(K843,Ташкилотлар39[Ташкилотлар],Ташкилотлар39[TashklilotID])</f>
        <v>#N/A</v>
      </c>
      <c r="M843" s="26"/>
      <c r="N843" s="26"/>
      <c r="O843" s="24"/>
      <c r="P843" s="2"/>
      <c r="Q843" s="26"/>
      <c r="R843" s="26"/>
      <c r="S843" s="26"/>
      <c r="T843" s="26"/>
      <c r="U843" s="24"/>
      <c r="V843" s="10" t="e">
        <f>_xlfn.XLOOKUP(U843,Таклифлар37[Таклифлар],Таклифлар37[TaklifID])</f>
        <v>#N/A</v>
      </c>
      <c r="W843" s="24"/>
      <c r="X843" s="23"/>
      <c r="Y843" s="7"/>
      <c r="Z843" s="26"/>
      <c r="AB843" s="23"/>
      <c r="AD843" s="2"/>
      <c r="AG843" s="23"/>
      <c r="AI843" s="26"/>
      <c r="AJ843" s="23"/>
      <c r="AM843" s="23"/>
      <c r="AO843" s="32"/>
      <c r="AP843" s="26"/>
      <c r="AR843" s="26"/>
      <c r="AS843" s="27"/>
      <c r="AT843" s="27"/>
      <c r="AU843" s="31"/>
      <c r="AV843" s="24"/>
      <c r="AW843"/>
      <c r="AX843"/>
      <c r="AY843"/>
      <c r="AZ843"/>
      <c r="BA843"/>
      <c r="BB843"/>
      <c r="BC843"/>
      <c r="BD843"/>
      <c r="BE843"/>
      <c r="BF843"/>
      <c r="BG843"/>
    </row>
    <row r="844" spans="2:59" x14ac:dyDescent="0.25">
      <c r="B844" s="22"/>
      <c r="C844" s="23"/>
      <c r="E844" s="23"/>
      <c r="F844" s="24"/>
      <c r="G844" s="2"/>
      <c r="H844" s="10" t="e">
        <f>_xlfn.XLOOKUP(F844,Viloyatlar24[RegionName],Viloyatlar24[RegionId])</f>
        <v>#N/A</v>
      </c>
      <c r="I844" s="10" t="e">
        <f>_xlfn.XLOOKUP('Кўчмас мулк объектлари'!G844,Tumanlar23[DistrictName],Tumanlar23[DistrictId])</f>
        <v>#N/A</v>
      </c>
      <c r="K844" s="24"/>
      <c r="L844" s="10" t="e">
        <f>_xlfn.XLOOKUP(K844,Ташкилотлар39[Ташкилотлар],Ташкилотлар39[TashklilotID])</f>
        <v>#N/A</v>
      </c>
      <c r="M844" s="26"/>
      <c r="N844" s="26"/>
      <c r="O844" s="24"/>
      <c r="P844" s="2"/>
      <c r="Q844" s="26"/>
      <c r="R844" s="26"/>
      <c r="S844" s="26"/>
      <c r="T844" s="26"/>
      <c r="U844" s="24"/>
      <c r="V844" s="10" t="e">
        <f>_xlfn.XLOOKUP(U844,Таклифлар37[Таклифлар],Таклифлар37[TaklifID])</f>
        <v>#N/A</v>
      </c>
      <c r="W844" s="24"/>
      <c r="X844" s="23"/>
      <c r="Y844" s="7"/>
      <c r="Z844" s="26"/>
      <c r="AB844" s="23"/>
      <c r="AD844" s="2"/>
      <c r="AG844" s="23"/>
      <c r="AI844" s="26"/>
      <c r="AJ844" s="23"/>
      <c r="AM844" s="23"/>
      <c r="AO844" s="32"/>
      <c r="AP844" s="26"/>
      <c r="AR844" s="26"/>
      <c r="AS844" s="27"/>
      <c r="AT844" s="27"/>
      <c r="AU844" s="31"/>
      <c r="AV844" s="24"/>
      <c r="AW844"/>
      <c r="AX844"/>
      <c r="AY844"/>
      <c r="AZ844"/>
      <c r="BA844"/>
      <c r="BB844"/>
      <c r="BC844"/>
      <c r="BD844"/>
      <c r="BE844"/>
      <c r="BF844"/>
      <c r="BG844"/>
    </row>
    <row r="845" spans="2:59" x14ac:dyDescent="0.25">
      <c r="B845" s="22"/>
      <c r="C845" s="23"/>
      <c r="E845" s="23"/>
      <c r="F845" s="24"/>
      <c r="G845" s="2"/>
      <c r="H845" s="10" t="e">
        <f>_xlfn.XLOOKUP(F845,Viloyatlar24[RegionName],Viloyatlar24[RegionId])</f>
        <v>#N/A</v>
      </c>
      <c r="I845" s="10" t="e">
        <f>_xlfn.XLOOKUP('Кўчмас мулк объектлари'!G845,Tumanlar23[DistrictName],Tumanlar23[DistrictId])</f>
        <v>#N/A</v>
      </c>
      <c r="K845" s="24"/>
      <c r="L845" s="10" t="e">
        <f>_xlfn.XLOOKUP(K845,Ташкилотлар39[Ташкилотлар],Ташкилотлар39[TashklilotID])</f>
        <v>#N/A</v>
      </c>
      <c r="M845" s="26"/>
      <c r="N845" s="26"/>
      <c r="O845" s="24"/>
      <c r="P845" s="2"/>
      <c r="Q845" s="26"/>
      <c r="R845" s="26"/>
      <c r="S845" s="26"/>
      <c r="T845" s="26"/>
      <c r="U845" s="24"/>
      <c r="V845" s="10" t="e">
        <f>_xlfn.XLOOKUP(U845,Таклифлар37[Таклифлар],Таклифлар37[TaklifID])</f>
        <v>#N/A</v>
      </c>
      <c r="W845" s="24"/>
      <c r="X845" s="23"/>
      <c r="Y845" s="7"/>
      <c r="Z845" s="26"/>
      <c r="AB845" s="23"/>
      <c r="AD845" s="2"/>
      <c r="AG845" s="23"/>
      <c r="AI845" s="26"/>
      <c r="AJ845" s="23"/>
      <c r="AM845" s="23"/>
      <c r="AO845" s="32"/>
      <c r="AP845" s="26"/>
      <c r="AR845" s="26"/>
      <c r="AS845" s="27"/>
      <c r="AT845" s="27"/>
      <c r="AU845" s="31"/>
      <c r="AV845" s="24"/>
      <c r="AW845"/>
      <c r="AX845"/>
      <c r="AY845"/>
      <c r="AZ845"/>
      <c r="BA845"/>
      <c r="BB845"/>
      <c r="BC845"/>
      <c r="BD845"/>
      <c r="BE845"/>
      <c r="BF845"/>
      <c r="BG845"/>
    </row>
    <row r="846" spans="2:59" x14ac:dyDescent="0.25">
      <c r="B846" s="22"/>
      <c r="C846" s="23"/>
      <c r="E846" s="23"/>
      <c r="F846" s="24"/>
      <c r="G846" s="2"/>
      <c r="H846" s="10" t="e">
        <f>_xlfn.XLOOKUP(F846,Viloyatlar24[RegionName],Viloyatlar24[RegionId])</f>
        <v>#N/A</v>
      </c>
      <c r="I846" s="10" t="e">
        <f>_xlfn.XLOOKUP('Кўчмас мулк объектлари'!G846,Tumanlar23[DistrictName],Tumanlar23[DistrictId])</f>
        <v>#N/A</v>
      </c>
      <c r="K846" s="24"/>
      <c r="L846" s="10" t="e">
        <f>_xlfn.XLOOKUP(K846,Ташкилотлар39[Ташкилотлар],Ташкилотлар39[TashklilotID])</f>
        <v>#N/A</v>
      </c>
      <c r="M846" s="26"/>
      <c r="N846" s="26"/>
      <c r="O846" s="24"/>
      <c r="P846" s="2"/>
      <c r="Q846" s="26"/>
      <c r="R846" s="26"/>
      <c r="S846" s="26"/>
      <c r="T846" s="26"/>
      <c r="U846" s="24"/>
      <c r="V846" s="10" t="e">
        <f>_xlfn.XLOOKUP(U846,Таклифлар37[Таклифлар],Таклифлар37[TaklifID])</f>
        <v>#N/A</v>
      </c>
      <c r="W846" s="24"/>
      <c r="X846" s="23"/>
      <c r="Y846" s="7"/>
      <c r="Z846" s="26"/>
      <c r="AB846" s="23"/>
      <c r="AD846" s="2"/>
      <c r="AG846" s="23"/>
      <c r="AI846" s="26"/>
      <c r="AJ846" s="23"/>
      <c r="AM846" s="23"/>
      <c r="AO846" s="32"/>
      <c r="AP846" s="26"/>
      <c r="AR846" s="26"/>
      <c r="AS846" s="27"/>
      <c r="AT846" s="27"/>
      <c r="AU846" s="31"/>
      <c r="AV846" s="24"/>
      <c r="AW846"/>
      <c r="AX846"/>
      <c r="AY846"/>
      <c r="AZ846"/>
      <c r="BA846"/>
      <c r="BB846"/>
      <c r="BC846"/>
      <c r="BD846"/>
      <c r="BE846"/>
      <c r="BF846"/>
      <c r="BG846"/>
    </row>
    <row r="847" spans="2:59" x14ac:dyDescent="0.25">
      <c r="B847" s="22"/>
      <c r="C847" s="23"/>
      <c r="E847" s="23"/>
      <c r="F847" s="24"/>
      <c r="G847" s="2"/>
      <c r="H847" s="10" t="e">
        <f>_xlfn.XLOOKUP(F847,Viloyatlar24[RegionName],Viloyatlar24[RegionId])</f>
        <v>#N/A</v>
      </c>
      <c r="I847" s="10" t="e">
        <f>_xlfn.XLOOKUP('Кўчмас мулк объектлари'!G847,Tumanlar23[DistrictName],Tumanlar23[DistrictId])</f>
        <v>#N/A</v>
      </c>
      <c r="K847" s="24"/>
      <c r="L847" s="10" t="e">
        <f>_xlfn.XLOOKUP(K847,Ташкилотлар39[Ташкилотлар],Ташкилотлар39[TashklilotID])</f>
        <v>#N/A</v>
      </c>
      <c r="M847" s="26"/>
      <c r="N847" s="26"/>
      <c r="O847" s="24"/>
      <c r="P847" s="2"/>
      <c r="Q847" s="26"/>
      <c r="R847" s="26"/>
      <c r="S847" s="26"/>
      <c r="T847" s="26"/>
      <c r="U847" s="24"/>
      <c r="V847" s="10" t="e">
        <f>_xlfn.XLOOKUP(U847,Таклифлар37[Таклифлар],Таклифлар37[TaklifID])</f>
        <v>#N/A</v>
      </c>
      <c r="W847" s="24"/>
      <c r="X847" s="23"/>
      <c r="Y847" s="7"/>
      <c r="Z847" s="26"/>
      <c r="AB847" s="23"/>
      <c r="AD847" s="2"/>
      <c r="AG847" s="23"/>
      <c r="AI847" s="26"/>
      <c r="AJ847" s="23"/>
      <c r="AM847" s="23"/>
      <c r="AO847" s="32"/>
      <c r="AP847" s="26"/>
      <c r="AR847" s="26"/>
      <c r="AS847" s="27"/>
      <c r="AT847" s="27"/>
      <c r="AU847" s="31"/>
      <c r="AV847" s="24"/>
      <c r="AW847"/>
      <c r="AX847"/>
      <c r="AY847"/>
      <c r="AZ847"/>
      <c r="BA847"/>
      <c r="BB847"/>
      <c r="BC847"/>
      <c r="BD847"/>
      <c r="BE847"/>
      <c r="BF847"/>
      <c r="BG847"/>
    </row>
    <row r="848" spans="2:59" x14ac:dyDescent="0.25">
      <c r="B848" s="22"/>
      <c r="C848" s="23"/>
      <c r="E848" s="23"/>
      <c r="F848" s="24"/>
      <c r="G848" s="2"/>
      <c r="H848" s="10" t="e">
        <f>_xlfn.XLOOKUP(F848,Viloyatlar24[RegionName],Viloyatlar24[RegionId])</f>
        <v>#N/A</v>
      </c>
      <c r="I848" s="10" t="e">
        <f>_xlfn.XLOOKUP('Кўчмас мулк объектлари'!G848,Tumanlar23[DistrictName],Tumanlar23[DistrictId])</f>
        <v>#N/A</v>
      </c>
      <c r="K848" s="24"/>
      <c r="L848" s="10" t="e">
        <f>_xlfn.XLOOKUP(K848,Ташкилотлар39[Ташкилотлар],Ташкилотлар39[TashklilotID])</f>
        <v>#N/A</v>
      </c>
      <c r="M848" s="26"/>
      <c r="N848" s="26"/>
      <c r="O848" s="24"/>
      <c r="P848" s="2"/>
      <c r="Q848" s="26"/>
      <c r="R848" s="26"/>
      <c r="S848" s="26"/>
      <c r="T848" s="26"/>
      <c r="U848" s="24"/>
      <c r="V848" s="10" t="e">
        <f>_xlfn.XLOOKUP(U848,Таклифлар37[Таклифлар],Таклифлар37[TaklifID])</f>
        <v>#N/A</v>
      </c>
      <c r="W848" s="24"/>
      <c r="X848" s="23"/>
      <c r="Y848" s="7"/>
      <c r="Z848" s="26"/>
      <c r="AB848" s="23"/>
      <c r="AD848" s="2"/>
      <c r="AG848" s="23"/>
      <c r="AI848" s="26"/>
      <c r="AJ848" s="23"/>
      <c r="AM848" s="23"/>
      <c r="AO848" s="32"/>
      <c r="AP848" s="26"/>
      <c r="AR848" s="26"/>
      <c r="AS848" s="27"/>
      <c r="AT848" s="27"/>
      <c r="AU848" s="31"/>
      <c r="AV848" s="24"/>
      <c r="AW848"/>
      <c r="AX848"/>
      <c r="AY848"/>
      <c r="AZ848"/>
      <c r="BA848"/>
      <c r="BB848"/>
      <c r="BC848"/>
      <c r="BD848"/>
      <c r="BE848"/>
      <c r="BF848"/>
      <c r="BG848"/>
    </row>
    <row r="849" spans="2:59" x14ac:dyDescent="0.25">
      <c r="B849" s="22"/>
      <c r="C849" s="23"/>
      <c r="E849" s="23"/>
      <c r="F849" s="24"/>
      <c r="G849" s="2"/>
      <c r="H849" s="10" t="e">
        <f>_xlfn.XLOOKUP(F849,Viloyatlar24[RegionName],Viloyatlar24[RegionId])</f>
        <v>#N/A</v>
      </c>
      <c r="I849" s="10" t="e">
        <f>_xlfn.XLOOKUP('Кўчмас мулк объектлари'!G849,Tumanlar23[DistrictName],Tumanlar23[DistrictId])</f>
        <v>#N/A</v>
      </c>
      <c r="K849" s="24"/>
      <c r="L849" s="10" t="e">
        <f>_xlfn.XLOOKUP(K849,Ташкилотлар39[Ташкилотлар],Ташкилотлар39[TashklilotID])</f>
        <v>#N/A</v>
      </c>
      <c r="M849" s="26"/>
      <c r="N849" s="26"/>
      <c r="O849" s="24"/>
      <c r="P849" s="2"/>
      <c r="Q849" s="26"/>
      <c r="R849" s="26"/>
      <c r="S849" s="26"/>
      <c r="T849" s="26"/>
      <c r="U849" s="24"/>
      <c r="V849" s="10" t="e">
        <f>_xlfn.XLOOKUP(U849,Таклифлар37[Таклифлар],Таклифлар37[TaklifID])</f>
        <v>#N/A</v>
      </c>
      <c r="W849" s="24"/>
      <c r="X849" s="23"/>
      <c r="Y849" s="7"/>
      <c r="Z849" s="26"/>
      <c r="AB849" s="23"/>
      <c r="AD849" s="2"/>
      <c r="AG849" s="23"/>
      <c r="AI849" s="26"/>
      <c r="AJ849" s="23"/>
      <c r="AM849" s="23"/>
      <c r="AO849" s="32"/>
      <c r="AP849" s="26"/>
      <c r="AR849" s="26"/>
      <c r="AS849" s="27"/>
      <c r="AT849" s="27"/>
      <c r="AU849" s="31"/>
      <c r="AV849" s="24"/>
      <c r="AW849"/>
      <c r="AX849"/>
      <c r="AY849"/>
      <c r="AZ849"/>
      <c r="BA849"/>
      <c r="BB849"/>
      <c r="BC849"/>
      <c r="BD849"/>
      <c r="BE849"/>
      <c r="BF849"/>
      <c r="BG849"/>
    </row>
    <row r="850" spans="2:59" x14ac:dyDescent="0.25">
      <c r="B850" s="22"/>
      <c r="C850" s="23"/>
      <c r="E850" s="23"/>
      <c r="F850" s="24"/>
      <c r="G850" s="2"/>
      <c r="H850" s="10" t="e">
        <f>_xlfn.XLOOKUP(F850,Viloyatlar24[RegionName],Viloyatlar24[RegionId])</f>
        <v>#N/A</v>
      </c>
      <c r="I850" s="10" t="e">
        <f>_xlfn.XLOOKUP('Кўчмас мулк объектлари'!G850,Tumanlar23[DistrictName],Tumanlar23[DistrictId])</f>
        <v>#N/A</v>
      </c>
      <c r="K850" s="24"/>
      <c r="L850" s="10" t="e">
        <f>_xlfn.XLOOKUP(K850,Ташкилотлар39[Ташкилотлар],Ташкилотлар39[TashklilotID])</f>
        <v>#N/A</v>
      </c>
      <c r="M850" s="26"/>
      <c r="N850" s="26"/>
      <c r="O850" s="24"/>
      <c r="P850" s="2"/>
      <c r="Q850" s="26"/>
      <c r="R850" s="26"/>
      <c r="S850" s="26"/>
      <c r="T850" s="26"/>
      <c r="U850" s="24"/>
      <c r="V850" s="10" t="e">
        <f>_xlfn.XLOOKUP(U850,Таклифлар37[Таклифлар],Таклифлар37[TaklifID])</f>
        <v>#N/A</v>
      </c>
      <c r="W850" s="24"/>
      <c r="X850" s="23"/>
      <c r="Y850" s="7"/>
      <c r="Z850" s="26"/>
      <c r="AB850" s="23"/>
      <c r="AD850" s="2"/>
      <c r="AG850" s="23"/>
      <c r="AI850" s="26"/>
      <c r="AJ850" s="23"/>
      <c r="AM850" s="23"/>
      <c r="AO850" s="32"/>
      <c r="AP850" s="26"/>
      <c r="AR850" s="26"/>
      <c r="AS850" s="27"/>
      <c r="AT850" s="27"/>
      <c r="AU850" s="31"/>
      <c r="AV850" s="24"/>
      <c r="AW850"/>
      <c r="AX850"/>
      <c r="AY850"/>
      <c r="AZ850"/>
      <c r="BA850"/>
      <c r="BB850"/>
      <c r="BC850"/>
      <c r="BD850"/>
      <c r="BE850"/>
      <c r="BF850"/>
      <c r="BG850"/>
    </row>
    <row r="851" spans="2:59" x14ac:dyDescent="0.25">
      <c r="B851" s="22"/>
      <c r="C851" s="23"/>
      <c r="E851" s="23"/>
      <c r="F851" s="24"/>
      <c r="G851" s="2"/>
      <c r="H851" s="10" t="e">
        <f>_xlfn.XLOOKUP(F851,Viloyatlar24[RegionName],Viloyatlar24[RegionId])</f>
        <v>#N/A</v>
      </c>
      <c r="I851" s="10" t="e">
        <f>_xlfn.XLOOKUP('Кўчмас мулк объектлари'!G851,Tumanlar23[DistrictName],Tumanlar23[DistrictId])</f>
        <v>#N/A</v>
      </c>
      <c r="K851" s="24"/>
      <c r="L851" s="10" t="e">
        <f>_xlfn.XLOOKUP(K851,Ташкилотлар39[Ташкилотлар],Ташкилотлар39[TashklilotID])</f>
        <v>#N/A</v>
      </c>
      <c r="M851" s="26"/>
      <c r="N851" s="26"/>
      <c r="O851" s="24"/>
      <c r="P851" s="2"/>
      <c r="Q851" s="26"/>
      <c r="R851" s="26"/>
      <c r="S851" s="26"/>
      <c r="T851" s="26"/>
      <c r="U851" s="24"/>
      <c r="V851" s="10" t="e">
        <f>_xlfn.XLOOKUP(U851,Таклифлар37[Таклифлар],Таклифлар37[TaklifID])</f>
        <v>#N/A</v>
      </c>
      <c r="W851" s="24"/>
      <c r="X851" s="23"/>
      <c r="Y851" s="7"/>
      <c r="Z851" s="26"/>
      <c r="AB851" s="23"/>
      <c r="AD851" s="2"/>
      <c r="AG851" s="23"/>
      <c r="AI851" s="26"/>
      <c r="AJ851" s="23"/>
      <c r="AM851" s="23"/>
      <c r="AO851" s="32"/>
      <c r="AP851" s="26"/>
      <c r="AR851" s="26"/>
      <c r="AS851" s="27"/>
      <c r="AT851" s="27"/>
      <c r="AU851" s="31"/>
      <c r="AV851" s="24"/>
      <c r="AW851"/>
      <c r="AX851"/>
      <c r="AY851"/>
      <c r="AZ851"/>
      <c r="BA851"/>
      <c r="BB851"/>
      <c r="BC851"/>
      <c r="BD851"/>
      <c r="BE851"/>
      <c r="BF851"/>
      <c r="BG851"/>
    </row>
    <row r="852" spans="2:59" x14ac:dyDescent="0.25">
      <c r="B852" s="22"/>
      <c r="C852" s="23"/>
      <c r="E852" s="23"/>
      <c r="F852" s="24"/>
      <c r="G852" s="2"/>
      <c r="H852" s="10" t="e">
        <f>_xlfn.XLOOKUP(F852,Viloyatlar24[RegionName],Viloyatlar24[RegionId])</f>
        <v>#N/A</v>
      </c>
      <c r="I852" s="10" t="e">
        <f>_xlfn.XLOOKUP('Кўчмас мулк объектлари'!G852,Tumanlar23[DistrictName],Tumanlar23[DistrictId])</f>
        <v>#N/A</v>
      </c>
      <c r="K852" s="24"/>
      <c r="L852" s="10" t="e">
        <f>_xlfn.XLOOKUP(K852,Ташкилотлар39[Ташкилотлар],Ташкилотлар39[TashklilotID])</f>
        <v>#N/A</v>
      </c>
      <c r="M852" s="26"/>
      <c r="N852" s="26"/>
      <c r="O852" s="24"/>
      <c r="P852" s="2"/>
      <c r="Q852" s="26"/>
      <c r="R852" s="26"/>
      <c r="S852" s="26"/>
      <c r="T852" s="26"/>
      <c r="U852" s="24"/>
      <c r="V852" s="10" t="e">
        <f>_xlfn.XLOOKUP(U852,Таклифлар37[Таклифлар],Таклифлар37[TaklifID])</f>
        <v>#N/A</v>
      </c>
      <c r="W852" s="24"/>
      <c r="X852" s="23"/>
      <c r="Y852" s="7"/>
      <c r="Z852" s="26"/>
      <c r="AB852" s="23"/>
      <c r="AD852" s="2"/>
      <c r="AG852" s="23"/>
      <c r="AI852" s="26"/>
      <c r="AJ852" s="23"/>
      <c r="AM852" s="23"/>
      <c r="AO852" s="32"/>
      <c r="AP852" s="26"/>
      <c r="AR852" s="26"/>
      <c r="AS852" s="27"/>
      <c r="AT852" s="27"/>
      <c r="AU852" s="31"/>
      <c r="AV852" s="24"/>
      <c r="AW852"/>
      <c r="AX852"/>
      <c r="AY852"/>
      <c r="AZ852"/>
      <c r="BA852"/>
      <c r="BB852"/>
      <c r="BC852"/>
      <c r="BD852"/>
      <c r="BE852"/>
      <c r="BF852"/>
      <c r="BG852"/>
    </row>
    <row r="853" spans="2:59" x14ac:dyDescent="0.25">
      <c r="B853" s="22"/>
      <c r="C853" s="23"/>
      <c r="E853" s="23"/>
      <c r="F853" s="24"/>
      <c r="G853" s="2"/>
      <c r="H853" s="10" t="e">
        <f>_xlfn.XLOOKUP(F853,Viloyatlar24[RegionName],Viloyatlar24[RegionId])</f>
        <v>#N/A</v>
      </c>
      <c r="I853" s="10" t="e">
        <f>_xlfn.XLOOKUP('Кўчмас мулк объектлари'!G853,Tumanlar23[DistrictName],Tumanlar23[DistrictId])</f>
        <v>#N/A</v>
      </c>
      <c r="K853" s="24"/>
      <c r="L853" s="10" t="e">
        <f>_xlfn.XLOOKUP(K853,Ташкилотлар39[Ташкилотлар],Ташкилотлар39[TashklilotID])</f>
        <v>#N/A</v>
      </c>
      <c r="M853" s="26"/>
      <c r="N853" s="26"/>
      <c r="O853" s="24"/>
      <c r="P853" s="2"/>
      <c r="Q853" s="26"/>
      <c r="R853" s="26"/>
      <c r="S853" s="26"/>
      <c r="T853" s="26"/>
      <c r="U853" s="24"/>
      <c r="V853" s="10" t="e">
        <f>_xlfn.XLOOKUP(U853,Таклифлар37[Таклифлар],Таклифлар37[TaklifID])</f>
        <v>#N/A</v>
      </c>
      <c r="W853" s="24"/>
      <c r="X853" s="23"/>
      <c r="Y853" s="7"/>
      <c r="Z853" s="26"/>
      <c r="AB853" s="23"/>
      <c r="AD853" s="2"/>
      <c r="AG853" s="23"/>
      <c r="AI853" s="26"/>
      <c r="AJ853" s="23"/>
      <c r="AM853" s="23"/>
      <c r="AO853" s="32"/>
      <c r="AP853" s="26"/>
      <c r="AR853" s="26"/>
      <c r="AS853" s="27"/>
      <c r="AT853" s="27"/>
      <c r="AU853" s="31"/>
      <c r="AV853" s="24"/>
      <c r="AW853"/>
      <c r="AX853"/>
      <c r="AY853"/>
      <c r="AZ853"/>
      <c r="BA853"/>
      <c r="BB853"/>
      <c r="BC853"/>
      <c r="BD853"/>
      <c r="BE853"/>
      <c r="BF853"/>
      <c r="BG853"/>
    </row>
    <row r="854" spans="2:59" x14ac:dyDescent="0.25">
      <c r="B854" s="22"/>
      <c r="C854" s="23"/>
      <c r="E854" s="23"/>
      <c r="F854" s="24"/>
      <c r="G854" s="2"/>
      <c r="H854" s="10" t="e">
        <f>_xlfn.XLOOKUP(F854,Viloyatlar24[RegionName],Viloyatlar24[RegionId])</f>
        <v>#N/A</v>
      </c>
      <c r="I854" s="10" t="e">
        <f>_xlfn.XLOOKUP('Кўчмас мулк объектлари'!G854,Tumanlar23[DistrictName],Tumanlar23[DistrictId])</f>
        <v>#N/A</v>
      </c>
      <c r="K854" s="24"/>
      <c r="L854" s="10" t="e">
        <f>_xlfn.XLOOKUP(K854,Ташкилотлар39[Ташкилотлар],Ташкилотлар39[TashklilotID])</f>
        <v>#N/A</v>
      </c>
      <c r="M854" s="26"/>
      <c r="N854" s="26"/>
      <c r="O854" s="24"/>
      <c r="P854" s="2"/>
      <c r="Q854" s="26"/>
      <c r="R854" s="26"/>
      <c r="S854" s="26"/>
      <c r="T854" s="26"/>
      <c r="U854" s="24"/>
      <c r="V854" s="10" t="e">
        <f>_xlfn.XLOOKUP(U854,Таклифлар37[Таклифлар],Таклифлар37[TaklifID])</f>
        <v>#N/A</v>
      </c>
      <c r="W854" s="24"/>
      <c r="X854" s="23"/>
      <c r="Y854" s="7"/>
      <c r="Z854" s="26"/>
      <c r="AB854" s="23"/>
      <c r="AD854" s="2"/>
      <c r="AG854" s="23"/>
      <c r="AI854" s="26"/>
      <c r="AJ854" s="23"/>
      <c r="AM854" s="23"/>
      <c r="AO854" s="32"/>
      <c r="AP854" s="26"/>
      <c r="AR854" s="26"/>
      <c r="AS854" s="27"/>
      <c r="AT854" s="27"/>
      <c r="AU854" s="31"/>
      <c r="AV854" s="24"/>
      <c r="AW854"/>
      <c r="AX854"/>
      <c r="AY854"/>
      <c r="AZ854"/>
      <c r="BA854"/>
      <c r="BB854"/>
      <c r="BC854"/>
      <c r="BD854"/>
      <c r="BE854"/>
      <c r="BF854"/>
      <c r="BG854"/>
    </row>
    <row r="855" spans="2:59" x14ac:dyDescent="0.25">
      <c r="B855" s="22"/>
      <c r="C855" s="23"/>
      <c r="E855" s="23"/>
      <c r="F855" s="24"/>
      <c r="G855" s="2"/>
      <c r="H855" s="10" t="e">
        <f>_xlfn.XLOOKUP(F855,Viloyatlar24[RegionName],Viloyatlar24[RegionId])</f>
        <v>#N/A</v>
      </c>
      <c r="I855" s="10" t="e">
        <f>_xlfn.XLOOKUP('Кўчмас мулк объектлари'!G855,Tumanlar23[DistrictName],Tumanlar23[DistrictId])</f>
        <v>#N/A</v>
      </c>
      <c r="K855" s="24"/>
      <c r="L855" s="10" t="e">
        <f>_xlfn.XLOOKUP(K855,Ташкилотлар39[Ташкилотлар],Ташкилотлар39[TashklilotID])</f>
        <v>#N/A</v>
      </c>
      <c r="M855" s="26"/>
      <c r="N855" s="26"/>
      <c r="O855" s="24"/>
      <c r="P855" s="2"/>
      <c r="Q855" s="26"/>
      <c r="R855" s="26"/>
      <c r="S855" s="26"/>
      <c r="T855" s="26"/>
      <c r="U855" s="24"/>
      <c r="V855" s="10" t="e">
        <f>_xlfn.XLOOKUP(U855,Таклифлар37[Таклифлар],Таклифлар37[TaklifID])</f>
        <v>#N/A</v>
      </c>
      <c r="W855" s="24"/>
      <c r="X855" s="23"/>
      <c r="Y855" s="7"/>
      <c r="Z855" s="26"/>
      <c r="AB855" s="23"/>
      <c r="AD855" s="2"/>
      <c r="AG855" s="23"/>
      <c r="AI855" s="26"/>
      <c r="AJ855" s="23"/>
      <c r="AM855" s="23"/>
      <c r="AO855" s="32"/>
      <c r="AP855" s="26"/>
      <c r="AR855" s="26"/>
      <c r="AS855" s="27"/>
      <c r="AT855" s="27"/>
      <c r="AU855" s="31"/>
      <c r="AV855" s="24"/>
      <c r="AW855"/>
      <c r="AX855"/>
      <c r="AY855"/>
      <c r="AZ855"/>
      <c r="BA855"/>
      <c r="BB855"/>
      <c r="BC855"/>
      <c r="BD855"/>
      <c r="BE855"/>
      <c r="BF855"/>
      <c r="BG855"/>
    </row>
    <row r="856" spans="2:59" x14ac:dyDescent="0.25">
      <c r="B856" s="22"/>
      <c r="C856" s="23"/>
      <c r="E856" s="23"/>
      <c r="F856" s="24"/>
      <c r="G856" s="2"/>
      <c r="H856" s="10" t="e">
        <f>_xlfn.XLOOKUP(F856,Viloyatlar24[RegionName],Viloyatlar24[RegionId])</f>
        <v>#N/A</v>
      </c>
      <c r="I856" s="10" t="e">
        <f>_xlfn.XLOOKUP('Кўчмас мулк объектлари'!G856,Tumanlar23[DistrictName],Tumanlar23[DistrictId])</f>
        <v>#N/A</v>
      </c>
      <c r="K856" s="24"/>
      <c r="L856" s="10" t="e">
        <f>_xlfn.XLOOKUP(K856,Ташкилотлар39[Ташкилотлар],Ташкилотлар39[TashklilotID])</f>
        <v>#N/A</v>
      </c>
      <c r="M856" s="26"/>
      <c r="N856" s="26"/>
      <c r="O856" s="24"/>
      <c r="P856" s="2"/>
      <c r="Q856" s="26"/>
      <c r="R856" s="26"/>
      <c r="S856" s="26"/>
      <c r="T856" s="26"/>
      <c r="U856" s="24"/>
      <c r="V856" s="10" t="e">
        <f>_xlfn.XLOOKUP(U856,Таклифлар37[Таклифлар],Таклифлар37[TaklifID])</f>
        <v>#N/A</v>
      </c>
      <c r="W856" s="24"/>
      <c r="X856" s="23"/>
      <c r="Y856" s="7"/>
      <c r="Z856" s="26"/>
      <c r="AB856" s="23"/>
      <c r="AD856" s="2"/>
      <c r="AG856" s="23"/>
      <c r="AI856" s="26"/>
      <c r="AJ856" s="23"/>
      <c r="AM856" s="23"/>
      <c r="AO856" s="32"/>
      <c r="AP856" s="26"/>
      <c r="AR856" s="26"/>
      <c r="AS856" s="27"/>
      <c r="AT856" s="27"/>
      <c r="AU856" s="31"/>
      <c r="AV856" s="24"/>
      <c r="AW856"/>
      <c r="AX856"/>
      <c r="AY856"/>
      <c r="AZ856"/>
      <c r="BA856"/>
      <c r="BB856"/>
      <c r="BC856"/>
      <c r="BD856"/>
      <c r="BE856"/>
      <c r="BF856"/>
      <c r="BG856"/>
    </row>
    <row r="857" spans="2:59" x14ac:dyDescent="0.25">
      <c r="B857" s="22"/>
      <c r="C857" s="23"/>
      <c r="E857" s="23"/>
      <c r="F857" s="24"/>
      <c r="G857" s="2"/>
      <c r="H857" s="10" t="e">
        <f>_xlfn.XLOOKUP(F857,Viloyatlar24[RegionName],Viloyatlar24[RegionId])</f>
        <v>#N/A</v>
      </c>
      <c r="I857" s="10" t="e">
        <f>_xlfn.XLOOKUP('Кўчмас мулк объектлари'!G857,Tumanlar23[DistrictName],Tumanlar23[DistrictId])</f>
        <v>#N/A</v>
      </c>
      <c r="K857" s="24"/>
      <c r="L857" s="10" t="e">
        <f>_xlfn.XLOOKUP(K857,Ташкилотлар39[Ташкилотлар],Ташкилотлар39[TashklilotID])</f>
        <v>#N/A</v>
      </c>
      <c r="M857" s="26"/>
      <c r="N857" s="26"/>
      <c r="O857" s="24"/>
      <c r="P857" s="2"/>
      <c r="Q857" s="26"/>
      <c r="R857" s="26"/>
      <c r="S857" s="26"/>
      <c r="T857" s="26"/>
      <c r="U857" s="24"/>
      <c r="V857" s="10" t="e">
        <f>_xlfn.XLOOKUP(U857,Таклифлар37[Таклифлар],Таклифлар37[TaklifID])</f>
        <v>#N/A</v>
      </c>
      <c r="W857" s="24"/>
      <c r="X857" s="23"/>
      <c r="Y857" s="7"/>
      <c r="Z857" s="26"/>
      <c r="AB857" s="23"/>
      <c r="AD857" s="2"/>
      <c r="AG857" s="23"/>
      <c r="AI857" s="26"/>
      <c r="AJ857" s="23"/>
      <c r="AM857" s="23"/>
      <c r="AO857" s="32"/>
      <c r="AP857" s="26"/>
      <c r="AR857" s="26"/>
      <c r="AS857" s="27"/>
      <c r="AT857" s="27"/>
      <c r="AU857" s="31"/>
      <c r="AV857" s="24"/>
      <c r="AW857"/>
      <c r="AX857"/>
      <c r="AY857"/>
      <c r="AZ857"/>
      <c r="BA857"/>
      <c r="BB857"/>
      <c r="BC857"/>
      <c r="BD857"/>
      <c r="BE857"/>
      <c r="BF857"/>
      <c r="BG857"/>
    </row>
    <row r="858" spans="2:59" x14ac:dyDescent="0.25">
      <c r="B858" s="22"/>
      <c r="C858" s="23"/>
      <c r="E858" s="23"/>
      <c r="F858" s="24"/>
      <c r="G858" s="2"/>
      <c r="H858" s="10" t="e">
        <f>_xlfn.XLOOKUP(F858,Viloyatlar24[RegionName],Viloyatlar24[RegionId])</f>
        <v>#N/A</v>
      </c>
      <c r="I858" s="10" t="e">
        <f>_xlfn.XLOOKUP('Кўчмас мулк объектлари'!G858,Tumanlar23[DistrictName],Tumanlar23[DistrictId])</f>
        <v>#N/A</v>
      </c>
      <c r="K858" s="24"/>
      <c r="L858" s="10" t="e">
        <f>_xlfn.XLOOKUP(K858,Ташкилотлар39[Ташкилотлар],Ташкилотлар39[TashklilotID])</f>
        <v>#N/A</v>
      </c>
      <c r="M858" s="26"/>
      <c r="N858" s="26"/>
      <c r="O858" s="24"/>
      <c r="P858" s="2"/>
      <c r="Q858" s="26"/>
      <c r="R858" s="26"/>
      <c r="S858" s="26"/>
      <c r="T858" s="26"/>
      <c r="U858" s="24"/>
      <c r="V858" s="10" t="e">
        <f>_xlfn.XLOOKUP(U858,Таклифлар37[Таклифлар],Таклифлар37[TaklifID])</f>
        <v>#N/A</v>
      </c>
      <c r="W858" s="24"/>
      <c r="X858" s="23"/>
      <c r="Y858" s="7"/>
      <c r="Z858" s="26"/>
      <c r="AB858" s="23"/>
      <c r="AD858" s="2"/>
      <c r="AG858" s="23"/>
      <c r="AI858" s="26"/>
      <c r="AJ858" s="23"/>
      <c r="AM858" s="23"/>
      <c r="AO858" s="32"/>
      <c r="AP858" s="26"/>
      <c r="AR858" s="26"/>
      <c r="AS858" s="27"/>
      <c r="AT858" s="27"/>
      <c r="AU858" s="31"/>
      <c r="AV858" s="24"/>
      <c r="AW858"/>
      <c r="AX858"/>
      <c r="AY858"/>
      <c r="AZ858"/>
      <c r="BA858"/>
      <c r="BB858"/>
      <c r="BC858"/>
      <c r="BD858"/>
      <c r="BE858"/>
      <c r="BF858"/>
      <c r="BG858"/>
    </row>
    <row r="859" spans="2:59" x14ac:dyDescent="0.25">
      <c r="B859" s="22"/>
      <c r="C859" s="23"/>
      <c r="E859" s="23"/>
      <c r="F859" s="24"/>
      <c r="G859" s="2"/>
      <c r="H859" s="10" t="e">
        <f>_xlfn.XLOOKUP(F859,Viloyatlar24[RegionName],Viloyatlar24[RegionId])</f>
        <v>#N/A</v>
      </c>
      <c r="I859" s="10" t="e">
        <f>_xlfn.XLOOKUP('Кўчмас мулк объектлари'!G859,Tumanlar23[DistrictName],Tumanlar23[DistrictId])</f>
        <v>#N/A</v>
      </c>
      <c r="K859" s="24"/>
      <c r="L859" s="10" t="e">
        <f>_xlfn.XLOOKUP(K859,Ташкилотлар39[Ташкилотлар],Ташкилотлар39[TashklilotID])</f>
        <v>#N/A</v>
      </c>
      <c r="M859" s="26"/>
      <c r="N859" s="26"/>
      <c r="O859" s="24"/>
      <c r="P859" s="2"/>
      <c r="Q859" s="26"/>
      <c r="R859" s="26"/>
      <c r="S859" s="26"/>
      <c r="T859" s="26"/>
      <c r="U859" s="24"/>
      <c r="V859" s="10" t="e">
        <f>_xlfn.XLOOKUP(U859,Таклифлар37[Таклифлар],Таклифлар37[TaklifID])</f>
        <v>#N/A</v>
      </c>
      <c r="W859" s="24"/>
      <c r="X859" s="23"/>
      <c r="Y859" s="7"/>
      <c r="Z859" s="26"/>
      <c r="AB859" s="23"/>
      <c r="AD859" s="2"/>
      <c r="AG859" s="23"/>
      <c r="AI859" s="26"/>
      <c r="AJ859" s="23"/>
      <c r="AM859" s="23"/>
      <c r="AO859" s="32"/>
      <c r="AP859" s="26"/>
      <c r="AR859" s="26"/>
      <c r="AS859" s="27"/>
      <c r="AT859" s="27"/>
      <c r="AU859" s="31"/>
      <c r="AV859" s="24"/>
      <c r="AW859"/>
      <c r="AX859"/>
      <c r="AY859"/>
      <c r="AZ859"/>
      <c r="BA859"/>
      <c r="BB859"/>
      <c r="BC859"/>
      <c r="BD859"/>
      <c r="BE859"/>
      <c r="BF859"/>
      <c r="BG859"/>
    </row>
    <row r="860" spans="2:59" x14ac:dyDescent="0.25">
      <c r="B860" s="22"/>
      <c r="C860" s="23"/>
      <c r="E860" s="23"/>
      <c r="F860" s="24"/>
      <c r="G860" s="2"/>
      <c r="H860" s="10" t="e">
        <f>_xlfn.XLOOKUP(F860,Viloyatlar24[RegionName],Viloyatlar24[RegionId])</f>
        <v>#N/A</v>
      </c>
      <c r="I860" s="10" t="e">
        <f>_xlfn.XLOOKUP('Кўчмас мулк объектлари'!G860,Tumanlar23[DistrictName],Tumanlar23[DistrictId])</f>
        <v>#N/A</v>
      </c>
      <c r="K860" s="24"/>
      <c r="L860" s="10" t="e">
        <f>_xlfn.XLOOKUP(K860,Ташкилотлар39[Ташкилотлар],Ташкилотлар39[TashklilotID])</f>
        <v>#N/A</v>
      </c>
      <c r="M860" s="26"/>
      <c r="N860" s="26"/>
      <c r="O860" s="24"/>
      <c r="P860" s="2"/>
      <c r="Q860" s="26"/>
      <c r="R860" s="26"/>
      <c r="S860" s="26"/>
      <c r="T860" s="26"/>
      <c r="U860" s="24"/>
      <c r="V860" s="10" t="e">
        <f>_xlfn.XLOOKUP(U860,Таклифлар37[Таклифлар],Таклифлар37[TaklifID])</f>
        <v>#N/A</v>
      </c>
      <c r="W860" s="24"/>
      <c r="X860" s="23"/>
      <c r="Y860" s="7"/>
      <c r="Z860" s="26"/>
      <c r="AB860" s="23"/>
      <c r="AD860" s="2"/>
      <c r="AG860" s="23"/>
      <c r="AI860" s="26"/>
      <c r="AJ860" s="23"/>
      <c r="AM860" s="23"/>
      <c r="AO860" s="32"/>
      <c r="AP860" s="26"/>
      <c r="AR860" s="26"/>
      <c r="AS860" s="27"/>
      <c r="AT860" s="27"/>
      <c r="AU860" s="31"/>
      <c r="AV860" s="24"/>
      <c r="AW860"/>
      <c r="AX860"/>
      <c r="AY860"/>
      <c r="AZ860"/>
      <c r="BA860"/>
      <c r="BB860"/>
      <c r="BC860"/>
      <c r="BD860"/>
      <c r="BE860"/>
      <c r="BF860"/>
      <c r="BG860"/>
    </row>
    <row r="861" spans="2:59" x14ac:dyDescent="0.25">
      <c r="B861" s="22"/>
      <c r="C861" s="23"/>
      <c r="E861" s="23"/>
      <c r="F861" s="24"/>
      <c r="G861" s="2"/>
      <c r="H861" s="10" t="e">
        <f>_xlfn.XLOOKUP(F861,Viloyatlar24[RegionName],Viloyatlar24[RegionId])</f>
        <v>#N/A</v>
      </c>
      <c r="I861" s="10" t="e">
        <f>_xlfn.XLOOKUP('Кўчмас мулк объектлари'!G861,Tumanlar23[DistrictName],Tumanlar23[DistrictId])</f>
        <v>#N/A</v>
      </c>
      <c r="K861" s="24"/>
      <c r="L861" s="10" t="e">
        <f>_xlfn.XLOOKUP(K861,Ташкилотлар39[Ташкилотлар],Ташкилотлар39[TashklilotID])</f>
        <v>#N/A</v>
      </c>
      <c r="M861" s="26"/>
      <c r="N861" s="26"/>
      <c r="O861" s="24"/>
      <c r="P861" s="2"/>
      <c r="Q861" s="26"/>
      <c r="R861" s="26"/>
      <c r="S861" s="26"/>
      <c r="T861" s="26"/>
      <c r="U861" s="24"/>
      <c r="V861" s="10" t="e">
        <f>_xlfn.XLOOKUP(U861,Таклифлар37[Таклифлар],Таклифлар37[TaklifID])</f>
        <v>#N/A</v>
      </c>
      <c r="W861" s="24"/>
      <c r="X861" s="23"/>
      <c r="Y861" s="7"/>
      <c r="Z861" s="26"/>
      <c r="AB861" s="23"/>
      <c r="AD861" s="2"/>
      <c r="AG861" s="23"/>
      <c r="AI861" s="26"/>
      <c r="AJ861" s="23"/>
      <c r="AM861" s="23"/>
      <c r="AO861" s="32"/>
      <c r="AP861" s="26"/>
      <c r="AR861" s="26"/>
      <c r="AS861" s="27"/>
      <c r="AT861" s="27"/>
      <c r="AU861" s="31"/>
      <c r="AV861" s="24"/>
      <c r="AW861"/>
      <c r="AX861"/>
      <c r="AY861"/>
      <c r="AZ861"/>
      <c r="BA861"/>
      <c r="BB861"/>
      <c r="BC861"/>
      <c r="BD861"/>
      <c r="BE861"/>
      <c r="BF861"/>
      <c r="BG861"/>
    </row>
    <row r="862" spans="2:59" x14ac:dyDescent="0.25">
      <c r="B862" s="22"/>
      <c r="C862" s="23"/>
      <c r="E862" s="23"/>
      <c r="F862" s="24"/>
      <c r="G862" s="2"/>
      <c r="H862" s="10" t="e">
        <f>_xlfn.XLOOKUP(F862,Viloyatlar24[RegionName],Viloyatlar24[RegionId])</f>
        <v>#N/A</v>
      </c>
      <c r="I862" s="10" t="e">
        <f>_xlfn.XLOOKUP('Кўчмас мулк объектлари'!G862,Tumanlar23[DistrictName],Tumanlar23[DistrictId])</f>
        <v>#N/A</v>
      </c>
      <c r="K862" s="24"/>
      <c r="L862" s="10" t="e">
        <f>_xlfn.XLOOKUP(K862,Ташкилотлар39[Ташкилотлар],Ташкилотлар39[TashklilotID])</f>
        <v>#N/A</v>
      </c>
      <c r="M862" s="26"/>
      <c r="N862" s="26"/>
      <c r="O862" s="24"/>
      <c r="P862" s="2"/>
      <c r="Q862" s="26"/>
      <c r="R862" s="26"/>
      <c r="S862" s="26"/>
      <c r="T862" s="26"/>
      <c r="U862" s="24"/>
      <c r="V862" s="10" t="e">
        <f>_xlfn.XLOOKUP(U862,Таклифлар37[Таклифлар],Таклифлар37[TaklifID])</f>
        <v>#N/A</v>
      </c>
      <c r="W862" s="24"/>
      <c r="X862" s="23"/>
      <c r="Y862" s="7"/>
      <c r="Z862" s="26"/>
      <c r="AB862" s="23"/>
      <c r="AD862" s="2"/>
      <c r="AG862" s="23"/>
      <c r="AI862" s="26"/>
      <c r="AJ862" s="23"/>
      <c r="AM862" s="23"/>
      <c r="AO862" s="32"/>
      <c r="AP862" s="26"/>
      <c r="AR862" s="26"/>
      <c r="AS862" s="27"/>
      <c r="AT862" s="27"/>
      <c r="AU862" s="31"/>
      <c r="AV862" s="24"/>
      <c r="AW862"/>
      <c r="AX862"/>
      <c r="AY862"/>
      <c r="AZ862"/>
      <c r="BA862"/>
      <c r="BB862"/>
      <c r="BC862"/>
      <c r="BD862"/>
      <c r="BE862"/>
      <c r="BF862"/>
      <c r="BG862"/>
    </row>
    <row r="863" spans="2:59" x14ac:dyDescent="0.25">
      <c r="B863" s="22"/>
      <c r="C863" s="23"/>
      <c r="E863" s="23"/>
      <c r="F863" s="24"/>
      <c r="G863" s="2"/>
      <c r="H863" s="10" t="e">
        <f>_xlfn.XLOOKUP(F863,Viloyatlar24[RegionName],Viloyatlar24[RegionId])</f>
        <v>#N/A</v>
      </c>
      <c r="I863" s="10" t="e">
        <f>_xlfn.XLOOKUP('Кўчмас мулк объектлари'!G863,Tumanlar23[DistrictName],Tumanlar23[DistrictId])</f>
        <v>#N/A</v>
      </c>
      <c r="K863" s="24"/>
      <c r="L863" s="10" t="e">
        <f>_xlfn.XLOOKUP(K863,Ташкилотлар39[Ташкилотлар],Ташкилотлар39[TashklilotID])</f>
        <v>#N/A</v>
      </c>
      <c r="M863" s="26"/>
      <c r="N863" s="26"/>
      <c r="O863" s="24"/>
      <c r="P863" s="2"/>
      <c r="Q863" s="26"/>
      <c r="R863" s="26"/>
      <c r="S863" s="26"/>
      <c r="T863" s="26"/>
      <c r="U863" s="24"/>
      <c r="V863" s="10" t="e">
        <f>_xlfn.XLOOKUP(U863,Таклифлар37[Таклифлар],Таклифлар37[TaklifID])</f>
        <v>#N/A</v>
      </c>
      <c r="W863" s="24"/>
      <c r="X863" s="23"/>
      <c r="Y863" s="7"/>
      <c r="Z863" s="26"/>
      <c r="AB863" s="23"/>
      <c r="AD863" s="2"/>
      <c r="AG863" s="23"/>
      <c r="AI863" s="26"/>
      <c r="AJ863" s="23"/>
      <c r="AM863" s="23"/>
      <c r="AO863" s="32"/>
      <c r="AP863" s="26"/>
      <c r="AR863" s="26"/>
      <c r="AS863" s="27"/>
      <c r="AT863" s="27"/>
      <c r="AU863" s="31"/>
      <c r="AV863" s="24"/>
      <c r="AW863"/>
      <c r="AX863"/>
      <c r="AY863"/>
      <c r="AZ863"/>
      <c r="BA863"/>
      <c r="BB863"/>
      <c r="BC863"/>
      <c r="BD863"/>
      <c r="BE863"/>
      <c r="BF863"/>
      <c r="BG863"/>
    </row>
    <row r="864" spans="2:59" x14ac:dyDescent="0.25">
      <c r="B864" s="22"/>
      <c r="C864" s="23"/>
      <c r="E864" s="23"/>
      <c r="F864" s="24"/>
      <c r="G864" s="2"/>
      <c r="H864" s="10" t="e">
        <f>_xlfn.XLOOKUP(F864,Viloyatlar24[RegionName],Viloyatlar24[RegionId])</f>
        <v>#N/A</v>
      </c>
      <c r="I864" s="10" t="e">
        <f>_xlfn.XLOOKUP('Кўчмас мулк объектлари'!G864,Tumanlar23[DistrictName],Tumanlar23[DistrictId])</f>
        <v>#N/A</v>
      </c>
      <c r="K864" s="24"/>
      <c r="L864" s="10" t="e">
        <f>_xlfn.XLOOKUP(K864,Ташкилотлар39[Ташкилотлар],Ташкилотлар39[TashklilotID])</f>
        <v>#N/A</v>
      </c>
      <c r="M864" s="26"/>
      <c r="N864" s="26"/>
      <c r="O864" s="24"/>
      <c r="P864" s="2"/>
      <c r="Q864" s="26"/>
      <c r="R864" s="26"/>
      <c r="S864" s="26"/>
      <c r="T864" s="26"/>
      <c r="U864" s="24"/>
      <c r="V864" s="10" t="e">
        <f>_xlfn.XLOOKUP(U864,Таклифлар37[Таклифлар],Таклифлар37[TaklifID])</f>
        <v>#N/A</v>
      </c>
      <c r="W864" s="24"/>
      <c r="X864" s="23"/>
      <c r="Y864" s="7"/>
      <c r="Z864" s="26"/>
      <c r="AB864" s="23"/>
      <c r="AD864" s="2"/>
      <c r="AG864" s="23"/>
      <c r="AI864" s="26"/>
      <c r="AJ864" s="23"/>
      <c r="AM864" s="23"/>
      <c r="AO864" s="32"/>
      <c r="AP864" s="26"/>
      <c r="AR864" s="26"/>
      <c r="AS864" s="27"/>
      <c r="AT864" s="27"/>
      <c r="AU864" s="31"/>
      <c r="AV864" s="24"/>
      <c r="AW864"/>
      <c r="AX864"/>
      <c r="AY864"/>
      <c r="AZ864"/>
      <c r="BA864"/>
      <c r="BB864"/>
      <c r="BC864"/>
      <c r="BD864"/>
      <c r="BE864"/>
      <c r="BF864"/>
      <c r="BG864"/>
    </row>
    <row r="865" spans="2:59" x14ac:dyDescent="0.25">
      <c r="B865" s="22"/>
      <c r="C865" s="23"/>
      <c r="E865" s="23"/>
      <c r="F865" s="24"/>
      <c r="G865" s="2"/>
      <c r="H865" s="10" t="e">
        <f>_xlfn.XLOOKUP(F865,Viloyatlar24[RegionName],Viloyatlar24[RegionId])</f>
        <v>#N/A</v>
      </c>
      <c r="I865" s="10" t="e">
        <f>_xlfn.XLOOKUP('Кўчмас мулк объектлари'!G865,Tumanlar23[DistrictName],Tumanlar23[DistrictId])</f>
        <v>#N/A</v>
      </c>
      <c r="K865" s="24"/>
      <c r="L865" s="10" t="e">
        <f>_xlfn.XLOOKUP(K865,Ташкилотлар39[Ташкилотлар],Ташкилотлар39[TashklilotID])</f>
        <v>#N/A</v>
      </c>
      <c r="M865" s="26"/>
      <c r="N865" s="26"/>
      <c r="O865" s="24"/>
      <c r="P865" s="2"/>
      <c r="Q865" s="26"/>
      <c r="R865" s="26"/>
      <c r="S865" s="26"/>
      <c r="T865" s="26"/>
      <c r="U865" s="24"/>
      <c r="V865" s="10" t="e">
        <f>_xlfn.XLOOKUP(U865,Таклифлар37[Таклифлар],Таклифлар37[TaklifID])</f>
        <v>#N/A</v>
      </c>
      <c r="W865" s="24"/>
      <c r="X865" s="23"/>
      <c r="Y865" s="7"/>
      <c r="Z865" s="26"/>
      <c r="AB865" s="23"/>
      <c r="AD865" s="2"/>
      <c r="AG865" s="23"/>
      <c r="AI865" s="26"/>
      <c r="AJ865" s="23"/>
      <c r="AM865" s="23"/>
      <c r="AO865" s="32"/>
      <c r="AP865" s="26"/>
      <c r="AR865" s="26"/>
      <c r="AS865" s="27"/>
      <c r="AT865" s="27"/>
      <c r="AU865" s="31"/>
      <c r="AV865" s="24"/>
      <c r="AW865"/>
      <c r="AX865"/>
      <c r="AY865"/>
      <c r="AZ865"/>
      <c r="BA865"/>
      <c r="BB865"/>
      <c r="BC865"/>
      <c r="BD865"/>
      <c r="BE865"/>
      <c r="BF865"/>
      <c r="BG865"/>
    </row>
    <row r="866" spans="2:59" x14ac:dyDescent="0.25">
      <c r="B866" s="22"/>
      <c r="C866" s="23"/>
      <c r="E866" s="23"/>
      <c r="F866" s="24"/>
      <c r="G866" s="2"/>
      <c r="H866" s="10" t="e">
        <f>_xlfn.XLOOKUP(F866,Viloyatlar24[RegionName],Viloyatlar24[RegionId])</f>
        <v>#N/A</v>
      </c>
      <c r="I866" s="10" t="e">
        <f>_xlfn.XLOOKUP('Кўчмас мулк объектлари'!G866,Tumanlar23[DistrictName],Tumanlar23[DistrictId])</f>
        <v>#N/A</v>
      </c>
      <c r="K866" s="24"/>
      <c r="L866" s="10" t="e">
        <f>_xlfn.XLOOKUP(K866,Ташкилотлар39[Ташкилотлар],Ташкилотлар39[TashklilotID])</f>
        <v>#N/A</v>
      </c>
      <c r="M866" s="26"/>
      <c r="N866" s="26"/>
      <c r="O866" s="24"/>
      <c r="P866" s="2"/>
      <c r="Q866" s="26"/>
      <c r="R866" s="26"/>
      <c r="S866" s="26"/>
      <c r="T866" s="26"/>
      <c r="U866" s="24"/>
      <c r="V866" s="10" t="e">
        <f>_xlfn.XLOOKUP(U866,Таклифлар37[Таклифлар],Таклифлар37[TaklifID])</f>
        <v>#N/A</v>
      </c>
      <c r="W866" s="24"/>
      <c r="X866" s="23"/>
      <c r="Y866" s="7"/>
      <c r="Z866" s="26"/>
      <c r="AB866" s="23"/>
      <c r="AD866" s="2"/>
      <c r="AG866" s="23"/>
      <c r="AI866" s="26"/>
      <c r="AJ866" s="23"/>
      <c r="AM866" s="23"/>
      <c r="AO866" s="32"/>
      <c r="AP866" s="26"/>
      <c r="AR866" s="26"/>
      <c r="AS866" s="27"/>
      <c r="AT866" s="27"/>
      <c r="AU866" s="31"/>
      <c r="AV866" s="24"/>
      <c r="AW866"/>
      <c r="AX866"/>
      <c r="AY866"/>
      <c r="AZ866"/>
      <c r="BA866"/>
      <c r="BB866"/>
      <c r="BC866"/>
      <c r="BD866"/>
      <c r="BE866"/>
      <c r="BF866"/>
      <c r="BG866"/>
    </row>
    <row r="867" spans="2:59" x14ac:dyDescent="0.25">
      <c r="B867" s="22"/>
      <c r="C867" s="23"/>
      <c r="E867" s="23"/>
      <c r="F867" s="24"/>
      <c r="G867" s="2"/>
      <c r="H867" s="10" t="e">
        <f>_xlfn.XLOOKUP(F867,Viloyatlar24[RegionName],Viloyatlar24[RegionId])</f>
        <v>#N/A</v>
      </c>
      <c r="I867" s="10" t="e">
        <f>_xlfn.XLOOKUP('Кўчмас мулк объектлари'!G867,Tumanlar23[DistrictName],Tumanlar23[DistrictId])</f>
        <v>#N/A</v>
      </c>
      <c r="K867" s="24"/>
      <c r="L867" s="10" t="e">
        <f>_xlfn.XLOOKUP(K867,Ташкилотлар39[Ташкилотлар],Ташкилотлар39[TashklilotID])</f>
        <v>#N/A</v>
      </c>
      <c r="M867" s="26"/>
      <c r="N867" s="26"/>
      <c r="O867" s="24"/>
      <c r="P867" s="2"/>
      <c r="Q867" s="26"/>
      <c r="R867" s="26"/>
      <c r="S867" s="26"/>
      <c r="T867" s="26"/>
      <c r="U867" s="24"/>
      <c r="V867" s="10" t="e">
        <f>_xlfn.XLOOKUP(U867,Таклифлар37[Таклифлар],Таклифлар37[TaklifID])</f>
        <v>#N/A</v>
      </c>
      <c r="W867" s="24"/>
      <c r="X867" s="23"/>
      <c r="Y867" s="7"/>
      <c r="Z867" s="26"/>
      <c r="AB867" s="23"/>
      <c r="AD867" s="2"/>
      <c r="AG867" s="23"/>
      <c r="AI867" s="26"/>
      <c r="AJ867" s="23"/>
      <c r="AM867" s="23"/>
      <c r="AO867" s="32"/>
      <c r="AP867" s="26"/>
      <c r="AR867" s="26"/>
      <c r="AS867" s="27"/>
      <c r="AT867" s="27"/>
      <c r="AU867" s="31"/>
      <c r="AV867" s="24"/>
      <c r="AW867"/>
      <c r="AX867"/>
      <c r="AY867"/>
      <c r="AZ867"/>
      <c r="BA867"/>
      <c r="BB867"/>
      <c r="BC867"/>
      <c r="BD867"/>
      <c r="BE867"/>
      <c r="BF867"/>
      <c r="BG867"/>
    </row>
    <row r="868" spans="2:59" x14ac:dyDescent="0.25">
      <c r="B868" s="22"/>
      <c r="C868" s="23"/>
      <c r="E868" s="23"/>
      <c r="F868" s="24"/>
      <c r="G868" s="2"/>
      <c r="H868" s="10" t="e">
        <f>_xlfn.XLOOKUP(F868,Viloyatlar24[RegionName],Viloyatlar24[RegionId])</f>
        <v>#N/A</v>
      </c>
      <c r="I868" s="10" t="e">
        <f>_xlfn.XLOOKUP('Кўчмас мулк объектлари'!G868,Tumanlar23[DistrictName],Tumanlar23[DistrictId])</f>
        <v>#N/A</v>
      </c>
      <c r="K868" s="24"/>
      <c r="L868" s="10" t="e">
        <f>_xlfn.XLOOKUP(K868,Ташкилотлар39[Ташкилотлар],Ташкилотлар39[TashklilotID])</f>
        <v>#N/A</v>
      </c>
      <c r="M868" s="26"/>
      <c r="N868" s="26"/>
      <c r="O868" s="24"/>
      <c r="P868" s="2"/>
      <c r="Q868" s="26"/>
      <c r="R868" s="26"/>
      <c r="S868" s="26"/>
      <c r="T868" s="26"/>
      <c r="U868" s="24"/>
      <c r="V868" s="10" t="e">
        <f>_xlfn.XLOOKUP(U868,Таклифлар37[Таклифлар],Таклифлар37[TaklifID])</f>
        <v>#N/A</v>
      </c>
      <c r="W868" s="24"/>
      <c r="X868" s="23"/>
      <c r="Y868" s="7"/>
      <c r="Z868" s="26"/>
      <c r="AB868" s="23"/>
      <c r="AD868" s="2"/>
      <c r="AG868" s="23"/>
      <c r="AI868" s="26"/>
      <c r="AJ868" s="23"/>
      <c r="AM868" s="23"/>
      <c r="AO868" s="32"/>
      <c r="AP868" s="26"/>
      <c r="AR868" s="26"/>
      <c r="AS868" s="27"/>
      <c r="AT868" s="27"/>
      <c r="AU868" s="31"/>
      <c r="AV868" s="24"/>
      <c r="AW868"/>
      <c r="AX868"/>
      <c r="AY868"/>
      <c r="AZ868"/>
      <c r="BA868"/>
      <c r="BB868"/>
      <c r="BC868"/>
      <c r="BD868"/>
      <c r="BE868"/>
      <c r="BF868"/>
      <c r="BG868"/>
    </row>
    <row r="869" spans="2:59" x14ac:dyDescent="0.25">
      <c r="B869" s="22"/>
      <c r="C869" s="23"/>
      <c r="E869" s="23"/>
      <c r="F869" s="24"/>
      <c r="G869" s="2"/>
      <c r="H869" s="10" t="e">
        <f>_xlfn.XLOOKUP(F869,Viloyatlar24[RegionName],Viloyatlar24[RegionId])</f>
        <v>#N/A</v>
      </c>
      <c r="I869" s="10" t="e">
        <f>_xlfn.XLOOKUP('Кўчмас мулк объектлари'!G869,Tumanlar23[DistrictName],Tumanlar23[DistrictId])</f>
        <v>#N/A</v>
      </c>
      <c r="K869" s="24"/>
      <c r="L869" s="10" t="e">
        <f>_xlfn.XLOOKUP(K869,Ташкилотлар39[Ташкилотлар],Ташкилотлар39[TashklilotID])</f>
        <v>#N/A</v>
      </c>
      <c r="M869" s="26"/>
      <c r="N869" s="26"/>
      <c r="O869" s="24"/>
      <c r="P869" s="2"/>
      <c r="Q869" s="26"/>
      <c r="R869" s="26"/>
      <c r="S869" s="26"/>
      <c r="T869" s="26"/>
      <c r="U869" s="24"/>
      <c r="V869" s="10" t="e">
        <f>_xlfn.XLOOKUP(U869,Таклифлар37[Таклифлар],Таклифлар37[TaklifID])</f>
        <v>#N/A</v>
      </c>
      <c r="W869" s="24"/>
      <c r="X869" s="23"/>
      <c r="Y869" s="7"/>
      <c r="Z869" s="26"/>
      <c r="AB869" s="23"/>
      <c r="AD869" s="2"/>
      <c r="AG869" s="23"/>
      <c r="AI869" s="26"/>
      <c r="AJ869" s="23"/>
      <c r="AM869" s="23"/>
      <c r="AO869" s="32"/>
      <c r="AP869" s="26"/>
      <c r="AR869" s="26"/>
      <c r="AS869" s="27"/>
      <c r="AT869" s="27"/>
      <c r="AU869" s="31"/>
      <c r="AV869" s="24"/>
      <c r="AW869"/>
      <c r="AX869"/>
      <c r="AY869"/>
      <c r="AZ869"/>
      <c r="BA869"/>
      <c r="BB869"/>
      <c r="BC869"/>
      <c r="BD869"/>
      <c r="BE869"/>
      <c r="BF869"/>
      <c r="BG869"/>
    </row>
    <row r="870" spans="2:59" x14ac:dyDescent="0.25">
      <c r="B870" s="22"/>
      <c r="C870" s="23"/>
      <c r="E870" s="23"/>
      <c r="F870" s="24"/>
      <c r="G870" s="2"/>
      <c r="H870" s="10" t="e">
        <f>_xlfn.XLOOKUP(F870,Viloyatlar24[RegionName],Viloyatlar24[RegionId])</f>
        <v>#N/A</v>
      </c>
      <c r="I870" s="10" t="e">
        <f>_xlfn.XLOOKUP('Кўчмас мулк объектлари'!G870,Tumanlar23[DistrictName],Tumanlar23[DistrictId])</f>
        <v>#N/A</v>
      </c>
      <c r="K870" s="24"/>
      <c r="L870" s="10" t="e">
        <f>_xlfn.XLOOKUP(K870,Ташкилотлар39[Ташкилотлар],Ташкилотлар39[TashklilotID])</f>
        <v>#N/A</v>
      </c>
      <c r="M870" s="26"/>
      <c r="N870" s="26"/>
      <c r="O870" s="24"/>
      <c r="P870" s="2"/>
      <c r="Q870" s="26"/>
      <c r="R870" s="26"/>
      <c r="S870" s="26"/>
      <c r="T870" s="26"/>
      <c r="U870" s="24"/>
      <c r="V870" s="10" t="e">
        <f>_xlfn.XLOOKUP(U870,Таклифлар37[Таклифлар],Таклифлар37[TaklifID])</f>
        <v>#N/A</v>
      </c>
      <c r="W870" s="24"/>
      <c r="X870" s="23"/>
      <c r="Y870" s="7"/>
      <c r="Z870" s="26"/>
      <c r="AB870" s="23"/>
      <c r="AD870" s="2"/>
      <c r="AG870" s="23"/>
      <c r="AI870" s="26"/>
      <c r="AJ870" s="23"/>
      <c r="AM870" s="23"/>
      <c r="AO870" s="32"/>
      <c r="AP870" s="26"/>
      <c r="AR870" s="26"/>
      <c r="AS870" s="27"/>
      <c r="AT870" s="27"/>
      <c r="AU870" s="31"/>
      <c r="AV870" s="24"/>
      <c r="AW870"/>
      <c r="AX870"/>
      <c r="AY870"/>
      <c r="AZ870"/>
      <c r="BA870"/>
      <c r="BB870"/>
      <c r="BC870"/>
      <c r="BD870"/>
      <c r="BE870"/>
      <c r="BF870"/>
      <c r="BG870"/>
    </row>
    <row r="871" spans="2:59" x14ac:dyDescent="0.25">
      <c r="B871" s="22"/>
      <c r="C871" s="23"/>
      <c r="E871" s="23"/>
      <c r="F871" s="24"/>
      <c r="G871" s="2"/>
      <c r="H871" s="10" t="e">
        <f>_xlfn.XLOOKUP(F871,Viloyatlar24[RegionName],Viloyatlar24[RegionId])</f>
        <v>#N/A</v>
      </c>
      <c r="I871" s="10" t="e">
        <f>_xlfn.XLOOKUP('Кўчмас мулк объектлари'!G871,Tumanlar23[DistrictName],Tumanlar23[DistrictId])</f>
        <v>#N/A</v>
      </c>
      <c r="K871" s="24"/>
      <c r="L871" s="10" t="e">
        <f>_xlfn.XLOOKUP(K871,Ташкилотлар39[Ташкилотлар],Ташкилотлар39[TashklilotID])</f>
        <v>#N/A</v>
      </c>
      <c r="M871" s="26"/>
      <c r="N871" s="26"/>
      <c r="O871" s="24"/>
      <c r="P871" s="2"/>
      <c r="Q871" s="26"/>
      <c r="R871" s="26"/>
      <c r="S871" s="26"/>
      <c r="T871" s="26"/>
      <c r="U871" s="24"/>
      <c r="V871" s="10" t="e">
        <f>_xlfn.XLOOKUP(U871,Таклифлар37[Таклифлар],Таклифлар37[TaklifID])</f>
        <v>#N/A</v>
      </c>
      <c r="W871" s="24"/>
      <c r="X871" s="23"/>
      <c r="Y871" s="7"/>
      <c r="Z871" s="26"/>
      <c r="AB871" s="23"/>
      <c r="AD871" s="2"/>
      <c r="AG871" s="23"/>
      <c r="AI871" s="26"/>
      <c r="AJ871" s="23"/>
      <c r="AM871" s="23"/>
      <c r="AO871" s="32"/>
      <c r="AP871" s="26"/>
      <c r="AR871" s="26"/>
      <c r="AS871" s="27"/>
      <c r="AT871" s="27"/>
      <c r="AU871" s="31"/>
      <c r="AV871" s="24"/>
      <c r="AW871"/>
      <c r="AX871"/>
      <c r="AY871"/>
      <c r="AZ871"/>
      <c r="BA871"/>
      <c r="BB871"/>
      <c r="BC871"/>
      <c r="BD871"/>
      <c r="BE871"/>
      <c r="BF871"/>
      <c r="BG871"/>
    </row>
    <row r="872" spans="2:59" x14ac:dyDescent="0.25">
      <c r="B872" s="22"/>
      <c r="C872" s="23"/>
      <c r="E872" s="23"/>
      <c r="F872" s="24"/>
      <c r="G872" s="2"/>
      <c r="H872" s="10" t="e">
        <f>_xlfn.XLOOKUP(F872,Viloyatlar24[RegionName],Viloyatlar24[RegionId])</f>
        <v>#N/A</v>
      </c>
      <c r="I872" s="10" t="e">
        <f>_xlfn.XLOOKUP('Кўчмас мулк объектлари'!G872,Tumanlar23[DistrictName],Tumanlar23[DistrictId])</f>
        <v>#N/A</v>
      </c>
      <c r="K872" s="24"/>
      <c r="L872" s="10" t="e">
        <f>_xlfn.XLOOKUP(K872,Ташкилотлар39[Ташкилотлар],Ташкилотлар39[TashklilotID])</f>
        <v>#N/A</v>
      </c>
      <c r="M872" s="26"/>
      <c r="N872" s="26"/>
      <c r="O872" s="24"/>
      <c r="P872" s="2"/>
      <c r="Q872" s="26"/>
      <c r="R872" s="26"/>
      <c r="S872" s="26"/>
      <c r="T872" s="26"/>
      <c r="U872" s="24"/>
      <c r="V872" s="10" t="e">
        <f>_xlfn.XLOOKUP(U872,Таклифлар37[Таклифлар],Таклифлар37[TaklifID])</f>
        <v>#N/A</v>
      </c>
      <c r="W872" s="24"/>
      <c r="X872" s="23"/>
      <c r="Y872" s="7"/>
      <c r="Z872" s="26"/>
      <c r="AB872" s="23"/>
      <c r="AD872" s="2"/>
      <c r="AG872" s="23"/>
      <c r="AI872" s="26"/>
      <c r="AJ872" s="23"/>
      <c r="AM872" s="23"/>
      <c r="AO872" s="32"/>
      <c r="AP872" s="26"/>
      <c r="AR872" s="26"/>
      <c r="AS872" s="27"/>
      <c r="AT872" s="27"/>
      <c r="AU872" s="31"/>
      <c r="AV872" s="24"/>
      <c r="AW872"/>
      <c r="AX872"/>
      <c r="AY872"/>
      <c r="AZ872"/>
      <c r="BA872"/>
      <c r="BB872"/>
      <c r="BC872"/>
      <c r="BD872"/>
      <c r="BE872"/>
      <c r="BF872"/>
      <c r="BG872"/>
    </row>
    <row r="873" spans="2:59" x14ac:dyDescent="0.25">
      <c r="B873" s="22"/>
      <c r="C873" s="23"/>
      <c r="E873" s="23"/>
      <c r="F873" s="24"/>
      <c r="G873" s="2"/>
      <c r="H873" s="10" t="e">
        <f>_xlfn.XLOOKUP(F873,Viloyatlar24[RegionName],Viloyatlar24[RegionId])</f>
        <v>#N/A</v>
      </c>
      <c r="I873" s="10" t="e">
        <f>_xlfn.XLOOKUP('Кўчмас мулк объектлари'!G873,Tumanlar23[DistrictName],Tumanlar23[DistrictId])</f>
        <v>#N/A</v>
      </c>
      <c r="K873" s="24"/>
      <c r="L873" s="10" t="e">
        <f>_xlfn.XLOOKUP(K873,Ташкилотлар39[Ташкилотлар],Ташкилотлар39[TashklilotID])</f>
        <v>#N/A</v>
      </c>
      <c r="M873" s="26"/>
      <c r="N873" s="26"/>
      <c r="O873" s="24"/>
      <c r="P873" s="2"/>
      <c r="Q873" s="26"/>
      <c r="R873" s="26"/>
      <c r="S873" s="26"/>
      <c r="T873" s="26"/>
      <c r="U873" s="24"/>
      <c r="V873" s="10" t="e">
        <f>_xlfn.XLOOKUP(U873,Таклифлар37[Таклифлар],Таклифлар37[TaklifID])</f>
        <v>#N/A</v>
      </c>
      <c r="W873" s="24"/>
      <c r="X873" s="23"/>
      <c r="Y873" s="7"/>
      <c r="Z873" s="26"/>
      <c r="AB873" s="23"/>
      <c r="AD873" s="2"/>
      <c r="AG873" s="23"/>
      <c r="AI873" s="26"/>
      <c r="AJ873" s="23"/>
      <c r="AM873" s="23"/>
      <c r="AO873" s="32"/>
      <c r="AP873" s="26"/>
      <c r="AR873" s="26"/>
      <c r="AS873" s="27"/>
      <c r="AT873" s="27"/>
      <c r="AU873" s="31"/>
      <c r="AV873" s="24"/>
      <c r="AW873"/>
      <c r="AX873"/>
      <c r="AY873"/>
      <c r="AZ873"/>
      <c r="BA873"/>
      <c r="BB873"/>
      <c r="BC873"/>
      <c r="BD873"/>
      <c r="BE873"/>
      <c r="BF873"/>
      <c r="BG873"/>
    </row>
    <row r="874" spans="2:59" x14ac:dyDescent="0.25">
      <c r="B874" s="22"/>
      <c r="C874" s="23"/>
      <c r="E874" s="23"/>
      <c r="F874" s="24"/>
      <c r="G874" s="2"/>
      <c r="H874" s="10" t="e">
        <f>_xlfn.XLOOKUP(F874,Viloyatlar24[RegionName],Viloyatlar24[RegionId])</f>
        <v>#N/A</v>
      </c>
      <c r="I874" s="10" t="e">
        <f>_xlfn.XLOOKUP('Кўчмас мулк объектлари'!G874,Tumanlar23[DistrictName],Tumanlar23[DistrictId])</f>
        <v>#N/A</v>
      </c>
      <c r="K874" s="24"/>
      <c r="L874" s="10" t="e">
        <f>_xlfn.XLOOKUP(K874,Ташкилотлар39[Ташкилотлар],Ташкилотлар39[TashklilotID])</f>
        <v>#N/A</v>
      </c>
      <c r="M874" s="26"/>
      <c r="N874" s="26"/>
      <c r="O874" s="24"/>
      <c r="P874" s="2"/>
      <c r="Q874" s="26"/>
      <c r="R874" s="26"/>
      <c r="S874" s="26"/>
      <c r="T874" s="26"/>
      <c r="U874" s="24"/>
      <c r="V874" s="10" t="e">
        <f>_xlfn.XLOOKUP(U874,Таклифлар37[Таклифлар],Таклифлар37[TaklifID])</f>
        <v>#N/A</v>
      </c>
      <c r="W874" s="24"/>
      <c r="X874" s="23"/>
      <c r="Y874" s="7"/>
      <c r="Z874" s="26"/>
      <c r="AB874" s="23"/>
      <c r="AD874" s="2"/>
      <c r="AG874" s="23"/>
      <c r="AI874" s="26"/>
      <c r="AJ874" s="23"/>
      <c r="AM874" s="23"/>
      <c r="AO874" s="32"/>
      <c r="AP874" s="26"/>
      <c r="AR874" s="26"/>
      <c r="AS874" s="27"/>
      <c r="AT874" s="27"/>
      <c r="AU874" s="31"/>
      <c r="AV874" s="24"/>
      <c r="AW874"/>
      <c r="AX874"/>
      <c r="AY874"/>
      <c r="AZ874"/>
      <c r="BA874"/>
      <c r="BB874"/>
      <c r="BC874"/>
      <c r="BD874"/>
      <c r="BE874"/>
      <c r="BF874"/>
      <c r="BG874"/>
    </row>
    <row r="875" spans="2:59" x14ac:dyDescent="0.25">
      <c r="B875" s="22"/>
      <c r="C875" s="23"/>
      <c r="E875" s="23"/>
      <c r="F875" s="24"/>
      <c r="G875" s="2"/>
      <c r="H875" s="10" t="e">
        <f>_xlfn.XLOOKUP(F875,Viloyatlar24[RegionName],Viloyatlar24[RegionId])</f>
        <v>#N/A</v>
      </c>
      <c r="I875" s="10" t="e">
        <f>_xlfn.XLOOKUP('Кўчмас мулк объектлари'!G875,Tumanlar23[DistrictName],Tumanlar23[DistrictId])</f>
        <v>#N/A</v>
      </c>
      <c r="K875" s="24"/>
      <c r="L875" s="10" t="e">
        <f>_xlfn.XLOOKUP(K875,Ташкилотлар39[Ташкилотлар],Ташкилотлар39[TashklilotID])</f>
        <v>#N/A</v>
      </c>
      <c r="M875" s="26"/>
      <c r="N875" s="26"/>
      <c r="O875" s="24"/>
      <c r="P875" s="2"/>
      <c r="Q875" s="26"/>
      <c r="R875" s="26"/>
      <c r="S875" s="26"/>
      <c r="T875" s="26"/>
      <c r="U875" s="24"/>
      <c r="V875" s="10" t="e">
        <f>_xlfn.XLOOKUP(U875,Таклифлар37[Таклифлар],Таклифлар37[TaklifID])</f>
        <v>#N/A</v>
      </c>
      <c r="W875" s="24"/>
      <c r="X875" s="23"/>
      <c r="Y875" s="7"/>
      <c r="Z875" s="26"/>
      <c r="AB875" s="23"/>
      <c r="AD875" s="2"/>
      <c r="AG875" s="23"/>
      <c r="AI875" s="26"/>
      <c r="AJ875" s="23"/>
      <c r="AM875" s="23"/>
      <c r="AO875" s="32"/>
      <c r="AP875" s="26"/>
      <c r="AR875" s="26"/>
      <c r="AS875" s="27"/>
      <c r="AT875" s="27"/>
      <c r="AU875" s="31"/>
      <c r="AV875" s="24"/>
      <c r="AW875"/>
      <c r="AX875"/>
      <c r="AY875"/>
      <c r="AZ875"/>
      <c r="BA875"/>
      <c r="BB875"/>
      <c r="BC875"/>
      <c r="BD875"/>
      <c r="BE875"/>
      <c r="BF875"/>
      <c r="BG875"/>
    </row>
    <row r="876" spans="2:59" x14ac:dyDescent="0.25">
      <c r="B876" s="22"/>
      <c r="C876" s="23"/>
      <c r="E876" s="23"/>
      <c r="F876" s="24"/>
      <c r="G876" s="2"/>
      <c r="H876" s="10" t="e">
        <f>_xlfn.XLOOKUP(F876,Viloyatlar24[RegionName],Viloyatlar24[RegionId])</f>
        <v>#N/A</v>
      </c>
      <c r="I876" s="10" t="e">
        <f>_xlfn.XLOOKUP('Кўчмас мулк объектлари'!G876,Tumanlar23[DistrictName],Tumanlar23[DistrictId])</f>
        <v>#N/A</v>
      </c>
      <c r="K876" s="24"/>
      <c r="L876" s="10" t="e">
        <f>_xlfn.XLOOKUP(K876,Ташкилотлар39[Ташкилотлар],Ташкилотлар39[TashklilotID])</f>
        <v>#N/A</v>
      </c>
      <c r="M876" s="26"/>
      <c r="N876" s="26"/>
      <c r="O876" s="24"/>
      <c r="P876" s="2"/>
      <c r="Q876" s="26"/>
      <c r="R876" s="26"/>
      <c r="S876" s="26"/>
      <c r="T876" s="26"/>
      <c r="U876" s="24"/>
      <c r="V876" s="10" t="e">
        <f>_xlfn.XLOOKUP(U876,Таклифлар37[Таклифлар],Таклифлар37[TaklifID])</f>
        <v>#N/A</v>
      </c>
      <c r="W876" s="24"/>
      <c r="X876" s="23"/>
      <c r="Y876" s="7"/>
      <c r="Z876" s="26"/>
      <c r="AB876" s="23"/>
      <c r="AD876" s="2"/>
      <c r="AG876" s="23"/>
      <c r="AI876" s="26"/>
      <c r="AJ876" s="23"/>
      <c r="AM876" s="23"/>
      <c r="AO876" s="32"/>
      <c r="AP876" s="26"/>
      <c r="AR876" s="26"/>
      <c r="AS876" s="27"/>
      <c r="AT876" s="27"/>
      <c r="AU876" s="31"/>
      <c r="AV876" s="24"/>
      <c r="AW876"/>
      <c r="AX876"/>
      <c r="AY876"/>
      <c r="AZ876"/>
      <c r="BA876"/>
      <c r="BB876"/>
      <c r="BC876"/>
      <c r="BD876"/>
      <c r="BE876"/>
      <c r="BF876"/>
      <c r="BG876"/>
    </row>
    <row r="877" spans="2:59" x14ac:dyDescent="0.25">
      <c r="B877" s="22"/>
      <c r="C877" s="23"/>
      <c r="E877" s="23"/>
      <c r="F877" s="24"/>
      <c r="G877" s="2"/>
      <c r="H877" s="10" t="e">
        <f>_xlfn.XLOOKUP(F877,Viloyatlar24[RegionName],Viloyatlar24[RegionId])</f>
        <v>#N/A</v>
      </c>
      <c r="I877" s="10" t="e">
        <f>_xlfn.XLOOKUP('Кўчмас мулк объектлари'!G877,Tumanlar23[DistrictName],Tumanlar23[DistrictId])</f>
        <v>#N/A</v>
      </c>
      <c r="K877" s="24"/>
      <c r="L877" s="10" t="e">
        <f>_xlfn.XLOOKUP(K877,Ташкилотлар39[Ташкилотлар],Ташкилотлар39[TashklilotID])</f>
        <v>#N/A</v>
      </c>
      <c r="M877" s="26"/>
      <c r="N877" s="26"/>
      <c r="O877" s="24"/>
      <c r="P877" s="2"/>
      <c r="Q877" s="26"/>
      <c r="R877" s="26"/>
      <c r="S877" s="26"/>
      <c r="T877" s="26"/>
      <c r="U877" s="24"/>
      <c r="V877" s="10" t="e">
        <f>_xlfn.XLOOKUP(U877,Таклифлар37[Таклифлар],Таклифлар37[TaklifID])</f>
        <v>#N/A</v>
      </c>
      <c r="W877" s="24"/>
      <c r="X877" s="23"/>
      <c r="Y877" s="7"/>
      <c r="Z877" s="26"/>
      <c r="AB877" s="23"/>
      <c r="AD877" s="2"/>
      <c r="AG877" s="23"/>
      <c r="AI877" s="26"/>
      <c r="AJ877" s="23"/>
      <c r="AM877" s="23"/>
      <c r="AO877" s="32"/>
      <c r="AP877" s="26"/>
      <c r="AR877" s="26"/>
      <c r="AS877" s="27"/>
      <c r="AT877" s="27"/>
      <c r="AU877" s="31"/>
      <c r="AV877" s="24"/>
      <c r="AW877"/>
      <c r="AX877"/>
      <c r="AY877"/>
      <c r="AZ877"/>
      <c r="BA877"/>
      <c r="BB877"/>
      <c r="BC877"/>
      <c r="BD877"/>
      <c r="BE877"/>
      <c r="BF877"/>
      <c r="BG877"/>
    </row>
    <row r="878" spans="2:59" x14ac:dyDescent="0.25">
      <c r="B878" s="22"/>
      <c r="C878" s="23"/>
      <c r="E878" s="23"/>
      <c r="F878" s="24"/>
      <c r="G878" s="2"/>
      <c r="H878" s="10" t="e">
        <f>_xlfn.XLOOKUP(F878,Viloyatlar24[RegionName],Viloyatlar24[RegionId])</f>
        <v>#N/A</v>
      </c>
      <c r="I878" s="10" t="e">
        <f>_xlfn.XLOOKUP('Кўчмас мулк объектлари'!G878,Tumanlar23[DistrictName],Tumanlar23[DistrictId])</f>
        <v>#N/A</v>
      </c>
      <c r="K878" s="24"/>
      <c r="L878" s="10" t="e">
        <f>_xlfn.XLOOKUP(K878,Ташкилотлар39[Ташкилотлар],Ташкилотлар39[TashklilotID])</f>
        <v>#N/A</v>
      </c>
      <c r="M878" s="26"/>
      <c r="N878" s="26"/>
      <c r="O878" s="24"/>
      <c r="P878" s="2"/>
      <c r="Q878" s="26"/>
      <c r="R878" s="26"/>
      <c r="S878" s="26"/>
      <c r="T878" s="26"/>
      <c r="U878" s="24"/>
      <c r="V878" s="10" t="e">
        <f>_xlfn.XLOOKUP(U878,Таклифлар37[Таклифлар],Таклифлар37[TaklifID])</f>
        <v>#N/A</v>
      </c>
      <c r="W878" s="24"/>
      <c r="X878" s="23"/>
      <c r="Y878" s="7"/>
      <c r="Z878" s="26"/>
      <c r="AB878" s="23"/>
      <c r="AD878" s="2"/>
      <c r="AG878" s="23"/>
      <c r="AI878" s="26"/>
      <c r="AJ878" s="23"/>
      <c r="AM878" s="23"/>
      <c r="AO878" s="32"/>
      <c r="AP878" s="26"/>
      <c r="AR878" s="26"/>
      <c r="AS878" s="27"/>
      <c r="AT878" s="27"/>
      <c r="AU878" s="31"/>
      <c r="AV878" s="24"/>
      <c r="AW878"/>
      <c r="AX878"/>
      <c r="AY878"/>
      <c r="AZ878"/>
      <c r="BA878"/>
      <c r="BB878"/>
      <c r="BC878"/>
      <c r="BD878"/>
      <c r="BE878"/>
      <c r="BF878"/>
      <c r="BG878"/>
    </row>
    <row r="879" spans="2:59" x14ac:dyDescent="0.25">
      <c r="B879" s="22"/>
      <c r="C879" s="23"/>
      <c r="E879" s="23"/>
      <c r="F879" s="24"/>
      <c r="G879" s="2"/>
      <c r="H879" s="10" t="e">
        <f>_xlfn.XLOOKUP(F879,Viloyatlar24[RegionName],Viloyatlar24[RegionId])</f>
        <v>#N/A</v>
      </c>
      <c r="I879" s="10" t="e">
        <f>_xlfn.XLOOKUP('Кўчмас мулк объектлари'!G879,Tumanlar23[DistrictName],Tumanlar23[DistrictId])</f>
        <v>#N/A</v>
      </c>
      <c r="K879" s="24"/>
      <c r="L879" s="10" t="e">
        <f>_xlfn.XLOOKUP(K879,Ташкилотлар39[Ташкилотлар],Ташкилотлар39[TashklilotID])</f>
        <v>#N/A</v>
      </c>
      <c r="M879" s="26"/>
      <c r="N879" s="26"/>
      <c r="O879" s="24"/>
      <c r="P879" s="2"/>
      <c r="Q879" s="26"/>
      <c r="R879" s="26"/>
      <c r="S879" s="26"/>
      <c r="T879" s="26"/>
      <c r="U879" s="24"/>
      <c r="V879" s="10" t="e">
        <f>_xlfn.XLOOKUP(U879,Таклифлар37[Таклифлар],Таклифлар37[TaklifID])</f>
        <v>#N/A</v>
      </c>
      <c r="W879" s="24"/>
      <c r="X879" s="23"/>
      <c r="Y879" s="7"/>
      <c r="Z879" s="26"/>
      <c r="AB879" s="23"/>
      <c r="AD879" s="2"/>
      <c r="AG879" s="23"/>
      <c r="AI879" s="26"/>
      <c r="AJ879" s="23"/>
      <c r="AM879" s="23"/>
      <c r="AO879" s="32"/>
      <c r="AP879" s="26"/>
      <c r="AR879" s="26"/>
      <c r="AS879" s="27"/>
      <c r="AT879" s="27"/>
      <c r="AU879" s="31"/>
      <c r="AV879" s="24"/>
      <c r="AW879"/>
      <c r="AX879"/>
      <c r="AY879"/>
      <c r="AZ879"/>
      <c r="BA879"/>
      <c r="BB879"/>
      <c r="BC879"/>
      <c r="BD879"/>
      <c r="BE879"/>
      <c r="BF879"/>
      <c r="BG879"/>
    </row>
    <row r="880" spans="2:59" x14ac:dyDescent="0.25">
      <c r="B880" s="22"/>
      <c r="C880" s="23"/>
      <c r="E880" s="23"/>
      <c r="F880" s="24"/>
      <c r="G880" s="2"/>
      <c r="H880" s="10" t="e">
        <f>_xlfn.XLOOKUP(F880,Viloyatlar24[RegionName],Viloyatlar24[RegionId])</f>
        <v>#N/A</v>
      </c>
      <c r="I880" s="10" t="e">
        <f>_xlfn.XLOOKUP('Кўчмас мулк объектлари'!G880,Tumanlar23[DistrictName],Tumanlar23[DistrictId])</f>
        <v>#N/A</v>
      </c>
      <c r="K880" s="24"/>
      <c r="L880" s="10" t="e">
        <f>_xlfn.XLOOKUP(K880,Ташкилотлар39[Ташкилотлар],Ташкилотлар39[TashklilotID])</f>
        <v>#N/A</v>
      </c>
      <c r="M880" s="26"/>
      <c r="N880" s="26"/>
      <c r="O880" s="24"/>
      <c r="P880" s="2"/>
      <c r="Q880" s="26"/>
      <c r="R880" s="26"/>
      <c r="S880" s="26"/>
      <c r="T880" s="26"/>
      <c r="U880" s="24"/>
      <c r="V880" s="10" t="e">
        <f>_xlfn.XLOOKUP(U880,Таклифлар37[Таклифлар],Таклифлар37[TaklifID])</f>
        <v>#N/A</v>
      </c>
      <c r="W880" s="24"/>
      <c r="X880" s="23"/>
      <c r="Y880" s="7"/>
      <c r="Z880" s="26"/>
      <c r="AB880" s="23"/>
      <c r="AD880" s="2"/>
      <c r="AG880" s="23"/>
      <c r="AI880" s="26"/>
      <c r="AJ880" s="23"/>
      <c r="AM880" s="23"/>
      <c r="AO880" s="32"/>
      <c r="AP880" s="26"/>
      <c r="AR880" s="26"/>
      <c r="AS880" s="27"/>
      <c r="AT880" s="27"/>
      <c r="AU880" s="31"/>
      <c r="AV880" s="24"/>
      <c r="AW880"/>
      <c r="AX880"/>
      <c r="AY880"/>
      <c r="AZ880"/>
      <c r="BA880"/>
      <c r="BB880"/>
      <c r="BC880"/>
      <c r="BD880"/>
      <c r="BE880"/>
      <c r="BF880"/>
      <c r="BG880"/>
    </row>
    <row r="881" spans="2:59" x14ac:dyDescent="0.25">
      <c r="B881" s="22"/>
      <c r="C881" s="23"/>
      <c r="E881" s="23"/>
      <c r="F881" s="24"/>
      <c r="G881" s="2"/>
      <c r="H881" s="10" t="e">
        <f>_xlfn.XLOOKUP(F881,Viloyatlar24[RegionName],Viloyatlar24[RegionId])</f>
        <v>#N/A</v>
      </c>
      <c r="I881" s="10" t="e">
        <f>_xlfn.XLOOKUP('Кўчмас мулк объектлари'!G881,Tumanlar23[DistrictName],Tumanlar23[DistrictId])</f>
        <v>#N/A</v>
      </c>
      <c r="K881" s="24"/>
      <c r="L881" s="10" t="e">
        <f>_xlfn.XLOOKUP(K881,Ташкилотлар39[Ташкилотлар],Ташкилотлар39[TashklilotID])</f>
        <v>#N/A</v>
      </c>
      <c r="M881" s="26"/>
      <c r="N881" s="26"/>
      <c r="O881" s="24"/>
      <c r="P881" s="2"/>
      <c r="Q881" s="26"/>
      <c r="R881" s="26"/>
      <c r="S881" s="26"/>
      <c r="T881" s="26"/>
      <c r="U881" s="24"/>
      <c r="V881" s="10" t="e">
        <f>_xlfn.XLOOKUP(U881,Таклифлар37[Таклифлар],Таклифлар37[TaklifID])</f>
        <v>#N/A</v>
      </c>
      <c r="W881" s="24"/>
      <c r="X881" s="23"/>
      <c r="Y881" s="7"/>
      <c r="Z881" s="26"/>
      <c r="AB881" s="23"/>
      <c r="AD881" s="2"/>
      <c r="AG881" s="23"/>
      <c r="AI881" s="26"/>
      <c r="AJ881" s="23"/>
      <c r="AM881" s="23"/>
      <c r="AO881" s="32"/>
      <c r="AP881" s="26"/>
      <c r="AR881" s="26"/>
      <c r="AS881" s="27"/>
      <c r="AT881" s="27"/>
      <c r="AU881" s="31"/>
      <c r="AV881" s="24"/>
      <c r="AW881"/>
      <c r="AX881"/>
      <c r="AY881"/>
      <c r="AZ881"/>
      <c r="BA881"/>
      <c r="BB881"/>
      <c r="BC881"/>
      <c r="BD881"/>
      <c r="BE881"/>
      <c r="BF881"/>
      <c r="BG881"/>
    </row>
    <row r="882" spans="2:59" x14ac:dyDescent="0.25">
      <c r="B882" s="22"/>
      <c r="C882" s="23"/>
      <c r="E882" s="23"/>
      <c r="F882" s="24"/>
      <c r="G882" s="2"/>
      <c r="H882" s="10" t="e">
        <f>_xlfn.XLOOKUP(F882,Viloyatlar24[RegionName],Viloyatlar24[RegionId])</f>
        <v>#N/A</v>
      </c>
      <c r="I882" s="10" t="e">
        <f>_xlfn.XLOOKUP('Кўчмас мулк объектлари'!G882,Tumanlar23[DistrictName],Tumanlar23[DistrictId])</f>
        <v>#N/A</v>
      </c>
      <c r="K882" s="24"/>
      <c r="L882" s="10" t="e">
        <f>_xlfn.XLOOKUP(K882,Ташкилотлар39[Ташкилотлар],Ташкилотлар39[TashklilotID])</f>
        <v>#N/A</v>
      </c>
      <c r="M882" s="26"/>
      <c r="N882" s="26"/>
      <c r="O882" s="24"/>
      <c r="P882" s="2"/>
      <c r="Q882" s="26"/>
      <c r="R882" s="26"/>
      <c r="S882" s="26"/>
      <c r="T882" s="26"/>
      <c r="U882" s="24"/>
      <c r="V882" s="10" t="e">
        <f>_xlfn.XLOOKUP(U882,Таклифлар37[Таклифлар],Таклифлар37[TaklifID])</f>
        <v>#N/A</v>
      </c>
      <c r="W882" s="24"/>
      <c r="X882" s="23"/>
      <c r="Y882" s="7"/>
      <c r="Z882" s="26"/>
      <c r="AB882" s="23"/>
      <c r="AD882" s="2"/>
      <c r="AG882" s="23"/>
      <c r="AI882" s="26"/>
      <c r="AJ882" s="23"/>
      <c r="AM882" s="23"/>
      <c r="AO882" s="32"/>
      <c r="AP882" s="26"/>
      <c r="AR882" s="26"/>
      <c r="AS882" s="27"/>
      <c r="AT882" s="27"/>
      <c r="AU882" s="31"/>
      <c r="AV882" s="24"/>
      <c r="AW882"/>
      <c r="AX882"/>
      <c r="AY882"/>
      <c r="AZ882"/>
      <c r="BA882"/>
      <c r="BB882"/>
      <c r="BC882"/>
      <c r="BD882"/>
      <c r="BE882"/>
      <c r="BF882"/>
      <c r="BG882"/>
    </row>
    <row r="883" spans="2:59" x14ac:dyDescent="0.25">
      <c r="B883" s="22"/>
      <c r="C883" s="23"/>
      <c r="E883" s="23"/>
      <c r="F883" s="24"/>
      <c r="G883" s="2"/>
      <c r="H883" s="10" t="e">
        <f>_xlfn.XLOOKUP(F883,Viloyatlar24[RegionName],Viloyatlar24[RegionId])</f>
        <v>#N/A</v>
      </c>
      <c r="I883" s="10" t="e">
        <f>_xlfn.XLOOKUP('Кўчмас мулк объектлари'!G883,Tumanlar23[DistrictName],Tumanlar23[DistrictId])</f>
        <v>#N/A</v>
      </c>
      <c r="K883" s="24"/>
      <c r="L883" s="10" t="e">
        <f>_xlfn.XLOOKUP(K883,Ташкилотлар39[Ташкилотлар],Ташкилотлар39[TashklilotID])</f>
        <v>#N/A</v>
      </c>
      <c r="M883" s="26"/>
      <c r="N883" s="26"/>
      <c r="O883" s="24"/>
      <c r="P883" s="2"/>
      <c r="Q883" s="26"/>
      <c r="R883" s="26"/>
      <c r="S883" s="26"/>
      <c r="T883" s="26"/>
      <c r="U883" s="24"/>
      <c r="V883" s="10" t="e">
        <f>_xlfn.XLOOKUP(U883,Таклифлар37[Таклифлар],Таклифлар37[TaklifID])</f>
        <v>#N/A</v>
      </c>
      <c r="W883" s="24"/>
      <c r="X883" s="23"/>
      <c r="Y883" s="7"/>
      <c r="Z883" s="26"/>
      <c r="AB883" s="23"/>
      <c r="AD883" s="2"/>
      <c r="AG883" s="23"/>
      <c r="AI883" s="26"/>
      <c r="AJ883" s="23"/>
      <c r="AM883" s="23"/>
      <c r="AO883" s="32"/>
      <c r="AP883" s="26"/>
      <c r="AR883" s="26"/>
      <c r="AS883" s="27"/>
      <c r="AT883" s="27"/>
      <c r="AU883" s="31"/>
      <c r="AV883" s="24"/>
      <c r="AW883"/>
      <c r="AX883"/>
      <c r="AY883"/>
      <c r="AZ883"/>
      <c r="BA883"/>
      <c r="BB883"/>
      <c r="BC883"/>
      <c r="BD883"/>
      <c r="BE883"/>
      <c r="BF883"/>
      <c r="BG883"/>
    </row>
    <row r="884" spans="2:59" x14ac:dyDescent="0.25">
      <c r="B884" s="22"/>
      <c r="C884" s="23"/>
      <c r="E884" s="23"/>
      <c r="F884" s="24"/>
      <c r="G884" s="2"/>
      <c r="H884" s="10" t="e">
        <f>_xlfn.XLOOKUP(F884,Viloyatlar24[RegionName],Viloyatlar24[RegionId])</f>
        <v>#N/A</v>
      </c>
      <c r="I884" s="10" t="e">
        <f>_xlfn.XLOOKUP('Кўчмас мулк объектлари'!G884,Tumanlar23[DistrictName],Tumanlar23[DistrictId])</f>
        <v>#N/A</v>
      </c>
      <c r="K884" s="24"/>
      <c r="L884" s="10" t="e">
        <f>_xlfn.XLOOKUP(K884,Ташкилотлар39[Ташкилотлар],Ташкилотлар39[TashklilotID])</f>
        <v>#N/A</v>
      </c>
      <c r="M884" s="26"/>
      <c r="N884" s="26"/>
      <c r="O884" s="24"/>
      <c r="P884" s="2"/>
      <c r="Q884" s="26"/>
      <c r="R884" s="26"/>
      <c r="S884" s="26"/>
      <c r="T884" s="26"/>
      <c r="U884" s="24"/>
      <c r="V884" s="10" t="e">
        <f>_xlfn.XLOOKUP(U884,Таклифлар37[Таклифлар],Таклифлар37[TaklifID])</f>
        <v>#N/A</v>
      </c>
      <c r="W884" s="24"/>
      <c r="X884" s="23"/>
      <c r="Y884" s="7"/>
      <c r="Z884" s="26"/>
      <c r="AB884" s="23"/>
      <c r="AD884" s="2"/>
      <c r="AG884" s="23"/>
      <c r="AI884" s="26"/>
      <c r="AJ884" s="23"/>
      <c r="AM884" s="23"/>
      <c r="AO884" s="32"/>
      <c r="AP884" s="26"/>
      <c r="AR884" s="26"/>
      <c r="AS884" s="27"/>
      <c r="AT884" s="27"/>
      <c r="AU884" s="31"/>
      <c r="AV884" s="24"/>
      <c r="AW884"/>
      <c r="AX884"/>
      <c r="AY884"/>
      <c r="AZ884"/>
      <c r="BA884"/>
      <c r="BB884"/>
      <c r="BC884"/>
      <c r="BD884"/>
      <c r="BE884"/>
      <c r="BF884"/>
      <c r="BG884"/>
    </row>
    <row r="885" spans="2:59" x14ac:dyDescent="0.25">
      <c r="B885" s="22"/>
      <c r="C885" s="23"/>
      <c r="E885" s="23"/>
      <c r="F885" s="24"/>
      <c r="G885" s="2"/>
      <c r="H885" s="10" t="e">
        <f>_xlfn.XLOOKUP(F885,Viloyatlar24[RegionName],Viloyatlar24[RegionId])</f>
        <v>#N/A</v>
      </c>
      <c r="I885" s="10" t="e">
        <f>_xlfn.XLOOKUP('Кўчмас мулк объектлари'!G885,Tumanlar23[DistrictName],Tumanlar23[DistrictId])</f>
        <v>#N/A</v>
      </c>
      <c r="K885" s="24"/>
      <c r="L885" s="10" t="e">
        <f>_xlfn.XLOOKUP(K885,Ташкилотлар39[Ташкилотлар],Ташкилотлар39[TashklilotID])</f>
        <v>#N/A</v>
      </c>
      <c r="M885" s="26"/>
      <c r="N885" s="26"/>
      <c r="O885" s="24"/>
      <c r="P885" s="2"/>
      <c r="Q885" s="26"/>
      <c r="R885" s="26"/>
      <c r="S885" s="26"/>
      <c r="T885" s="26"/>
      <c r="U885" s="24"/>
      <c r="V885" s="10" t="e">
        <f>_xlfn.XLOOKUP(U885,Таклифлар37[Таклифлар],Таклифлар37[TaklifID])</f>
        <v>#N/A</v>
      </c>
      <c r="W885" s="24"/>
      <c r="X885" s="23"/>
      <c r="Y885" s="7"/>
      <c r="Z885" s="26"/>
      <c r="AB885" s="23"/>
      <c r="AD885" s="2"/>
      <c r="AG885" s="23"/>
      <c r="AI885" s="26"/>
      <c r="AJ885" s="23"/>
      <c r="AM885" s="23"/>
      <c r="AO885" s="32"/>
      <c r="AP885" s="26"/>
      <c r="AR885" s="26"/>
      <c r="AS885" s="27"/>
      <c r="AT885" s="27"/>
      <c r="AU885" s="31"/>
      <c r="AV885" s="24"/>
      <c r="AW885"/>
      <c r="AX885"/>
      <c r="AY885"/>
      <c r="AZ885"/>
      <c r="BA885"/>
      <c r="BB885"/>
      <c r="BC885"/>
      <c r="BD885"/>
      <c r="BE885"/>
      <c r="BF885"/>
      <c r="BG885"/>
    </row>
    <row r="886" spans="2:59" x14ac:dyDescent="0.25">
      <c r="B886" s="22"/>
      <c r="C886" s="23"/>
      <c r="E886" s="23"/>
      <c r="F886" s="24"/>
      <c r="G886" s="2"/>
      <c r="H886" s="10" t="e">
        <f>_xlfn.XLOOKUP(F886,Viloyatlar24[RegionName],Viloyatlar24[RegionId])</f>
        <v>#N/A</v>
      </c>
      <c r="I886" s="10" t="e">
        <f>_xlfn.XLOOKUP('Кўчмас мулк объектлари'!G886,Tumanlar23[DistrictName],Tumanlar23[DistrictId])</f>
        <v>#N/A</v>
      </c>
      <c r="K886" s="24"/>
      <c r="L886" s="10" t="e">
        <f>_xlfn.XLOOKUP(K886,Ташкилотлар39[Ташкилотлар],Ташкилотлар39[TashklilotID])</f>
        <v>#N/A</v>
      </c>
      <c r="M886" s="26"/>
      <c r="N886" s="26"/>
      <c r="O886" s="24"/>
      <c r="P886" s="2"/>
      <c r="Q886" s="26"/>
      <c r="R886" s="26"/>
      <c r="S886" s="26"/>
      <c r="T886" s="26"/>
      <c r="U886" s="24"/>
      <c r="V886" s="10" t="e">
        <f>_xlfn.XLOOKUP(U886,Таклифлар37[Таклифлар],Таклифлар37[TaklifID])</f>
        <v>#N/A</v>
      </c>
      <c r="W886" s="24"/>
      <c r="X886" s="23"/>
      <c r="Y886" s="7"/>
      <c r="Z886" s="26"/>
      <c r="AB886" s="23"/>
      <c r="AD886" s="2"/>
      <c r="AG886" s="23"/>
      <c r="AI886" s="26"/>
      <c r="AJ886" s="23"/>
      <c r="AM886" s="23"/>
      <c r="AO886" s="32"/>
      <c r="AP886" s="26"/>
      <c r="AR886" s="26"/>
      <c r="AS886" s="27"/>
      <c r="AT886" s="27"/>
      <c r="AU886" s="31"/>
      <c r="AV886" s="24"/>
      <c r="AW886"/>
      <c r="AX886"/>
      <c r="AY886"/>
      <c r="AZ886"/>
      <c r="BA886"/>
      <c r="BB886"/>
      <c r="BC886"/>
      <c r="BD886"/>
      <c r="BE886"/>
      <c r="BF886"/>
      <c r="BG886"/>
    </row>
    <row r="887" spans="2:59" x14ac:dyDescent="0.25">
      <c r="B887" s="22"/>
      <c r="C887" s="23"/>
      <c r="E887" s="23"/>
      <c r="F887" s="24"/>
      <c r="G887" s="2"/>
      <c r="H887" s="10" t="e">
        <f>_xlfn.XLOOKUP(F887,Viloyatlar24[RegionName],Viloyatlar24[RegionId])</f>
        <v>#N/A</v>
      </c>
      <c r="I887" s="10" t="e">
        <f>_xlfn.XLOOKUP('Кўчмас мулк объектлари'!G887,Tumanlar23[DistrictName],Tumanlar23[DistrictId])</f>
        <v>#N/A</v>
      </c>
      <c r="K887" s="24"/>
      <c r="L887" s="10" t="e">
        <f>_xlfn.XLOOKUP(K887,Ташкилотлар39[Ташкилотлар],Ташкилотлар39[TashklilotID])</f>
        <v>#N/A</v>
      </c>
      <c r="M887" s="26"/>
      <c r="N887" s="26"/>
      <c r="O887" s="24"/>
      <c r="P887" s="2"/>
      <c r="Q887" s="26"/>
      <c r="R887" s="26"/>
      <c r="S887" s="26"/>
      <c r="T887" s="26"/>
      <c r="U887" s="24"/>
      <c r="V887" s="10" t="e">
        <f>_xlfn.XLOOKUP(U887,Таклифлар37[Таклифлар],Таклифлар37[TaklifID])</f>
        <v>#N/A</v>
      </c>
      <c r="W887" s="24"/>
      <c r="X887" s="23"/>
      <c r="Y887" s="7"/>
      <c r="Z887" s="26"/>
      <c r="AB887" s="23"/>
      <c r="AD887" s="2"/>
      <c r="AG887" s="23"/>
      <c r="AI887" s="26"/>
      <c r="AJ887" s="23"/>
      <c r="AM887" s="23"/>
      <c r="AO887" s="32"/>
      <c r="AP887" s="26"/>
      <c r="AR887" s="26"/>
      <c r="AS887" s="27"/>
      <c r="AT887" s="27"/>
      <c r="AU887" s="31"/>
      <c r="AV887" s="24"/>
      <c r="AW887"/>
      <c r="AX887"/>
      <c r="AY887"/>
      <c r="AZ887"/>
      <c r="BA887"/>
      <c r="BB887"/>
      <c r="BC887"/>
      <c r="BD887"/>
      <c r="BE887"/>
      <c r="BF887"/>
      <c r="BG887"/>
    </row>
    <row r="888" spans="2:59" x14ac:dyDescent="0.25">
      <c r="B888" s="22"/>
      <c r="C888" s="23"/>
      <c r="E888" s="23"/>
      <c r="F888" s="24"/>
      <c r="G888" s="2"/>
      <c r="H888" s="10" t="e">
        <f>_xlfn.XLOOKUP(F888,Viloyatlar24[RegionName],Viloyatlar24[RegionId])</f>
        <v>#N/A</v>
      </c>
      <c r="I888" s="10" t="e">
        <f>_xlfn.XLOOKUP('Кўчмас мулк объектлари'!G888,Tumanlar23[DistrictName],Tumanlar23[DistrictId])</f>
        <v>#N/A</v>
      </c>
      <c r="K888" s="24"/>
      <c r="L888" s="10" t="e">
        <f>_xlfn.XLOOKUP(K888,Ташкилотлар39[Ташкилотлар],Ташкилотлар39[TashklilotID])</f>
        <v>#N/A</v>
      </c>
      <c r="M888" s="26"/>
      <c r="N888" s="26"/>
      <c r="O888" s="24"/>
      <c r="P888" s="2"/>
      <c r="Q888" s="26"/>
      <c r="R888" s="26"/>
      <c r="S888" s="26"/>
      <c r="T888" s="26"/>
      <c r="U888" s="24"/>
      <c r="V888" s="10" t="e">
        <f>_xlfn.XLOOKUP(U888,Таклифлар37[Таклифлар],Таклифлар37[TaklifID])</f>
        <v>#N/A</v>
      </c>
      <c r="W888" s="24"/>
      <c r="X888" s="23"/>
      <c r="Y888" s="7"/>
      <c r="Z888" s="26"/>
      <c r="AB888" s="23"/>
      <c r="AD888" s="2"/>
      <c r="AG888" s="23"/>
      <c r="AI888" s="26"/>
      <c r="AJ888" s="23"/>
      <c r="AM888" s="23"/>
      <c r="AO888" s="32"/>
      <c r="AP888" s="26"/>
      <c r="AR888" s="26"/>
      <c r="AS888" s="27"/>
      <c r="AT888" s="27"/>
      <c r="AU888" s="31"/>
      <c r="AV888" s="24"/>
      <c r="AW888"/>
      <c r="AX888"/>
      <c r="AY888"/>
      <c r="AZ888"/>
      <c r="BA888"/>
      <c r="BB888"/>
      <c r="BC888"/>
      <c r="BD888"/>
      <c r="BE888"/>
      <c r="BF888"/>
      <c r="BG888"/>
    </row>
    <row r="889" spans="2:59" x14ac:dyDescent="0.25">
      <c r="B889" s="22"/>
      <c r="C889" s="23"/>
      <c r="E889" s="23"/>
      <c r="F889" s="24"/>
      <c r="G889" s="2"/>
      <c r="H889" s="10" t="e">
        <f>_xlfn.XLOOKUP(F889,Viloyatlar24[RegionName],Viloyatlar24[RegionId])</f>
        <v>#N/A</v>
      </c>
      <c r="I889" s="10" t="e">
        <f>_xlfn.XLOOKUP('Кўчмас мулк объектлари'!G889,Tumanlar23[DistrictName],Tumanlar23[DistrictId])</f>
        <v>#N/A</v>
      </c>
      <c r="K889" s="24"/>
      <c r="L889" s="10" t="e">
        <f>_xlfn.XLOOKUP(K889,Ташкилотлар39[Ташкилотлар],Ташкилотлар39[TashklilotID])</f>
        <v>#N/A</v>
      </c>
      <c r="M889" s="26"/>
      <c r="N889" s="26"/>
      <c r="O889" s="24"/>
      <c r="P889" s="2"/>
      <c r="Q889" s="26"/>
      <c r="R889" s="26"/>
      <c r="S889" s="26"/>
      <c r="T889" s="26"/>
      <c r="U889" s="24"/>
      <c r="V889" s="10" t="e">
        <f>_xlfn.XLOOKUP(U889,Таклифлар37[Таклифлар],Таклифлар37[TaklifID])</f>
        <v>#N/A</v>
      </c>
      <c r="W889" s="24"/>
      <c r="X889" s="23"/>
      <c r="Y889" s="7"/>
      <c r="Z889" s="26"/>
      <c r="AB889" s="23"/>
      <c r="AD889" s="2"/>
      <c r="AG889" s="23"/>
      <c r="AI889" s="26"/>
      <c r="AJ889" s="23"/>
      <c r="AM889" s="23"/>
      <c r="AO889" s="32"/>
      <c r="AP889" s="26"/>
      <c r="AR889" s="26"/>
      <c r="AS889" s="27"/>
      <c r="AT889" s="27"/>
      <c r="AU889" s="31"/>
      <c r="AV889" s="24"/>
      <c r="AW889"/>
      <c r="AX889"/>
      <c r="AY889"/>
      <c r="AZ889"/>
      <c r="BA889"/>
      <c r="BB889"/>
      <c r="BC889"/>
      <c r="BD889"/>
      <c r="BE889"/>
      <c r="BF889"/>
      <c r="BG889"/>
    </row>
    <row r="890" spans="2:59" x14ac:dyDescent="0.25">
      <c r="B890" s="22"/>
      <c r="C890" s="23"/>
      <c r="E890" s="23"/>
      <c r="F890" s="24"/>
      <c r="G890" s="2"/>
      <c r="H890" s="10" t="e">
        <f>_xlfn.XLOOKUP(F890,Viloyatlar24[RegionName],Viloyatlar24[RegionId])</f>
        <v>#N/A</v>
      </c>
      <c r="I890" s="10" t="e">
        <f>_xlfn.XLOOKUP('Кўчмас мулк объектлари'!G890,Tumanlar23[DistrictName],Tumanlar23[DistrictId])</f>
        <v>#N/A</v>
      </c>
      <c r="K890" s="24"/>
      <c r="L890" s="10" t="e">
        <f>_xlfn.XLOOKUP(K890,Ташкилотлар39[Ташкилотлар],Ташкилотлар39[TashklilotID])</f>
        <v>#N/A</v>
      </c>
      <c r="M890" s="26"/>
      <c r="N890" s="26"/>
      <c r="O890" s="24"/>
      <c r="P890" s="2"/>
      <c r="Q890" s="26"/>
      <c r="R890" s="26"/>
      <c r="S890" s="26"/>
      <c r="T890" s="26"/>
      <c r="U890" s="24"/>
      <c r="V890" s="10" t="e">
        <f>_xlfn.XLOOKUP(U890,Таклифлар37[Таклифлар],Таклифлар37[TaklifID])</f>
        <v>#N/A</v>
      </c>
      <c r="W890" s="24"/>
      <c r="X890" s="23"/>
      <c r="Y890" s="7"/>
      <c r="Z890" s="26"/>
      <c r="AB890" s="23"/>
      <c r="AD890" s="2"/>
      <c r="AG890" s="23"/>
      <c r="AI890" s="26"/>
      <c r="AJ890" s="23"/>
      <c r="AM890" s="23"/>
      <c r="AO890" s="32"/>
      <c r="AP890" s="26"/>
      <c r="AR890" s="26"/>
      <c r="AS890" s="27"/>
      <c r="AT890" s="27"/>
      <c r="AU890" s="31"/>
      <c r="AV890" s="24"/>
      <c r="AW890"/>
      <c r="AX890"/>
      <c r="AY890"/>
      <c r="AZ890"/>
      <c r="BA890"/>
      <c r="BB890"/>
      <c r="BC890"/>
      <c r="BD890"/>
      <c r="BE890"/>
      <c r="BF890"/>
      <c r="BG890"/>
    </row>
    <row r="891" spans="2:59" x14ac:dyDescent="0.25">
      <c r="B891" s="22"/>
      <c r="C891" s="23"/>
      <c r="E891" s="23"/>
      <c r="F891" s="24"/>
      <c r="G891" s="2"/>
      <c r="H891" s="10" t="e">
        <f>_xlfn.XLOOKUP(F891,Viloyatlar24[RegionName],Viloyatlar24[RegionId])</f>
        <v>#N/A</v>
      </c>
      <c r="I891" s="10" t="e">
        <f>_xlfn.XLOOKUP('Кўчмас мулк объектлари'!G891,Tumanlar23[DistrictName],Tumanlar23[DistrictId])</f>
        <v>#N/A</v>
      </c>
      <c r="K891" s="24"/>
      <c r="L891" s="10" t="e">
        <f>_xlfn.XLOOKUP(K891,Ташкилотлар39[Ташкилотлар],Ташкилотлар39[TashklilotID])</f>
        <v>#N/A</v>
      </c>
      <c r="M891" s="26"/>
      <c r="N891" s="26"/>
      <c r="O891" s="24"/>
      <c r="P891" s="2"/>
      <c r="Q891" s="26"/>
      <c r="R891" s="26"/>
      <c r="S891" s="26"/>
      <c r="T891" s="26"/>
      <c r="U891" s="24"/>
      <c r="V891" s="10" t="e">
        <f>_xlfn.XLOOKUP(U891,Таклифлар37[Таклифлар],Таклифлар37[TaklifID])</f>
        <v>#N/A</v>
      </c>
      <c r="W891" s="24"/>
      <c r="X891" s="23"/>
      <c r="Y891" s="7"/>
      <c r="Z891" s="26"/>
      <c r="AB891" s="23"/>
      <c r="AD891" s="2"/>
      <c r="AG891" s="23"/>
      <c r="AI891" s="26"/>
      <c r="AJ891" s="23"/>
      <c r="AM891" s="23"/>
      <c r="AO891" s="32"/>
      <c r="AP891" s="26"/>
      <c r="AR891" s="26"/>
      <c r="AS891" s="27"/>
      <c r="AT891" s="27"/>
      <c r="AU891" s="31"/>
      <c r="AV891" s="24"/>
      <c r="AW891"/>
      <c r="AX891"/>
      <c r="AY891"/>
      <c r="AZ891"/>
      <c r="BA891"/>
      <c r="BB891"/>
      <c r="BC891"/>
      <c r="BD891"/>
      <c r="BE891"/>
      <c r="BF891"/>
      <c r="BG891"/>
    </row>
    <row r="892" spans="2:59" x14ac:dyDescent="0.25">
      <c r="B892" s="22"/>
      <c r="C892" s="23"/>
      <c r="E892" s="23"/>
      <c r="F892" s="24"/>
      <c r="G892" s="2"/>
      <c r="H892" s="10" t="e">
        <f>_xlfn.XLOOKUP(F892,Viloyatlar24[RegionName],Viloyatlar24[RegionId])</f>
        <v>#N/A</v>
      </c>
      <c r="I892" s="10" t="e">
        <f>_xlfn.XLOOKUP('Кўчмас мулк объектлари'!G892,Tumanlar23[DistrictName],Tumanlar23[DistrictId])</f>
        <v>#N/A</v>
      </c>
      <c r="K892" s="24"/>
      <c r="L892" s="10" t="e">
        <f>_xlfn.XLOOKUP(K892,Ташкилотлар39[Ташкилотлар],Ташкилотлар39[TashklilotID])</f>
        <v>#N/A</v>
      </c>
      <c r="M892" s="26"/>
      <c r="N892" s="26"/>
      <c r="O892" s="24"/>
      <c r="P892" s="2"/>
      <c r="Q892" s="26"/>
      <c r="R892" s="26"/>
      <c r="S892" s="26"/>
      <c r="T892" s="26"/>
      <c r="U892" s="24"/>
      <c r="V892" s="10" t="e">
        <f>_xlfn.XLOOKUP(U892,Таклифлар37[Таклифлар],Таклифлар37[TaklifID])</f>
        <v>#N/A</v>
      </c>
      <c r="W892" s="24"/>
      <c r="X892" s="23"/>
      <c r="Y892" s="7"/>
      <c r="Z892" s="26"/>
      <c r="AB892" s="23"/>
      <c r="AD892" s="2"/>
      <c r="AG892" s="23"/>
      <c r="AI892" s="26"/>
      <c r="AJ892" s="23"/>
      <c r="AM892" s="23"/>
      <c r="AO892" s="32"/>
      <c r="AP892" s="26"/>
      <c r="AR892" s="26"/>
      <c r="AS892" s="27"/>
      <c r="AT892" s="27"/>
      <c r="AU892" s="31"/>
      <c r="AV892" s="24"/>
      <c r="AW892"/>
      <c r="AX892"/>
      <c r="AY892"/>
      <c r="AZ892"/>
      <c r="BA892"/>
      <c r="BB892"/>
      <c r="BC892"/>
      <c r="BD892"/>
      <c r="BE892"/>
      <c r="BF892"/>
      <c r="BG892"/>
    </row>
    <row r="893" spans="2:59" x14ac:dyDescent="0.25">
      <c r="B893" s="22"/>
      <c r="C893" s="23"/>
      <c r="E893" s="23"/>
      <c r="F893" s="24"/>
      <c r="G893" s="2"/>
      <c r="H893" s="10" t="e">
        <f>_xlfn.XLOOKUP(F893,Viloyatlar24[RegionName],Viloyatlar24[RegionId])</f>
        <v>#N/A</v>
      </c>
      <c r="I893" s="10" t="e">
        <f>_xlfn.XLOOKUP('Кўчмас мулк объектлари'!G893,Tumanlar23[DistrictName],Tumanlar23[DistrictId])</f>
        <v>#N/A</v>
      </c>
      <c r="K893" s="24"/>
      <c r="L893" s="10" t="e">
        <f>_xlfn.XLOOKUP(K893,Ташкилотлар39[Ташкилотлар],Ташкилотлар39[TashklilotID])</f>
        <v>#N/A</v>
      </c>
      <c r="M893" s="26"/>
      <c r="N893" s="26"/>
      <c r="O893" s="24"/>
      <c r="P893" s="2"/>
      <c r="Q893" s="26"/>
      <c r="R893" s="26"/>
      <c r="S893" s="26"/>
      <c r="T893" s="26"/>
      <c r="U893" s="24"/>
      <c r="V893" s="10" t="e">
        <f>_xlfn.XLOOKUP(U893,Таклифлар37[Таклифлар],Таклифлар37[TaklifID])</f>
        <v>#N/A</v>
      </c>
      <c r="W893" s="24"/>
      <c r="X893" s="23"/>
      <c r="Y893" s="7"/>
      <c r="Z893" s="26"/>
      <c r="AB893" s="23"/>
      <c r="AD893" s="2"/>
      <c r="AG893" s="23"/>
      <c r="AI893" s="26"/>
      <c r="AJ893" s="23"/>
      <c r="AM893" s="23"/>
      <c r="AO893" s="32"/>
      <c r="AP893" s="26"/>
      <c r="AR893" s="26"/>
      <c r="AS893" s="27"/>
      <c r="AT893" s="27"/>
      <c r="AU893" s="31"/>
      <c r="AV893" s="24"/>
      <c r="AW893"/>
      <c r="AX893"/>
      <c r="AY893"/>
      <c r="AZ893"/>
      <c r="BA893"/>
      <c r="BB893"/>
      <c r="BC893"/>
      <c r="BD893"/>
      <c r="BE893"/>
      <c r="BF893"/>
      <c r="BG893"/>
    </row>
    <row r="894" spans="2:59" x14ac:dyDescent="0.25">
      <c r="B894" s="22"/>
      <c r="C894" s="23"/>
      <c r="E894" s="23"/>
      <c r="F894" s="24"/>
      <c r="G894" s="2"/>
      <c r="H894" s="10" t="e">
        <f>_xlfn.XLOOKUP(F894,Viloyatlar24[RegionName],Viloyatlar24[RegionId])</f>
        <v>#N/A</v>
      </c>
      <c r="I894" s="10" t="e">
        <f>_xlfn.XLOOKUP('Кўчмас мулк объектлари'!G894,Tumanlar23[DistrictName],Tumanlar23[DistrictId])</f>
        <v>#N/A</v>
      </c>
      <c r="K894" s="24"/>
      <c r="L894" s="10" t="e">
        <f>_xlfn.XLOOKUP(K894,Ташкилотлар39[Ташкилотлар],Ташкилотлар39[TashklilotID])</f>
        <v>#N/A</v>
      </c>
      <c r="M894" s="26"/>
      <c r="N894" s="26"/>
      <c r="O894" s="24"/>
      <c r="P894" s="2"/>
      <c r="Q894" s="26"/>
      <c r="R894" s="26"/>
      <c r="S894" s="26"/>
      <c r="T894" s="26"/>
      <c r="U894" s="24"/>
      <c r="V894" s="10" t="e">
        <f>_xlfn.XLOOKUP(U894,Таклифлар37[Таклифлар],Таклифлар37[TaklifID])</f>
        <v>#N/A</v>
      </c>
      <c r="W894" s="24"/>
      <c r="X894" s="23"/>
      <c r="Y894" s="7"/>
      <c r="Z894" s="26"/>
      <c r="AB894" s="23"/>
      <c r="AD894" s="2"/>
      <c r="AG894" s="23"/>
      <c r="AI894" s="26"/>
      <c r="AJ894" s="23"/>
      <c r="AM894" s="23"/>
      <c r="AO894" s="32"/>
      <c r="AP894" s="26"/>
      <c r="AR894" s="26"/>
      <c r="AS894" s="27"/>
      <c r="AT894" s="27"/>
      <c r="AU894" s="31"/>
      <c r="AV894" s="24"/>
      <c r="AW894"/>
      <c r="AX894"/>
      <c r="AY894"/>
      <c r="AZ894"/>
      <c r="BA894"/>
      <c r="BB894"/>
      <c r="BC894"/>
      <c r="BD894"/>
      <c r="BE894"/>
      <c r="BF894"/>
      <c r="BG894"/>
    </row>
    <row r="895" spans="2:59" x14ac:dyDescent="0.25">
      <c r="B895" s="22"/>
      <c r="C895" s="23"/>
      <c r="E895" s="23"/>
      <c r="F895" s="24"/>
      <c r="G895" s="2"/>
      <c r="H895" s="10" t="e">
        <f>_xlfn.XLOOKUP(F895,Viloyatlar24[RegionName],Viloyatlar24[RegionId])</f>
        <v>#N/A</v>
      </c>
      <c r="I895" s="10" t="e">
        <f>_xlfn.XLOOKUP('Кўчмас мулк объектлари'!G895,Tumanlar23[DistrictName],Tumanlar23[DistrictId])</f>
        <v>#N/A</v>
      </c>
      <c r="K895" s="24"/>
      <c r="L895" s="10" t="e">
        <f>_xlfn.XLOOKUP(K895,Ташкилотлар39[Ташкилотлар],Ташкилотлар39[TashklilotID])</f>
        <v>#N/A</v>
      </c>
      <c r="M895" s="26"/>
      <c r="N895" s="26"/>
      <c r="O895" s="24"/>
      <c r="P895" s="2"/>
      <c r="Q895" s="26"/>
      <c r="R895" s="26"/>
      <c r="S895" s="26"/>
      <c r="T895" s="26"/>
      <c r="U895" s="24"/>
      <c r="V895" s="10" t="e">
        <f>_xlfn.XLOOKUP(U895,Таклифлар37[Таклифлар],Таклифлар37[TaklifID])</f>
        <v>#N/A</v>
      </c>
      <c r="W895" s="24"/>
      <c r="X895" s="23"/>
      <c r="Y895" s="7"/>
      <c r="Z895" s="26"/>
      <c r="AB895" s="23"/>
      <c r="AD895" s="2"/>
      <c r="AG895" s="23"/>
      <c r="AI895" s="26"/>
      <c r="AJ895" s="23"/>
      <c r="AM895" s="23"/>
      <c r="AO895" s="32"/>
      <c r="AP895" s="26"/>
      <c r="AR895" s="26"/>
      <c r="AS895" s="27"/>
      <c r="AT895" s="27"/>
      <c r="AU895" s="31"/>
      <c r="AV895" s="24"/>
      <c r="AW895"/>
      <c r="AX895"/>
      <c r="AY895"/>
      <c r="AZ895"/>
      <c r="BA895"/>
      <c r="BB895"/>
      <c r="BC895"/>
      <c r="BD895"/>
      <c r="BE895"/>
      <c r="BF895"/>
      <c r="BG895"/>
    </row>
    <row r="896" spans="2:59" x14ac:dyDescent="0.25">
      <c r="B896" s="22"/>
      <c r="C896" s="23"/>
      <c r="E896" s="23"/>
      <c r="F896" s="24"/>
      <c r="G896" s="2"/>
      <c r="H896" s="10" t="e">
        <f>_xlfn.XLOOKUP(F896,Viloyatlar24[RegionName],Viloyatlar24[RegionId])</f>
        <v>#N/A</v>
      </c>
      <c r="I896" s="10" t="e">
        <f>_xlfn.XLOOKUP('Кўчмас мулк объектлари'!G896,Tumanlar23[DistrictName],Tumanlar23[DistrictId])</f>
        <v>#N/A</v>
      </c>
      <c r="K896" s="24"/>
      <c r="L896" s="10" t="e">
        <f>_xlfn.XLOOKUP(K896,Ташкилотлар39[Ташкилотлар],Ташкилотлар39[TashklilotID])</f>
        <v>#N/A</v>
      </c>
      <c r="M896" s="26"/>
      <c r="N896" s="26"/>
      <c r="O896" s="24"/>
      <c r="P896" s="2"/>
      <c r="Q896" s="26"/>
      <c r="R896" s="26"/>
      <c r="S896" s="26"/>
      <c r="T896" s="26"/>
      <c r="U896" s="24"/>
      <c r="V896" s="10" t="e">
        <f>_xlfn.XLOOKUP(U896,Таклифлар37[Таклифлар],Таклифлар37[TaklifID])</f>
        <v>#N/A</v>
      </c>
      <c r="W896" s="24"/>
      <c r="X896" s="23"/>
      <c r="Y896" s="7"/>
      <c r="Z896" s="26"/>
      <c r="AB896" s="23"/>
      <c r="AD896" s="2"/>
      <c r="AG896" s="23"/>
      <c r="AI896" s="26"/>
      <c r="AJ896" s="23"/>
      <c r="AM896" s="23"/>
      <c r="AO896" s="32"/>
      <c r="AP896" s="26"/>
      <c r="AR896" s="26"/>
      <c r="AS896" s="27"/>
      <c r="AT896" s="27"/>
      <c r="AU896" s="31"/>
      <c r="AV896" s="24"/>
      <c r="AW896"/>
      <c r="AX896"/>
      <c r="AY896"/>
      <c r="AZ896"/>
      <c r="BA896"/>
      <c r="BB896"/>
      <c r="BC896"/>
      <c r="BD896"/>
      <c r="BE896"/>
      <c r="BF896"/>
      <c r="BG896"/>
    </row>
    <row r="897" spans="2:59" x14ac:dyDescent="0.25">
      <c r="B897" s="22"/>
      <c r="C897" s="23"/>
      <c r="E897" s="23"/>
      <c r="F897" s="24"/>
      <c r="G897" s="2"/>
      <c r="H897" s="10" t="e">
        <f>_xlfn.XLOOKUP(F897,Viloyatlar24[RegionName],Viloyatlar24[RegionId])</f>
        <v>#N/A</v>
      </c>
      <c r="I897" s="10" t="e">
        <f>_xlfn.XLOOKUP('Кўчмас мулк объектлари'!G897,Tumanlar23[DistrictName],Tumanlar23[DistrictId])</f>
        <v>#N/A</v>
      </c>
      <c r="K897" s="24"/>
      <c r="L897" s="10" t="e">
        <f>_xlfn.XLOOKUP(K897,Ташкилотлар39[Ташкилотлар],Ташкилотлар39[TashklilotID])</f>
        <v>#N/A</v>
      </c>
      <c r="M897" s="26"/>
      <c r="N897" s="26"/>
      <c r="O897" s="24"/>
      <c r="P897" s="2"/>
      <c r="Q897" s="26"/>
      <c r="R897" s="26"/>
      <c r="S897" s="26"/>
      <c r="T897" s="26"/>
      <c r="U897" s="24"/>
      <c r="V897" s="10" t="e">
        <f>_xlfn.XLOOKUP(U897,Таклифлар37[Таклифлар],Таклифлар37[TaklifID])</f>
        <v>#N/A</v>
      </c>
      <c r="W897" s="24"/>
      <c r="X897" s="23"/>
      <c r="Y897" s="7"/>
      <c r="Z897" s="26"/>
      <c r="AB897" s="23"/>
      <c r="AD897" s="2"/>
      <c r="AG897" s="23"/>
      <c r="AI897" s="26"/>
      <c r="AJ897" s="23"/>
      <c r="AM897" s="23"/>
      <c r="AO897" s="32"/>
      <c r="AP897" s="26"/>
      <c r="AR897" s="26"/>
      <c r="AS897" s="27"/>
      <c r="AT897" s="27"/>
      <c r="AU897" s="31"/>
      <c r="AV897" s="24"/>
      <c r="AW897"/>
      <c r="AX897"/>
      <c r="AY897"/>
      <c r="AZ897"/>
      <c r="BA897"/>
      <c r="BB897"/>
      <c r="BC897"/>
      <c r="BD897"/>
      <c r="BE897"/>
      <c r="BF897"/>
      <c r="BG897"/>
    </row>
    <row r="898" spans="2:59" x14ac:dyDescent="0.25">
      <c r="B898" s="22"/>
      <c r="C898" s="23"/>
      <c r="E898" s="23"/>
      <c r="F898" s="24"/>
      <c r="G898" s="2"/>
      <c r="H898" s="10" t="e">
        <f>_xlfn.XLOOKUP(F898,Viloyatlar24[RegionName],Viloyatlar24[RegionId])</f>
        <v>#N/A</v>
      </c>
      <c r="I898" s="10" t="e">
        <f>_xlfn.XLOOKUP('Кўчмас мулк объектлари'!G898,Tumanlar23[DistrictName],Tumanlar23[DistrictId])</f>
        <v>#N/A</v>
      </c>
      <c r="K898" s="24"/>
      <c r="L898" s="10" t="e">
        <f>_xlfn.XLOOKUP(K898,Ташкилотлар39[Ташкилотлар],Ташкилотлар39[TashklilotID])</f>
        <v>#N/A</v>
      </c>
      <c r="M898" s="26"/>
      <c r="N898" s="26"/>
      <c r="O898" s="24"/>
      <c r="P898" s="2"/>
      <c r="Q898" s="26"/>
      <c r="R898" s="26"/>
      <c r="S898" s="26"/>
      <c r="T898" s="26"/>
      <c r="U898" s="24"/>
      <c r="V898" s="10" t="e">
        <f>_xlfn.XLOOKUP(U898,Таклифлар37[Таклифлар],Таклифлар37[TaklifID])</f>
        <v>#N/A</v>
      </c>
      <c r="W898" s="24"/>
      <c r="X898" s="23"/>
      <c r="Y898" s="7"/>
      <c r="Z898" s="26"/>
      <c r="AB898" s="23"/>
      <c r="AD898" s="2"/>
      <c r="AG898" s="23"/>
      <c r="AI898" s="26"/>
      <c r="AJ898" s="23"/>
      <c r="AM898" s="23"/>
      <c r="AO898" s="32"/>
      <c r="AP898" s="26"/>
      <c r="AR898" s="26"/>
      <c r="AS898" s="27"/>
      <c r="AT898" s="27"/>
      <c r="AU898" s="31"/>
      <c r="AV898" s="24"/>
      <c r="AW898"/>
      <c r="AX898"/>
      <c r="AY898"/>
      <c r="AZ898"/>
      <c r="BA898"/>
      <c r="BB898"/>
      <c r="BC898"/>
      <c r="BD898"/>
      <c r="BE898"/>
      <c r="BF898"/>
      <c r="BG898"/>
    </row>
    <row r="899" spans="2:59" x14ac:dyDescent="0.25">
      <c r="B899" s="22"/>
      <c r="C899" s="23"/>
      <c r="E899" s="23"/>
      <c r="F899" s="24"/>
      <c r="G899" s="2"/>
      <c r="H899" s="10" t="e">
        <f>_xlfn.XLOOKUP(F899,Viloyatlar24[RegionName],Viloyatlar24[RegionId])</f>
        <v>#N/A</v>
      </c>
      <c r="I899" s="10" t="e">
        <f>_xlfn.XLOOKUP('Кўчмас мулк объектлари'!G899,Tumanlar23[DistrictName],Tumanlar23[DistrictId])</f>
        <v>#N/A</v>
      </c>
      <c r="K899" s="24"/>
      <c r="L899" s="10" t="e">
        <f>_xlfn.XLOOKUP(K899,Ташкилотлар39[Ташкилотлар],Ташкилотлар39[TashklilotID])</f>
        <v>#N/A</v>
      </c>
      <c r="M899" s="26"/>
      <c r="N899" s="26"/>
      <c r="O899" s="24"/>
      <c r="P899" s="2"/>
      <c r="Q899" s="26"/>
      <c r="R899" s="26"/>
      <c r="S899" s="26"/>
      <c r="T899" s="26"/>
      <c r="U899" s="24"/>
      <c r="V899" s="10" t="e">
        <f>_xlfn.XLOOKUP(U899,Таклифлар37[Таклифлар],Таклифлар37[TaklifID])</f>
        <v>#N/A</v>
      </c>
      <c r="W899" s="24"/>
      <c r="X899" s="23"/>
      <c r="Y899" s="7"/>
      <c r="Z899" s="26"/>
      <c r="AB899" s="23"/>
      <c r="AD899" s="2"/>
      <c r="AG899" s="23"/>
      <c r="AI899" s="26"/>
      <c r="AJ899" s="23"/>
      <c r="AM899" s="23"/>
      <c r="AO899" s="32"/>
      <c r="AP899" s="26"/>
      <c r="AR899" s="26"/>
      <c r="AS899" s="27"/>
      <c r="AT899" s="27"/>
      <c r="AU899" s="31"/>
      <c r="AV899" s="24"/>
      <c r="AW899"/>
      <c r="AX899"/>
      <c r="AY899"/>
      <c r="AZ899"/>
      <c r="BA899"/>
      <c r="BB899"/>
      <c r="BC899"/>
      <c r="BD899"/>
      <c r="BE899"/>
      <c r="BF899"/>
      <c r="BG899"/>
    </row>
    <row r="900" spans="2:59" x14ac:dyDescent="0.25">
      <c r="B900" s="22"/>
      <c r="C900" s="23"/>
      <c r="E900" s="23"/>
      <c r="F900" s="24"/>
      <c r="G900" s="2"/>
      <c r="H900" s="10" t="e">
        <f>_xlfn.XLOOKUP(F900,Viloyatlar24[RegionName],Viloyatlar24[RegionId])</f>
        <v>#N/A</v>
      </c>
      <c r="I900" s="10" t="e">
        <f>_xlfn.XLOOKUP('Кўчмас мулк объектлари'!G900,Tumanlar23[DistrictName],Tumanlar23[DistrictId])</f>
        <v>#N/A</v>
      </c>
      <c r="K900" s="24"/>
      <c r="L900" s="10" t="e">
        <f>_xlfn.XLOOKUP(K900,Ташкилотлар39[Ташкилотлар],Ташкилотлар39[TashklilotID])</f>
        <v>#N/A</v>
      </c>
      <c r="M900" s="26"/>
      <c r="N900" s="26"/>
      <c r="O900" s="24"/>
      <c r="P900" s="2"/>
      <c r="Q900" s="26"/>
      <c r="R900" s="26"/>
      <c r="S900" s="26"/>
      <c r="T900" s="26"/>
      <c r="U900" s="24"/>
      <c r="V900" s="10" t="e">
        <f>_xlfn.XLOOKUP(U900,Таклифлар37[Таклифлар],Таклифлар37[TaklifID])</f>
        <v>#N/A</v>
      </c>
      <c r="W900" s="24"/>
      <c r="X900" s="23"/>
      <c r="Y900" s="7"/>
      <c r="Z900" s="26"/>
      <c r="AB900" s="23"/>
      <c r="AD900" s="2"/>
      <c r="AG900" s="23"/>
      <c r="AI900" s="26"/>
      <c r="AJ900" s="23"/>
      <c r="AM900" s="23"/>
      <c r="AO900" s="32"/>
      <c r="AP900" s="26"/>
      <c r="AR900" s="26"/>
      <c r="AS900" s="27"/>
      <c r="AT900" s="27"/>
      <c r="AU900" s="31"/>
      <c r="AV900" s="24"/>
      <c r="AW900"/>
      <c r="AX900"/>
      <c r="AY900"/>
      <c r="AZ900"/>
      <c r="BA900"/>
      <c r="BB900"/>
      <c r="BC900"/>
      <c r="BD900"/>
      <c r="BE900"/>
      <c r="BF900"/>
      <c r="BG900"/>
    </row>
    <row r="901" spans="2:59" x14ac:dyDescent="0.25">
      <c r="B901" s="22"/>
      <c r="C901" s="23"/>
      <c r="E901" s="23"/>
      <c r="F901" s="24"/>
      <c r="G901" s="2"/>
      <c r="H901" s="10" t="e">
        <f>_xlfn.XLOOKUP(F901,Viloyatlar24[RegionName],Viloyatlar24[RegionId])</f>
        <v>#N/A</v>
      </c>
      <c r="I901" s="10" t="e">
        <f>_xlfn.XLOOKUP('Кўчмас мулк объектлари'!G901,Tumanlar23[DistrictName],Tumanlar23[DistrictId])</f>
        <v>#N/A</v>
      </c>
      <c r="K901" s="24"/>
      <c r="L901" s="10" t="e">
        <f>_xlfn.XLOOKUP(K901,Ташкилотлар39[Ташкилотлар],Ташкилотлар39[TashklilotID])</f>
        <v>#N/A</v>
      </c>
      <c r="M901" s="26"/>
      <c r="N901" s="26"/>
      <c r="O901" s="24"/>
      <c r="P901" s="2"/>
      <c r="Q901" s="26"/>
      <c r="R901" s="26"/>
      <c r="S901" s="26"/>
      <c r="T901" s="26"/>
      <c r="U901" s="24"/>
      <c r="V901" s="10" t="e">
        <f>_xlfn.XLOOKUP(U901,Таклифлар37[Таклифлар],Таклифлар37[TaklifID])</f>
        <v>#N/A</v>
      </c>
      <c r="W901" s="24"/>
      <c r="X901" s="23"/>
      <c r="Y901" s="7"/>
      <c r="Z901" s="26"/>
      <c r="AB901" s="23"/>
      <c r="AD901" s="2"/>
      <c r="AG901" s="23"/>
      <c r="AI901" s="26"/>
      <c r="AJ901" s="23"/>
      <c r="AM901" s="23"/>
      <c r="AO901" s="32"/>
      <c r="AP901" s="26"/>
      <c r="AR901" s="26"/>
      <c r="AS901" s="27"/>
      <c r="AT901" s="27"/>
      <c r="AU901" s="31"/>
      <c r="AV901" s="24"/>
      <c r="AW901"/>
      <c r="AX901"/>
      <c r="AY901"/>
      <c r="AZ901"/>
      <c r="BA901"/>
      <c r="BB901"/>
      <c r="BC901"/>
      <c r="BD901"/>
      <c r="BE901"/>
      <c r="BF901"/>
      <c r="BG901"/>
    </row>
    <row r="902" spans="2:59" x14ac:dyDescent="0.25">
      <c r="B902" s="22"/>
      <c r="C902" s="23"/>
      <c r="E902" s="23"/>
      <c r="F902" s="24"/>
      <c r="G902" s="2"/>
      <c r="H902" s="10" t="e">
        <f>_xlfn.XLOOKUP(F902,Viloyatlar24[RegionName],Viloyatlar24[RegionId])</f>
        <v>#N/A</v>
      </c>
      <c r="I902" s="10" t="e">
        <f>_xlfn.XLOOKUP('Кўчмас мулк объектлари'!G902,Tumanlar23[DistrictName],Tumanlar23[DistrictId])</f>
        <v>#N/A</v>
      </c>
      <c r="K902" s="24"/>
      <c r="L902" s="10" t="e">
        <f>_xlfn.XLOOKUP(K902,Ташкилотлар39[Ташкилотлар],Ташкилотлар39[TashklilotID])</f>
        <v>#N/A</v>
      </c>
      <c r="M902" s="26"/>
      <c r="N902" s="26"/>
      <c r="O902" s="24"/>
      <c r="P902" s="2"/>
      <c r="Q902" s="26"/>
      <c r="R902" s="26"/>
      <c r="S902" s="26"/>
      <c r="T902" s="26"/>
      <c r="U902" s="24"/>
      <c r="V902" s="10" t="e">
        <f>_xlfn.XLOOKUP(U902,Таклифлар37[Таклифлар],Таклифлар37[TaklifID])</f>
        <v>#N/A</v>
      </c>
      <c r="W902" s="24"/>
      <c r="X902" s="23"/>
      <c r="Y902" s="7"/>
      <c r="Z902" s="26"/>
      <c r="AB902" s="23"/>
      <c r="AD902" s="2"/>
      <c r="AG902" s="23"/>
      <c r="AI902" s="26"/>
      <c r="AJ902" s="23"/>
      <c r="AM902" s="23"/>
      <c r="AO902" s="32"/>
      <c r="AP902" s="26"/>
      <c r="AR902" s="26"/>
      <c r="AS902" s="27"/>
      <c r="AT902" s="27"/>
      <c r="AU902" s="31"/>
      <c r="AV902" s="24"/>
      <c r="AW902"/>
      <c r="AX902"/>
      <c r="AY902"/>
      <c r="AZ902"/>
      <c r="BA902"/>
      <c r="BB902"/>
      <c r="BC902"/>
      <c r="BD902"/>
      <c r="BE902"/>
      <c r="BF902"/>
      <c r="BG902"/>
    </row>
    <row r="903" spans="2:59" x14ac:dyDescent="0.25">
      <c r="B903" s="22"/>
      <c r="C903" s="23"/>
      <c r="E903" s="23"/>
      <c r="F903" s="24"/>
      <c r="G903" s="2"/>
      <c r="H903" s="10" t="e">
        <f>_xlfn.XLOOKUP(F903,Viloyatlar24[RegionName],Viloyatlar24[RegionId])</f>
        <v>#N/A</v>
      </c>
      <c r="I903" s="10" t="e">
        <f>_xlfn.XLOOKUP('Кўчмас мулк объектлари'!G903,Tumanlar23[DistrictName],Tumanlar23[DistrictId])</f>
        <v>#N/A</v>
      </c>
      <c r="K903" s="24"/>
      <c r="L903" s="10" t="e">
        <f>_xlfn.XLOOKUP(K903,Ташкилотлар39[Ташкилотлар],Ташкилотлар39[TashklilotID])</f>
        <v>#N/A</v>
      </c>
      <c r="M903" s="26"/>
      <c r="N903" s="26"/>
      <c r="O903" s="24"/>
      <c r="P903" s="2"/>
      <c r="Q903" s="26"/>
      <c r="R903" s="26"/>
      <c r="S903" s="26"/>
      <c r="T903" s="26"/>
      <c r="U903" s="24"/>
      <c r="V903" s="10" t="e">
        <f>_xlfn.XLOOKUP(U903,Таклифлар37[Таклифлар],Таклифлар37[TaklifID])</f>
        <v>#N/A</v>
      </c>
      <c r="W903" s="24"/>
      <c r="X903" s="23"/>
      <c r="Y903" s="7"/>
      <c r="Z903" s="26"/>
      <c r="AB903" s="23"/>
      <c r="AD903" s="2"/>
      <c r="AG903" s="23"/>
      <c r="AI903" s="26"/>
      <c r="AJ903" s="23"/>
      <c r="AM903" s="23"/>
      <c r="AO903" s="32"/>
      <c r="AP903" s="26"/>
      <c r="AR903" s="26"/>
      <c r="AS903" s="27"/>
      <c r="AT903" s="27"/>
      <c r="AU903" s="31"/>
      <c r="AV903" s="24"/>
      <c r="AW903"/>
      <c r="AX903"/>
      <c r="AY903"/>
      <c r="AZ903"/>
      <c r="BA903"/>
      <c r="BB903"/>
      <c r="BC903"/>
      <c r="BD903"/>
      <c r="BE903"/>
      <c r="BF903"/>
      <c r="BG903"/>
    </row>
    <row r="904" spans="2:59" x14ac:dyDescent="0.25">
      <c r="B904" s="22"/>
      <c r="C904" s="23"/>
      <c r="E904" s="23"/>
      <c r="F904" s="24"/>
      <c r="G904" s="2"/>
      <c r="H904" s="10" t="e">
        <f>_xlfn.XLOOKUP(F904,Viloyatlar24[RegionName],Viloyatlar24[RegionId])</f>
        <v>#N/A</v>
      </c>
      <c r="I904" s="10" t="e">
        <f>_xlfn.XLOOKUP('Кўчмас мулк объектлари'!G904,Tumanlar23[DistrictName],Tumanlar23[DistrictId])</f>
        <v>#N/A</v>
      </c>
      <c r="K904" s="24"/>
      <c r="L904" s="10" t="e">
        <f>_xlfn.XLOOKUP(K904,Ташкилотлар39[Ташкилотлар],Ташкилотлар39[TashklilotID])</f>
        <v>#N/A</v>
      </c>
      <c r="M904" s="26"/>
      <c r="N904" s="26"/>
      <c r="O904" s="24"/>
      <c r="P904" s="2"/>
      <c r="Q904" s="26"/>
      <c r="R904" s="26"/>
      <c r="S904" s="26"/>
      <c r="T904" s="26"/>
      <c r="U904" s="24"/>
      <c r="V904" s="10" t="e">
        <f>_xlfn.XLOOKUP(U904,Таклифлар37[Таклифлар],Таклифлар37[TaklifID])</f>
        <v>#N/A</v>
      </c>
      <c r="W904" s="24"/>
      <c r="X904" s="23"/>
      <c r="Y904" s="7"/>
      <c r="Z904" s="26"/>
      <c r="AB904" s="23"/>
      <c r="AD904" s="2"/>
      <c r="AG904" s="23"/>
      <c r="AI904" s="26"/>
      <c r="AJ904" s="23"/>
      <c r="AM904" s="23"/>
      <c r="AO904" s="32"/>
      <c r="AP904" s="26"/>
      <c r="AR904" s="26"/>
      <c r="AS904" s="27"/>
      <c r="AT904" s="27"/>
      <c r="AU904" s="31"/>
      <c r="AV904" s="24"/>
      <c r="AW904"/>
      <c r="AX904"/>
      <c r="AY904"/>
      <c r="AZ904"/>
      <c r="BA904"/>
      <c r="BB904"/>
      <c r="BC904"/>
      <c r="BD904"/>
      <c r="BE904"/>
      <c r="BF904"/>
      <c r="BG904"/>
    </row>
    <row r="905" spans="2:59" x14ac:dyDescent="0.25">
      <c r="B905" s="22"/>
      <c r="C905" s="23"/>
      <c r="E905" s="23"/>
      <c r="F905" s="24"/>
      <c r="G905" s="2"/>
      <c r="H905" s="10" t="e">
        <f>_xlfn.XLOOKUP(F905,Viloyatlar24[RegionName],Viloyatlar24[RegionId])</f>
        <v>#N/A</v>
      </c>
      <c r="I905" s="10" t="e">
        <f>_xlfn.XLOOKUP('Кўчмас мулк объектлари'!G905,Tumanlar23[DistrictName],Tumanlar23[DistrictId])</f>
        <v>#N/A</v>
      </c>
      <c r="K905" s="24"/>
      <c r="L905" s="10" t="e">
        <f>_xlfn.XLOOKUP(K905,Ташкилотлар39[Ташкилотлар],Ташкилотлар39[TashklilotID])</f>
        <v>#N/A</v>
      </c>
      <c r="M905" s="26"/>
      <c r="N905" s="26"/>
      <c r="O905" s="24"/>
      <c r="P905" s="2"/>
      <c r="Q905" s="26"/>
      <c r="R905" s="26"/>
      <c r="S905" s="26"/>
      <c r="T905" s="26"/>
      <c r="U905" s="24"/>
      <c r="V905" s="10" t="e">
        <f>_xlfn.XLOOKUP(U905,Таклифлар37[Таклифлар],Таклифлар37[TaklifID])</f>
        <v>#N/A</v>
      </c>
      <c r="W905" s="24"/>
      <c r="X905" s="23"/>
      <c r="Y905" s="7"/>
      <c r="Z905" s="26"/>
      <c r="AB905" s="23"/>
      <c r="AD905" s="2"/>
      <c r="AG905" s="23"/>
      <c r="AI905" s="26"/>
      <c r="AJ905" s="23"/>
      <c r="AM905" s="23"/>
      <c r="AO905" s="32"/>
      <c r="AP905" s="26"/>
      <c r="AR905" s="26"/>
      <c r="AS905" s="27"/>
      <c r="AT905" s="27"/>
      <c r="AU905" s="31"/>
      <c r="AV905" s="24"/>
      <c r="AW905"/>
      <c r="AX905"/>
      <c r="AY905"/>
      <c r="AZ905"/>
      <c r="BA905"/>
      <c r="BB905"/>
      <c r="BC905"/>
      <c r="BD905"/>
      <c r="BE905"/>
      <c r="BF905"/>
      <c r="BG905"/>
    </row>
    <row r="906" spans="2:59" x14ac:dyDescent="0.25">
      <c r="B906" s="22"/>
      <c r="C906" s="23"/>
      <c r="E906" s="23"/>
      <c r="F906" s="24"/>
      <c r="G906" s="2"/>
      <c r="H906" s="10" t="e">
        <f>_xlfn.XLOOKUP(F906,Viloyatlar24[RegionName],Viloyatlar24[RegionId])</f>
        <v>#N/A</v>
      </c>
      <c r="I906" s="10" t="e">
        <f>_xlfn.XLOOKUP('Кўчмас мулк объектлари'!G906,Tumanlar23[DistrictName],Tumanlar23[DistrictId])</f>
        <v>#N/A</v>
      </c>
      <c r="K906" s="24"/>
      <c r="L906" s="10" t="e">
        <f>_xlfn.XLOOKUP(K906,Ташкилотлар39[Ташкилотлар],Ташкилотлар39[TashklilotID])</f>
        <v>#N/A</v>
      </c>
      <c r="M906" s="26"/>
      <c r="N906" s="26"/>
      <c r="O906" s="24"/>
      <c r="P906" s="2"/>
      <c r="Q906" s="26"/>
      <c r="R906" s="26"/>
      <c r="S906" s="26"/>
      <c r="T906" s="26"/>
      <c r="U906" s="24"/>
      <c r="V906" s="10" t="e">
        <f>_xlfn.XLOOKUP(U906,Таклифлар37[Таклифлар],Таклифлар37[TaklifID])</f>
        <v>#N/A</v>
      </c>
      <c r="W906" s="24"/>
      <c r="X906" s="23"/>
      <c r="Y906" s="7"/>
      <c r="Z906" s="26"/>
      <c r="AB906" s="23"/>
      <c r="AD906" s="2"/>
      <c r="AG906" s="23"/>
      <c r="AI906" s="26"/>
      <c r="AJ906" s="23"/>
      <c r="AM906" s="23"/>
      <c r="AO906" s="32"/>
      <c r="AP906" s="26"/>
      <c r="AR906" s="26"/>
      <c r="AS906" s="27"/>
      <c r="AT906" s="27"/>
      <c r="AU906" s="31"/>
      <c r="AV906" s="24"/>
      <c r="AW906"/>
      <c r="AX906"/>
      <c r="AY906"/>
      <c r="AZ906"/>
      <c r="BA906"/>
      <c r="BB906"/>
      <c r="BC906"/>
      <c r="BD906"/>
      <c r="BE906"/>
      <c r="BF906"/>
      <c r="BG906"/>
    </row>
    <row r="907" spans="2:59" x14ac:dyDescent="0.25">
      <c r="B907" s="22"/>
      <c r="C907" s="23"/>
      <c r="E907" s="23"/>
      <c r="F907" s="24"/>
      <c r="G907" s="2"/>
      <c r="H907" s="10" t="e">
        <f>_xlfn.XLOOKUP(F907,Viloyatlar24[RegionName],Viloyatlar24[RegionId])</f>
        <v>#N/A</v>
      </c>
      <c r="I907" s="10" t="e">
        <f>_xlfn.XLOOKUP('Кўчмас мулк объектлари'!G907,Tumanlar23[DistrictName],Tumanlar23[DistrictId])</f>
        <v>#N/A</v>
      </c>
      <c r="K907" s="24"/>
      <c r="L907" s="10" t="e">
        <f>_xlfn.XLOOKUP(K907,Ташкилотлар39[Ташкилотлар],Ташкилотлар39[TashklilotID])</f>
        <v>#N/A</v>
      </c>
      <c r="M907" s="26"/>
      <c r="N907" s="26"/>
      <c r="O907" s="24"/>
      <c r="P907" s="2"/>
      <c r="Q907" s="26"/>
      <c r="R907" s="26"/>
      <c r="S907" s="26"/>
      <c r="T907" s="26"/>
      <c r="U907" s="24"/>
      <c r="V907" s="10" t="e">
        <f>_xlfn.XLOOKUP(U907,Таклифлар37[Таклифлар],Таклифлар37[TaklifID])</f>
        <v>#N/A</v>
      </c>
      <c r="W907" s="24"/>
      <c r="X907" s="23"/>
      <c r="Y907" s="7"/>
      <c r="Z907" s="26"/>
      <c r="AB907" s="23"/>
      <c r="AD907" s="2"/>
      <c r="AG907" s="23"/>
      <c r="AI907" s="26"/>
      <c r="AJ907" s="23"/>
      <c r="AM907" s="23"/>
      <c r="AO907" s="32"/>
      <c r="AP907" s="26"/>
      <c r="AR907" s="26"/>
      <c r="AS907" s="27"/>
      <c r="AT907" s="27"/>
      <c r="AU907" s="31"/>
      <c r="AV907" s="24"/>
      <c r="AW907"/>
      <c r="AX907"/>
      <c r="AY907"/>
      <c r="AZ907"/>
      <c r="BA907"/>
      <c r="BB907"/>
      <c r="BC907"/>
      <c r="BD907"/>
      <c r="BE907"/>
      <c r="BF907"/>
      <c r="BG907"/>
    </row>
    <row r="908" spans="2:59" x14ac:dyDescent="0.25">
      <c r="B908" s="22"/>
      <c r="C908" s="23"/>
      <c r="E908" s="23"/>
      <c r="F908" s="24"/>
      <c r="G908" s="2"/>
      <c r="H908" s="10" t="e">
        <f>_xlfn.XLOOKUP(F908,Viloyatlar24[RegionName],Viloyatlar24[RegionId])</f>
        <v>#N/A</v>
      </c>
      <c r="I908" s="10" t="e">
        <f>_xlfn.XLOOKUP('Кўчмас мулк объектлари'!G908,Tumanlar23[DistrictName],Tumanlar23[DistrictId])</f>
        <v>#N/A</v>
      </c>
      <c r="K908" s="24"/>
      <c r="L908" s="10" t="e">
        <f>_xlfn.XLOOKUP(K908,Ташкилотлар39[Ташкилотлар],Ташкилотлар39[TashklilotID])</f>
        <v>#N/A</v>
      </c>
      <c r="M908" s="26"/>
      <c r="N908" s="26"/>
      <c r="O908" s="24"/>
      <c r="P908" s="2"/>
      <c r="Q908" s="26"/>
      <c r="R908" s="26"/>
      <c r="S908" s="26"/>
      <c r="T908" s="26"/>
      <c r="U908" s="24"/>
      <c r="V908" s="10" t="e">
        <f>_xlfn.XLOOKUP(U908,Таклифлар37[Таклифлар],Таклифлар37[TaklifID])</f>
        <v>#N/A</v>
      </c>
      <c r="W908" s="24"/>
      <c r="X908" s="23"/>
      <c r="Y908" s="7"/>
      <c r="Z908" s="26"/>
      <c r="AB908" s="23"/>
      <c r="AD908" s="2"/>
      <c r="AG908" s="23"/>
      <c r="AI908" s="26"/>
      <c r="AJ908" s="23"/>
      <c r="AM908" s="23"/>
      <c r="AO908" s="32"/>
      <c r="AP908" s="26"/>
      <c r="AR908" s="26"/>
      <c r="AS908" s="27"/>
      <c r="AT908" s="27"/>
      <c r="AU908" s="31"/>
      <c r="AV908" s="24"/>
      <c r="AW908"/>
      <c r="AX908"/>
      <c r="AY908"/>
      <c r="AZ908"/>
      <c r="BA908"/>
      <c r="BB908"/>
      <c r="BC908"/>
      <c r="BD908"/>
      <c r="BE908"/>
      <c r="BF908"/>
      <c r="BG908"/>
    </row>
    <row r="909" spans="2:59" x14ac:dyDescent="0.25">
      <c r="B909" s="22"/>
      <c r="C909" s="23"/>
      <c r="E909" s="23"/>
      <c r="F909" s="24"/>
      <c r="G909" s="2"/>
      <c r="H909" s="10" t="e">
        <f>_xlfn.XLOOKUP(F909,Viloyatlar24[RegionName],Viloyatlar24[RegionId])</f>
        <v>#N/A</v>
      </c>
      <c r="I909" s="10" t="e">
        <f>_xlfn.XLOOKUP('Кўчмас мулк объектлари'!G909,Tumanlar23[DistrictName],Tumanlar23[DistrictId])</f>
        <v>#N/A</v>
      </c>
      <c r="K909" s="24"/>
      <c r="L909" s="10" t="e">
        <f>_xlfn.XLOOKUP(K909,Ташкилотлар39[Ташкилотлар],Ташкилотлар39[TashklilotID])</f>
        <v>#N/A</v>
      </c>
      <c r="M909" s="26"/>
      <c r="N909" s="26"/>
      <c r="O909" s="24"/>
      <c r="P909" s="2"/>
      <c r="Q909" s="26"/>
      <c r="R909" s="26"/>
      <c r="S909" s="26"/>
      <c r="T909" s="26"/>
      <c r="U909" s="24"/>
      <c r="V909" s="10" t="e">
        <f>_xlfn.XLOOKUP(U909,Таклифлар37[Таклифлар],Таклифлар37[TaklifID])</f>
        <v>#N/A</v>
      </c>
      <c r="W909" s="24"/>
      <c r="X909" s="23"/>
      <c r="Y909" s="7"/>
      <c r="Z909" s="26"/>
      <c r="AB909" s="23"/>
      <c r="AD909" s="2"/>
      <c r="AG909" s="23"/>
      <c r="AI909" s="26"/>
      <c r="AJ909" s="23"/>
      <c r="AM909" s="23"/>
      <c r="AO909" s="32"/>
      <c r="AP909" s="26"/>
      <c r="AR909" s="26"/>
      <c r="AS909" s="27"/>
      <c r="AT909" s="27"/>
      <c r="AU909" s="31"/>
      <c r="AV909" s="24"/>
      <c r="AW909"/>
      <c r="AX909"/>
      <c r="AY909"/>
      <c r="AZ909"/>
      <c r="BA909"/>
      <c r="BB909"/>
      <c r="BC909"/>
      <c r="BD909"/>
      <c r="BE909"/>
      <c r="BF909"/>
      <c r="BG909"/>
    </row>
    <row r="910" spans="2:59" x14ac:dyDescent="0.25">
      <c r="B910" s="22"/>
      <c r="C910" s="23"/>
      <c r="E910" s="23"/>
      <c r="F910" s="24"/>
      <c r="G910" s="2"/>
      <c r="H910" s="10" t="e">
        <f>_xlfn.XLOOKUP(F910,Viloyatlar24[RegionName],Viloyatlar24[RegionId])</f>
        <v>#N/A</v>
      </c>
      <c r="I910" s="10" t="e">
        <f>_xlfn.XLOOKUP('Кўчмас мулк объектлари'!G910,Tumanlar23[DistrictName],Tumanlar23[DistrictId])</f>
        <v>#N/A</v>
      </c>
      <c r="K910" s="24"/>
      <c r="L910" s="10" t="e">
        <f>_xlfn.XLOOKUP(K910,Ташкилотлар39[Ташкилотлар],Ташкилотлар39[TashklilotID])</f>
        <v>#N/A</v>
      </c>
      <c r="M910" s="26"/>
      <c r="N910" s="26"/>
      <c r="O910" s="24"/>
      <c r="P910" s="2"/>
      <c r="Q910" s="26"/>
      <c r="R910" s="26"/>
      <c r="S910" s="26"/>
      <c r="T910" s="26"/>
      <c r="U910" s="24"/>
      <c r="V910" s="10" t="e">
        <f>_xlfn.XLOOKUP(U910,Таклифлар37[Таклифлар],Таклифлар37[TaklifID])</f>
        <v>#N/A</v>
      </c>
      <c r="W910" s="24"/>
      <c r="X910" s="23"/>
      <c r="Y910" s="7"/>
      <c r="Z910" s="26"/>
      <c r="AB910" s="23"/>
      <c r="AD910" s="2"/>
      <c r="AG910" s="23"/>
      <c r="AI910" s="26"/>
      <c r="AJ910" s="23"/>
      <c r="AM910" s="23"/>
      <c r="AO910" s="32"/>
      <c r="AP910" s="26"/>
      <c r="AR910" s="26"/>
      <c r="AS910" s="27"/>
      <c r="AT910" s="27"/>
      <c r="AU910" s="31"/>
      <c r="AV910" s="24"/>
      <c r="AW910"/>
      <c r="AX910"/>
      <c r="AY910"/>
      <c r="AZ910"/>
      <c r="BA910"/>
      <c r="BB910"/>
      <c r="BC910"/>
      <c r="BD910"/>
      <c r="BE910"/>
      <c r="BF910"/>
      <c r="BG910"/>
    </row>
    <row r="911" spans="2:59" x14ac:dyDescent="0.25">
      <c r="B911" s="22"/>
      <c r="C911" s="23"/>
      <c r="E911" s="23"/>
      <c r="F911" s="24"/>
      <c r="G911" s="2"/>
      <c r="H911" s="10" t="e">
        <f>_xlfn.XLOOKUP(F911,Viloyatlar24[RegionName],Viloyatlar24[RegionId])</f>
        <v>#N/A</v>
      </c>
      <c r="I911" s="10" t="e">
        <f>_xlfn.XLOOKUP('Кўчмас мулк объектлари'!G911,Tumanlar23[DistrictName],Tumanlar23[DistrictId])</f>
        <v>#N/A</v>
      </c>
      <c r="K911" s="24"/>
      <c r="L911" s="10" t="e">
        <f>_xlfn.XLOOKUP(K911,Ташкилотлар39[Ташкилотлар],Ташкилотлар39[TashklilotID])</f>
        <v>#N/A</v>
      </c>
      <c r="M911" s="26"/>
      <c r="N911" s="26"/>
      <c r="O911" s="24"/>
      <c r="P911" s="2"/>
      <c r="Q911" s="26"/>
      <c r="R911" s="26"/>
      <c r="S911" s="26"/>
      <c r="T911" s="26"/>
      <c r="U911" s="24"/>
      <c r="V911" s="10" t="e">
        <f>_xlfn.XLOOKUP(U911,Таклифлар37[Таклифлар],Таклифлар37[TaklifID])</f>
        <v>#N/A</v>
      </c>
      <c r="W911" s="24"/>
      <c r="X911" s="23"/>
      <c r="Y911" s="7"/>
      <c r="Z911" s="26"/>
      <c r="AB911" s="23"/>
      <c r="AD911" s="2"/>
      <c r="AG911" s="23"/>
      <c r="AI911" s="26"/>
      <c r="AJ911" s="23"/>
      <c r="AM911" s="23"/>
      <c r="AO911" s="32"/>
      <c r="AP911" s="26"/>
      <c r="AR911" s="26"/>
      <c r="AS911" s="27"/>
      <c r="AT911" s="27"/>
      <c r="AU911" s="31"/>
      <c r="AV911" s="24"/>
      <c r="AW911"/>
      <c r="AX911"/>
      <c r="AY911"/>
      <c r="AZ911"/>
      <c r="BA911"/>
      <c r="BB911"/>
      <c r="BC911"/>
      <c r="BD911"/>
      <c r="BE911"/>
      <c r="BF911"/>
      <c r="BG911"/>
    </row>
    <row r="912" spans="2:59" x14ac:dyDescent="0.25">
      <c r="B912" s="22"/>
      <c r="C912" s="23"/>
      <c r="E912" s="23"/>
      <c r="F912" s="24"/>
      <c r="G912" s="2"/>
      <c r="H912" s="10" t="e">
        <f>_xlfn.XLOOKUP(F912,Viloyatlar24[RegionName],Viloyatlar24[RegionId])</f>
        <v>#N/A</v>
      </c>
      <c r="I912" s="10" t="e">
        <f>_xlfn.XLOOKUP('Кўчмас мулк объектлари'!G912,Tumanlar23[DistrictName],Tumanlar23[DistrictId])</f>
        <v>#N/A</v>
      </c>
      <c r="K912" s="24"/>
      <c r="L912" s="10" t="e">
        <f>_xlfn.XLOOKUP(K912,Ташкилотлар39[Ташкилотлар],Ташкилотлар39[TashklilotID])</f>
        <v>#N/A</v>
      </c>
      <c r="M912" s="26"/>
      <c r="N912" s="26"/>
      <c r="O912" s="24"/>
      <c r="P912" s="2"/>
      <c r="Q912" s="26"/>
      <c r="R912" s="26"/>
      <c r="S912" s="26"/>
      <c r="T912" s="26"/>
      <c r="U912" s="24"/>
      <c r="V912" s="10" t="e">
        <f>_xlfn.XLOOKUP(U912,Таклифлар37[Таклифлар],Таклифлар37[TaklifID])</f>
        <v>#N/A</v>
      </c>
      <c r="W912" s="24"/>
      <c r="X912" s="23"/>
      <c r="Y912" s="7"/>
      <c r="Z912" s="26"/>
      <c r="AB912" s="23"/>
      <c r="AD912" s="2"/>
      <c r="AG912" s="23"/>
      <c r="AI912" s="26"/>
      <c r="AJ912" s="23"/>
      <c r="AM912" s="23"/>
      <c r="AO912" s="32"/>
      <c r="AP912" s="26"/>
      <c r="AR912" s="26"/>
      <c r="AS912" s="27"/>
      <c r="AT912" s="27"/>
      <c r="AU912" s="31"/>
      <c r="AV912" s="24"/>
      <c r="AW912"/>
      <c r="AX912"/>
      <c r="AY912"/>
      <c r="AZ912"/>
      <c r="BA912"/>
      <c r="BB912"/>
      <c r="BC912"/>
      <c r="BD912"/>
      <c r="BE912"/>
      <c r="BF912"/>
      <c r="BG912"/>
    </row>
    <row r="913" spans="2:59" x14ac:dyDescent="0.25">
      <c r="B913" s="22"/>
      <c r="C913" s="23"/>
      <c r="E913" s="23"/>
      <c r="F913" s="24"/>
      <c r="G913" s="2"/>
      <c r="H913" s="10" t="e">
        <f>_xlfn.XLOOKUP(F913,Viloyatlar24[RegionName],Viloyatlar24[RegionId])</f>
        <v>#N/A</v>
      </c>
      <c r="I913" s="10" t="e">
        <f>_xlfn.XLOOKUP('Кўчмас мулк объектлари'!G913,Tumanlar23[DistrictName],Tumanlar23[DistrictId])</f>
        <v>#N/A</v>
      </c>
      <c r="K913" s="24"/>
      <c r="L913" s="10" t="e">
        <f>_xlfn.XLOOKUP(K913,Ташкилотлар39[Ташкилотлар],Ташкилотлар39[TashklilotID])</f>
        <v>#N/A</v>
      </c>
      <c r="M913" s="26"/>
      <c r="N913" s="26"/>
      <c r="O913" s="24"/>
      <c r="P913" s="2"/>
      <c r="Q913" s="26"/>
      <c r="R913" s="26"/>
      <c r="S913" s="26"/>
      <c r="T913" s="26"/>
      <c r="U913" s="24"/>
      <c r="V913" s="10" t="e">
        <f>_xlfn.XLOOKUP(U913,Таклифлар37[Таклифлар],Таклифлар37[TaklifID])</f>
        <v>#N/A</v>
      </c>
      <c r="W913" s="24"/>
      <c r="X913" s="23"/>
      <c r="Y913" s="7"/>
      <c r="Z913" s="26"/>
      <c r="AB913" s="23"/>
      <c r="AD913" s="2"/>
      <c r="AG913" s="23"/>
      <c r="AI913" s="26"/>
      <c r="AJ913" s="23"/>
      <c r="AM913" s="23"/>
      <c r="AO913" s="32"/>
      <c r="AP913" s="26"/>
      <c r="AR913" s="26"/>
      <c r="AS913" s="27"/>
      <c r="AT913" s="27"/>
      <c r="AU913" s="31"/>
      <c r="AV913" s="24"/>
      <c r="AW913"/>
      <c r="AX913"/>
      <c r="AY913"/>
      <c r="AZ913"/>
      <c r="BA913"/>
      <c r="BB913"/>
      <c r="BC913"/>
      <c r="BD913"/>
      <c r="BE913"/>
      <c r="BF913"/>
      <c r="BG913"/>
    </row>
    <row r="914" spans="2:59" x14ac:dyDescent="0.25">
      <c r="B914" s="22"/>
      <c r="C914" s="23"/>
      <c r="E914" s="23"/>
      <c r="F914" s="24"/>
      <c r="G914" s="2"/>
      <c r="H914" s="10" t="e">
        <f>_xlfn.XLOOKUP(F914,Viloyatlar24[RegionName],Viloyatlar24[RegionId])</f>
        <v>#N/A</v>
      </c>
      <c r="I914" s="10" t="e">
        <f>_xlfn.XLOOKUP('Кўчмас мулк объектлари'!G914,Tumanlar23[DistrictName],Tumanlar23[DistrictId])</f>
        <v>#N/A</v>
      </c>
      <c r="K914" s="24"/>
      <c r="L914" s="10" t="e">
        <f>_xlfn.XLOOKUP(K914,Ташкилотлар39[Ташкилотлар],Ташкилотлар39[TashklilotID])</f>
        <v>#N/A</v>
      </c>
      <c r="M914" s="26"/>
      <c r="N914" s="26"/>
      <c r="O914" s="24"/>
      <c r="P914" s="2"/>
      <c r="Q914" s="26"/>
      <c r="R914" s="26"/>
      <c r="S914" s="26"/>
      <c r="T914" s="26"/>
      <c r="U914" s="24"/>
      <c r="V914" s="10" t="e">
        <f>_xlfn.XLOOKUP(U914,Таклифлар37[Таклифлар],Таклифлар37[TaklifID])</f>
        <v>#N/A</v>
      </c>
      <c r="W914" s="24"/>
      <c r="X914" s="23"/>
      <c r="Y914" s="7"/>
      <c r="Z914" s="26"/>
      <c r="AB914" s="23"/>
      <c r="AD914" s="2"/>
      <c r="AG914" s="23"/>
      <c r="AI914" s="26"/>
      <c r="AJ914" s="23"/>
      <c r="AM914" s="23"/>
      <c r="AO914" s="32"/>
      <c r="AP914" s="26"/>
      <c r="AR914" s="26"/>
      <c r="AS914" s="27"/>
      <c r="AT914" s="27"/>
      <c r="AU914" s="31"/>
      <c r="AV914" s="24"/>
      <c r="AW914"/>
      <c r="AX914"/>
      <c r="AY914"/>
      <c r="AZ914"/>
      <c r="BA914"/>
      <c r="BB914"/>
      <c r="BC914"/>
      <c r="BD914"/>
      <c r="BE914"/>
      <c r="BF914"/>
      <c r="BG914"/>
    </row>
    <row r="915" spans="2:59" x14ac:dyDescent="0.25">
      <c r="B915" s="22"/>
      <c r="C915" s="23"/>
      <c r="E915" s="23"/>
      <c r="F915" s="24"/>
      <c r="G915" s="2"/>
      <c r="H915" s="10" t="e">
        <f>_xlfn.XLOOKUP(F915,Viloyatlar24[RegionName],Viloyatlar24[RegionId])</f>
        <v>#N/A</v>
      </c>
      <c r="I915" s="10" t="e">
        <f>_xlfn.XLOOKUP('Кўчмас мулк объектлари'!G915,Tumanlar23[DistrictName],Tumanlar23[DistrictId])</f>
        <v>#N/A</v>
      </c>
      <c r="K915" s="24"/>
      <c r="L915" s="10" t="e">
        <f>_xlfn.XLOOKUP(K915,Ташкилотлар39[Ташкилотлар],Ташкилотлар39[TashklilotID])</f>
        <v>#N/A</v>
      </c>
      <c r="M915" s="26"/>
      <c r="N915" s="26"/>
      <c r="O915" s="24"/>
      <c r="P915" s="2"/>
      <c r="Q915" s="26"/>
      <c r="R915" s="26"/>
      <c r="S915" s="26"/>
      <c r="T915" s="26"/>
      <c r="U915" s="24"/>
      <c r="V915" s="10" t="e">
        <f>_xlfn.XLOOKUP(U915,Таклифлар37[Таклифлар],Таклифлар37[TaklifID])</f>
        <v>#N/A</v>
      </c>
      <c r="W915" s="24"/>
      <c r="X915" s="23"/>
      <c r="Y915" s="7"/>
      <c r="Z915" s="26"/>
      <c r="AB915" s="23"/>
      <c r="AD915" s="2"/>
      <c r="AG915" s="23"/>
      <c r="AI915" s="26"/>
      <c r="AJ915" s="23"/>
      <c r="AM915" s="23"/>
      <c r="AO915" s="32"/>
      <c r="AP915" s="26"/>
      <c r="AR915" s="26"/>
      <c r="AS915" s="27"/>
      <c r="AT915" s="27"/>
      <c r="AU915" s="31"/>
      <c r="AV915" s="24"/>
      <c r="AW915"/>
      <c r="AX915"/>
      <c r="AY915"/>
      <c r="AZ915"/>
      <c r="BA915"/>
      <c r="BB915"/>
      <c r="BC915"/>
      <c r="BD915"/>
      <c r="BE915"/>
      <c r="BF915"/>
      <c r="BG915"/>
    </row>
    <row r="916" spans="2:59" x14ac:dyDescent="0.25">
      <c r="B916" s="22"/>
      <c r="C916" s="23"/>
      <c r="E916" s="23"/>
      <c r="F916" s="24"/>
      <c r="G916" s="2"/>
      <c r="H916" s="10" t="e">
        <f>_xlfn.XLOOKUP(F916,Viloyatlar24[RegionName],Viloyatlar24[RegionId])</f>
        <v>#N/A</v>
      </c>
      <c r="I916" s="10" t="e">
        <f>_xlfn.XLOOKUP('Кўчмас мулк объектлари'!G916,Tumanlar23[DistrictName],Tumanlar23[DistrictId])</f>
        <v>#N/A</v>
      </c>
      <c r="K916" s="24"/>
      <c r="L916" s="10" t="e">
        <f>_xlfn.XLOOKUP(K916,Ташкилотлар39[Ташкилотлар],Ташкилотлар39[TashklilotID])</f>
        <v>#N/A</v>
      </c>
      <c r="M916" s="26"/>
      <c r="N916" s="26"/>
      <c r="O916" s="24"/>
      <c r="P916" s="2"/>
      <c r="Q916" s="26"/>
      <c r="R916" s="26"/>
      <c r="S916" s="26"/>
      <c r="T916" s="26"/>
      <c r="U916" s="24"/>
      <c r="V916" s="10" t="e">
        <f>_xlfn.XLOOKUP(U916,Таклифлар37[Таклифлар],Таклифлар37[TaklifID])</f>
        <v>#N/A</v>
      </c>
      <c r="W916" s="24"/>
      <c r="X916" s="23"/>
      <c r="Y916" s="7"/>
      <c r="Z916" s="26"/>
      <c r="AB916" s="23"/>
      <c r="AD916" s="2"/>
      <c r="AG916" s="23"/>
      <c r="AI916" s="26"/>
      <c r="AJ916" s="23"/>
      <c r="AM916" s="23"/>
      <c r="AO916" s="32"/>
      <c r="AP916" s="26"/>
      <c r="AR916" s="26"/>
      <c r="AS916" s="27"/>
      <c r="AT916" s="27"/>
      <c r="AU916" s="31"/>
      <c r="AV916" s="24"/>
      <c r="AW916"/>
      <c r="AX916"/>
      <c r="AY916"/>
      <c r="AZ916"/>
      <c r="BA916"/>
      <c r="BB916"/>
      <c r="BC916"/>
      <c r="BD916"/>
      <c r="BE916"/>
      <c r="BF916"/>
      <c r="BG916"/>
    </row>
    <row r="917" spans="2:59" x14ac:dyDescent="0.25">
      <c r="B917" s="22"/>
      <c r="C917" s="23"/>
      <c r="E917" s="23"/>
      <c r="F917" s="24"/>
      <c r="G917" s="2"/>
      <c r="H917" s="10" t="e">
        <f>_xlfn.XLOOKUP(F917,Viloyatlar24[RegionName],Viloyatlar24[RegionId])</f>
        <v>#N/A</v>
      </c>
      <c r="I917" s="10" t="e">
        <f>_xlfn.XLOOKUP('Кўчмас мулк объектлари'!G917,Tumanlar23[DistrictName],Tumanlar23[DistrictId])</f>
        <v>#N/A</v>
      </c>
      <c r="K917" s="24"/>
      <c r="L917" s="10" t="e">
        <f>_xlfn.XLOOKUP(K917,Ташкилотлар39[Ташкилотлар],Ташкилотлар39[TashklilotID])</f>
        <v>#N/A</v>
      </c>
      <c r="M917" s="26"/>
      <c r="N917" s="26"/>
      <c r="O917" s="24"/>
      <c r="P917" s="2"/>
      <c r="Q917" s="26"/>
      <c r="R917" s="26"/>
      <c r="S917" s="26"/>
      <c r="T917" s="26"/>
      <c r="U917" s="24"/>
      <c r="V917" s="10" t="e">
        <f>_xlfn.XLOOKUP(U917,Таклифлар37[Таклифлар],Таклифлар37[TaklifID])</f>
        <v>#N/A</v>
      </c>
      <c r="W917" s="24"/>
      <c r="X917" s="23"/>
      <c r="Y917" s="7"/>
      <c r="Z917" s="26"/>
      <c r="AB917" s="23"/>
      <c r="AD917" s="2"/>
      <c r="AG917" s="23"/>
      <c r="AI917" s="26"/>
      <c r="AJ917" s="23"/>
      <c r="AM917" s="23"/>
      <c r="AO917" s="32"/>
      <c r="AP917" s="26"/>
      <c r="AR917" s="26"/>
      <c r="AS917" s="27"/>
      <c r="AT917" s="27"/>
      <c r="AU917" s="31"/>
      <c r="AV917" s="24"/>
      <c r="AW917"/>
      <c r="AX917"/>
      <c r="AY917"/>
      <c r="AZ917"/>
      <c r="BA917"/>
      <c r="BB917"/>
      <c r="BC917"/>
      <c r="BD917"/>
      <c r="BE917"/>
      <c r="BF917"/>
      <c r="BG917"/>
    </row>
    <row r="918" spans="2:59" x14ac:dyDescent="0.25">
      <c r="B918" s="22"/>
      <c r="C918" s="23"/>
      <c r="E918" s="23"/>
      <c r="F918" s="24"/>
      <c r="G918" s="2"/>
      <c r="H918" s="10" t="e">
        <f>_xlfn.XLOOKUP(F918,Viloyatlar24[RegionName],Viloyatlar24[RegionId])</f>
        <v>#N/A</v>
      </c>
      <c r="I918" s="10" t="e">
        <f>_xlfn.XLOOKUP('Кўчмас мулк объектлари'!G918,Tumanlar23[DistrictName],Tumanlar23[DistrictId])</f>
        <v>#N/A</v>
      </c>
      <c r="K918" s="24"/>
      <c r="L918" s="10" t="e">
        <f>_xlfn.XLOOKUP(K918,Ташкилотлар39[Ташкилотлар],Ташкилотлар39[TashklilotID])</f>
        <v>#N/A</v>
      </c>
      <c r="M918" s="26"/>
      <c r="N918" s="26"/>
      <c r="O918" s="24"/>
      <c r="P918" s="2"/>
      <c r="Q918" s="26"/>
      <c r="R918" s="26"/>
      <c r="S918" s="26"/>
      <c r="T918" s="26"/>
      <c r="U918" s="24"/>
      <c r="V918" s="10" t="e">
        <f>_xlfn.XLOOKUP(U918,Таклифлар37[Таклифлар],Таклифлар37[TaklifID])</f>
        <v>#N/A</v>
      </c>
      <c r="W918" s="24"/>
      <c r="X918" s="23"/>
      <c r="Y918" s="7"/>
      <c r="Z918" s="26"/>
      <c r="AB918" s="23"/>
      <c r="AD918" s="2"/>
      <c r="AG918" s="23"/>
      <c r="AI918" s="26"/>
      <c r="AJ918" s="23"/>
      <c r="AM918" s="23"/>
      <c r="AO918" s="32"/>
      <c r="AP918" s="26"/>
      <c r="AR918" s="26"/>
      <c r="AS918" s="27"/>
      <c r="AT918" s="27"/>
      <c r="AU918" s="31"/>
      <c r="AV918" s="24"/>
      <c r="AW918"/>
      <c r="AX918"/>
      <c r="AY918"/>
      <c r="AZ918"/>
      <c r="BA918"/>
      <c r="BB918"/>
      <c r="BC918"/>
      <c r="BD918"/>
      <c r="BE918"/>
      <c r="BF918"/>
      <c r="BG918"/>
    </row>
    <row r="919" spans="2:59" x14ac:dyDescent="0.25">
      <c r="B919" s="22"/>
      <c r="C919" s="23"/>
      <c r="E919" s="23"/>
      <c r="F919" s="24"/>
      <c r="G919" s="2"/>
      <c r="H919" s="10" t="e">
        <f>_xlfn.XLOOKUP(F919,Viloyatlar24[RegionName],Viloyatlar24[RegionId])</f>
        <v>#N/A</v>
      </c>
      <c r="I919" s="10" t="e">
        <f>_xlfn.XLOOKUP('Кўчмас мулк объектлари'!G919,Tumanlar23[DistrictName],Tumanlar23[DistrictId])</f>
        <v>#N/A</v>
      </c>
      <c r="K919" s="24"/>
      <c r="L919" s="10" t="e">
        <f>_xlfn.XLOOKUP(K919,Ташкилотлар39[Ташкилотлар],Ташкилотлар39[TashklilotID])</f>
        <v>#N/A</v>
      </c>
      <c r="M919" s="26"/>
      <c r="N919" s="26"/>
      <c r="O919" s="24"/>
      <c r="P919" s="2"/>
      <c r="Q919" s="26"/>
      <c r="R919" s="26"/>
      <c r="S919" s="26"/>
      <c r="T919" s="26"/>
      <c r="U919" s="24"/>
      <c r="V919" s="10" t="e">
        <f>_xlfn.XLOOKUP(U919,Таклифлар37[Таклифлар],Таклифлар37[TaklifID])</f>
        <v>#N/A</v>
      </c>
      <c r="W919" s="24"/>
      <c r="X919" s="23"/>
      <c r="Y919" s="7"/>
      <c r="Z919" s="26"/>
      <c r="AB919" s="23"/>
      <c r="AD919" s="2"/>
      <c r="AG919" s="23"/>
      <c r="AI919" s="26"/>
      <c r="AJ919" s="23"/>
      <c r="AM919" s="23"/>
      <c r="AO919" s="32"/>
      <c r="AP919" s="26"/>
      <c r="AR919" s="26"/>
      <c r="AS919" s="27"/>
      <c r="AT919" s="27"/>
      <c r="AU919" s="31"/>
      <c r="AV919" s="24"/>
      <c r="AW919"/>
      <c r="AX919"/>
      <c r="AY919"/>
      <c r="AZ919"/>
      <c r="BA919"/>
      <c r="BB919"/>
      <c r="BC919"/>
      <c r="BD919"/>
      <c r="BE919"/>
      <c r="BF919"/>
      <c r="BG919"/>
    </row>
    <row r="920" spans="2:59" x14ac:dyDescent="0.25">
      <c r="B920" s="22"/>
      <c r="C920" s="23"/>
      <c r="E920" s="23"/>
      <c r="F920" s="24"/>
      <c r="G920" s="2"/>
      <c r="H920" s="10" t="e">
        <f>_xlfn.XLOOKUP(F920,Viloyatlar24[RegionName],Viloyatlar24[RegionId])</f>
        <v>#N/A</v>
      </c>
      <c r="I920" s="10" t="e">
        <f>_xlfn.XLOOKUP('Кўчмас мулк объектлари'!G920,Tumanlar23[DistrictName],Tumanlar23[DistrictId])</f>
        <v>#N/A</v>
      </c>
      <c r="K920" s="24"/>
      <c r="L920" s="10" t="e">
        <f>_xlfn.XLOOKUP(K920,Ташкилотлар39[Ташкилотлар],Ташкилотлар39[TashklilotID])</f>
        <v>#N/A</v>
      </c>
      <c r="M920" s="26"/>
      <c r="N920" s="26"/>
      <c r="O920" s="24"/>
      <c r="P920" s="2"/>
      <c r="Q920" s="26"/>
      <c r="R920" s="26"/>
      <c r="S920" s="26"/>
      <c r="T920" s="26"/>
      <c r="U920" s="24"/>
      <c r="V920" s="10" t="e">
        <f>_xlfn.XLOOKUP(U920,Таклифлар37[Таклифлар],Таклифлар37[TaklifID])</f>
        <v>#N/A</v>
      </c>
      <c r="W920" s="24"/>
      <c r="X920" s="23"/>
      <c r="Y920" s="7"/>
      <c r="Z920" s="26"/>
      <c r="AB920" s="23"/>
      <c r="AD920" s="2"/>
      <c r="AG920" s="23"/>
      <c r="AI920" s="26"/>
      <c r="AJ920" s="23"/>
      <c r="AM920" s="23"/>
      <c r="AO920" s="32"/>
      <c r="AP920" s="26"/>
      <c r="AR920" s="26"/>
      <c r="AS920" s="27"/>
      <c r="AT920" s="27"/>
      <c r="AU920" s="31"/>
      <c r="AV920" s="24"/>
      <c r="AW920"/>
      <c r="AX920"/>
      <c r="AY920"/>
      <c r="AZ920"/>
      <c r="BA920"/>
      <c r="BB920"/>
      <c r="BC920"/>
      <c r="BD920"/>
      <c r="BE920"/>
      <c r="BF920"/>
      <c r="BG920"/>
    </row>
    <row r="921" spans="2:59" x14ac:dyDescent="0.25">
      <c r="B921" s="22"/>
      <c r="C921" s="23"/>
      <c r="E921" s="23"/>
      <c r="F921" s="24"/>
      <c r="G921" s="2"/>
      <c r="H921" s="10" t="e">
        <f>_xlfn.XLOOKUP(F921,Viloyatlar24[RegionName],Viloyatlar24[RegionId])</f>
        <v>#N/A</v>
      </c>
      <c r="I921" s="10" t="e">
        <f>_xlfn.XLOOKUP('Кўчмас мулк объектлари'!G921,Tumanlar23[DistrictName],Tumanlar23[DistrictId])</f>
        <v>#N/A</v>
      </c>
      <c r="K921" s="24"/>
      <c r="L921" s="10" t="e">
        <f>_xlfn.XLOOKUP(K921,Ташкилотлар39[Ташкилотлар],Ташкилотлар39[TashklilotID])</f>
        <v>#N/A</v>
      </c>
      <c r="M921" s="26"/>
      <c r="N921" s="26"/>
      <c r="O921" s="24"/>
      <c r="P921" s="2"/>
      <c r="Q921" s="26"/>
      <c r="R921" s="26"/>
      <c r="S921" s="26"/>
      <c r="T921" s="26"/>
      <c r="U921" s="24"/>
      <c r="V921" s="10" t="e">
        <f>_xlfn.XLOOKUP(U921,Таклифлар37[Таклифлар],Таклифлар37[TaklifID])</f>
        <v>#N/A</v>
      </c>
      <c r="W921" s="24"/>
      <c r="X921" s="23"/>
      <c r="Y921" s="7"/>
      <c r="Z921" s="26"/>
      <c r="AB921" s="23"/>
      <c r="AD921" s="2"/>
      <c r="AG921" s="23"/>
      <c r="AI921" s="26"/>
      <c r="AJ921" s="23"/>
      <c r="AM921" s="23"/>
      <c r="AO921" s="32"/>
      <c r="AP921" s="26"/>
      <c r="AR921" s="26"/>
      <c r="AS921" s="27"/>
      <c r="AT921" s="27"/>
      <c r="AU921" s="31"/>
      <c r="AV921" s="24"/>
      <c r="AW921"/>
      <c r="AX921"/>
      <c r="AY921"/>
      <c r="AZ921"/>
      <c r="BA921"/>
      <c r="BB921"/>
      <c r="BC921"/>
      <c r="BD921"/>
      <c r="BE921"/>
      <c r="BF921"/>
      <c r="BG921"/>
    </row>
    <row r="922" spans="2:59" x14ac:dyDescent="0.25">
      <c r="B922" s="22"/>
      <c r="C922" s="23"/>
      <c r="E922" s="23"/>
      <c r="F922" s="24"/>
      <c r="G922" s="2"/>
      <c r="H922" s="10" t="e">
        <f>_xlfn.XLOOKUP(F922,Viloyatlar24[RegionName],Viloyatlar24[RegionId])</f>
        <v>#N/A</v>
      </c>
      <c r="I922" s="10" t="e">
        <f>_xlfn.XLOOKUP('Кўчмас мулк объектлари'!G922,Tumanlar23[DistrictName],Tumanlar23[DistrictId])</f>
        <v>#N/A</v>
      </c>
      <c r="K922" s="24"/>
      <c r="L922" s="10" t="e">
        <f>_xlfn.XLOOKUP(K922,Ташкилотлар39[Ташкилотлар],Ташкилотлар39[TashklilotID])</f>
        <v>#N/A</v>
      </c>
      <c r="M922" s="26"/>
      <c r="N922" s="26"/>
      <c r="O922" s="24"/>
      <c r="P922" s="2"/>
      <c r="Q922" s="26"/>
      <c r="R922" s="26"/>
      <c r="S922" s="26"/>
      <c r="T922" s="26"/>
      <c r="U922" s="24"/>
      <c r="V922" s="10" t="e">
        <f>_xlfn.XLOOKUP(U922,Таклифлар37[Таклифлар],Таклифлар37[TaklifID])</f>
        <v>#N/A</v>
      </c>
      <c r="W922" s="24"/>
      <c r="X922" s="23"/>
      <c r="Y922" s="7"/>
      <c r="Z922" s="26"/>
      <c r="AB922" s="23"/>
      <c r="AD922" s="2"/>
      <c r="AG922" s="23"/>
      <c r="AI922" s="26"/>
      <c r="AJ922" s="23"/>
      <c r="AM922" s="23"/>
      <c r="AO922" s="32"/>
      <c r="AP922" s="26"/>
      <c r="AR922" s="26"/>
      <c r="AS922" s="27"/>
      <c r="AT922" s="27"/>
      <c r="AU922" s="31"/>
      <c r="AV922" s="24"/>
      <c r="AW922"/>
      <c r="AX922"/>
      <c r="AY922"/>
      <c r="AZ922"/>
      <c r="BA922"/>
      <c r="BB922"/>
      <c r="BC922"/>
      <c r="BD922"/>
      <c r="BE922"/>
      <c r="BF922"/>
      <c r="BG922"/>
    </row>
    <row r="923" spans="2:59" x14ac:dyDescent="0.25">
      <c r="B923" s="22"/>
      <c r="C923" s="23"/>
      <c r="E923" s="23"/>
      <c r="F923" s="24"/>
      <c r="G923" s="2"/>
      <c r="H923" s="10" t="e">
        <f>_xlfn.XLOOKUP(F923,Viloyatlar24[RegionName],Viloyatlar24[RegionId])</f>
        <v>#N/A</v>
      </c>
      <c r="I923" s="10" t="e">
        <f>_xlfn.XLOOKUP('Кўчмас мулк объектлари'!G923,Tumanlar23[DistrictName],Tumanlar23[DistrictId])</f>
        <v>#N/A</v>
      </c>
      <c r="K923" s="24"/>
      <c r="L923" s="10" t="e">
        <f>_xlfn.XLOOKUP(K923,Ташкилотлар39[Ташкилотлар],Ташкилотлар39[TashklilotID])</f>
        <v>#N/A</v>
      </c>
      <c r="M923" s="26"/>
      <c r="N923" s="26"/>
      <c r="O923" s="24"/>
      <c r="P923" s="2"/>
      <c r="Q923" s="26"/>
      <c r="R923" s="26"/>
      <c r="S923" s="26"/>
      <c r="T923" s="26"/>
      <c r="U923" s="24"/>
      <c r="V923" s="10" t="e">
        <f>_xlfn.XLOOKUP(U923,Таклифлар37[Таклифлар],Таклифлар37[TaklifID])</f>
        <v>#N/A</v>
      </c>
      <c r="W923" s="24"/>
      <c r="X923" s="23"/>
      <c r="Y923" s="7"/>
      <c r="Z923" s="26"/>
      <c r="AB923" s="23"/>
      <c r="AD923" s="2"/>
      <c r="AG923" s="23"/>
      <c r="AI923" s="26"/>
      <c r="AJ923" s="23"/>
      <c r="AM923" s="23"/>
      <c r="AO923" s="32"/>
      <c r="AP923" s="26"/>
      <c r="AR923" s="26"/>
      <c r="AS923" s="27"/>
      <c r="AT923" s="27"/>
      <c r="AU923" s="31"/>
      <c r="AV923" s="24"/>
      <c r="AW923"/>
      <c r="AX923"/>
      <c r="AY923"/>
      <c r="AZ923"/>
      <c r="BA923"/>
      <c r="BB923"/>
      <c r="BC923"/>
      <c r="BD923"/>
      <c r="BE923"/>
      <c r="BF923"/>
      <c r="BG923"/>
    </row>
    <row r="924" spans="2:59" x14ac:dyDescent="0.25">
      <c r="B924" s="22"/>
      <c r="C924" s="23"/>
      <c r="E924" s="23"/>
      <c r="F924" s="24"/>
      <c r="G924" s="2"/>
      <c r="H924" s="10" t="e">
        <f>_xlfn.XLOOKUP(F924,Viloyatlar24[RegionName],Viloyatlar24[RegionId])</f>
        <v>#N/A</v>
      </c>
      <c r="I924" s="10" t="e">
        <f>_xlfn.XLOOKUP('Кўчмас мулк объектлари'!G924,Tumanlar23[DistrictName],Tumanlar23[DistrictId])</f>
        <v>#N/A</v>
      </c>
      <c r="K924" s="24"/>
      <c r="L924" s="10" t="e">
        <f>_xlfn.XLOOKUP(K924,Ташкилотлар39[Ташкилотлар],Ташкилотлар39[TashklilotID])</f>
        <v>#N/A</v>
      </c>
      <c r="M924" s="26"/>
      <c r="N924" s="26"/>
      <c r="O924" s="24"/>
      <c r="P924" s="2"/>
      <c r="Q924" s="26"/>
      <c r="R924" s="26"/>
      <c r="S924" s="26"/>
      <c r="T924" s="26"/>
      <c r="U924" s="24"/>
      <c r="V924" s="10" t="e">
        <f>_xlfn.XLOOKUP(U924,Таклифлар37[Таклифлар],Таклифлар37[TaklifID])</f>
        <v>#N/A</v>
      </c>
      <c r="W924" s="24"/>
      <c r="X924" s="23"/>
      <c r="Y924" s="7"/>
      <c r="Z924" s="26"/>
      <c r="AB924" s="23"/>
      <c r="AD924" s="2"/>
      <c r="AG924" s="23"/>
      <c r="AI924" s="26"/>
      <c r="AJ924" s="23"/>
      <c r="AM924" s="23"/>
      <c r="AO924" s="32"/>
      <c r="AP924" s="26"/>
      <c r="AR924" s="26"/>
      <c r="AS924" s="27"/>
      <c r="AT924" s="27"/>
      <c r="AU924" s="31"/>
      <c r="AV924" s="24"/>
      <c r="AW924"/>
      <c r="AX924"/>
      <c r="AY924"/>
      <c r="AZ924"/>
      <c r="BA924"/>
      <c r="BB924"/>
      <c r="BC924"/>
      <c r="BD924"/>
      <c r="BE924"/>
      <c r="BF924"/>
      <c r="BG924"/>
    </row>
    <row r="925" spans="2:59" x14ac:dyDescent="0.25">
      <c r="B925" s="22"/>
      <c r="C925" s="23"/>
      <c r="E925" s="23"/>
      <c r="F925" s="24"/>
      <c r="G925" s="2"/>
      <c r="H925" s="10" t="e">
        <f>_xlfn.XLOOKUP(F925,Viloyatlar24[RegionName],Viloyatlar24[RegionId])</f>
        <v>#N/A</v>
      </c>
      <c r="I925" s="10" t="e">
        <f>_xlfn.XLOOKUP('Кўчмас мулк объектлари'!G925,Tumanlar23[DistrictName],Tumanlar23[DistrictId])</f>
        <v>#N/A</v>
      </c>
      <c r="K925" s="24"/>
      <c r="L925" s="10" t="e">
        <f>_xlfn.XLOOKUP(K925,Ташкилотлар39[Ташкилотлар],Ташкилотлар39[TashklilotID])</f>
        <v>#N/A</v>
      </c>
      <c r="M925" s="26"/>
      <c r="N925" s="26"/>
      <c r="O925" s="24"/>
      <c r="P925" s="2"/>
      <c r="Q925" s="26"/>
      <c r="R925" s="26"/>
      <c r="S925" s="26"/>
      <c r="T925" s="26"/>
      <c r="U925" s="24"/>
      <c r="V925" s="10" t="e">
        <f>_xlfn.XLOOKUP(U925,Таклифлар37[Таклифлар],Таклифлар37[TaklifID])</f>
        <v>#N/A</v>
      </c>
      <c r="W925" s="24"/>
      <c r="X925" s="23"/>
      <c r="Y925" s="7"/>
      <c r="Z925" s="26"/>
      <c r="AB925" s="23"/>
      <c r="AD925" s="2"/>
      <c r="AG925" s="23"/>
      <c r="AI925" s="26"/>
      <c r="AJ925" s="23"/>
      <c r="AM925" s="23"/>
      <c r="AO925" s="32"/>
      <c r="AP925" s="26"/>
      <c r="AR925" s="26"/>
      <c r="AS925" s="27"/>
      <c r="AT925" s="27"/>
      <c r="AU925" s="31"/>
      <c r="AV925" s="24"/>
      <c r="AW925"/>
      <c r="AX925"/>
      <c r="AY925"/>
      <c r="AZ925"/>
      <c r="BA925"/>
      <c r="BB925"/>
      <c r="BC925"/>
      <c r="BD925"/>
      <c r="BE925"/>
      <c r="BF925"/>
      <c r="BG925"/>
    </row>
    <row r="926" spans="2:59" x14ac:dyDescent="0.25">
      <c r="B926" s="22"/>
      <c r="C926" s="23"/>
      <c r="E926" s="23"/>
      <c r="F926" s="24"/>
      <c r="G926" s="2"/>
      <c r="H926" s="10" t="e">
        <f>_xlfn.XLOOKUP(F926,Viloyatlar24[RegionName],Viloyatlar24[RegionId])</f>
        <v>#N/A</v>
      </c>
      <c r="I926" s="10" t="e">
        <f>_xlfn.XLOOKUP('Кўчмас мулк объектлари'!G926,Tumanlar23[DistrictName],Tumanlar23[DistrictId])</f>
        <v>#N/A</v>
      </c>
      <c r="K926" s="24"/>
      <c r="L926" s="10" t="e">
        <f>_xlfn.XLOOKUP(K926,Ташкилотлар39[Ташкилотлар],Ташкилотлар39[TashklilotID])</f>
        <v>#N/A</v>
      </c>
      <c r="M926" s="26"/>
      <c r="N926" s="26"/>
      <c r="O926" s="24"/>
      <c r="P926" s="2"/>
      <c r="Q926" s="26"/>
      <c r="R926" s="26"/>
      <c r="S926" s="26"/>
      <c r="T926" s="26"/>
      <c r="U926" s="24"/>
      <c r="V926" s="10" t="e">
        <f>_xlfn.XLOOKUP(U926,Таклифлар37[Таклифлар],Таклифлар37[TaklifID])</f>
        <v>#N/A</v>
      </c>
      <c r="W926" s="24"/>
      <c r="X926" s="23"/>
      <c r="Y926" s="7"/>
      <c r="Z926" s="26"/>
      <c r="AB926" s="23"/>
      <c r="AD926" s="2"/>
      <c r="AG926" s="23"/>
      <c r="AI926" s="26"/>
      <c r="AJ926" s="23"/>
      <c r="AM926" s="23"/>
      <c r="AO926" s="32"/>
      <c r="AP926" s="26"/>
      <c r="AR926" s="26"/>
      <c r="AS926" s="27"/>
      <c r="AT926" s="27"/>
      <c r="AU926" s="31"/>
      <c r="AV926" s="24"/>
      <c r="AW926"/>
      <c r="AX926"/>
      <c r="AY926"/>
      <c r="AZ926"/>
      <c r="BA926"/>
      <c r="BB926"/>
      <c r="BC926"/>
      <c r="BD926"/>
      <c r="BE926"/>
      <c r="BF926"/>
      <c r="BG926"/>
    </row>
    <row r="927" spans="2:59" x14ac:dyDescent="0.25">
      <c r="B927" s="22"/>
      <c r="C927" s="23"/>
      <c r="E927" s="23"/>
      <c r="F927" s="24"/>
      <c r="G927" s="2"/>
      <c r="H927" s="10" t="e">
        <f>_xlfn.XLOOKUP(F927,Viloyatlar24[RegionName],Viloyatlar24[RegionId])</f>
        <v>#N/A</v>
      </c>
      <c r="I927" s="10" t="e">
        <f>_xlfn.XLOOKUP('Кўчмас мулк объектлари'!G927,Tumanlar23[DistrictName],Tumanlar23[DistrictId])</f>
        <v>#N/A</v>
      </c>
      <c r="K927" s="24"/>
      <c r="L927" s="10" t="e">
        <f>_xlfn.XLOOKUP(K927,Ташкилотлар39[Ташкилотлар],Ташкилотлар39[TashklilotID])</f>
        <v>#N/A</v>
      </c>
      <c r="M927" s="26"/>
      <c r="N927" s="26"/>
      <c r="O927" s="24"/>
      <c r="P927" s="2"/>
      <c r="Q927" s="26"/>
      <c r="R927" s="26"/>
      <c r="S927" s="26"/>
      <c r="T927" s="26"/>
      <c r="U927" s="24"/>
      <c r="V927" s="10" t="e">
        <f>_xlfn.XLOOKUP(U927,Таклифлар37[Таклифлар],Таклифлар37[TaklifID])</f>
        <v>#N/A</v>
      </c>
      <c r="W927" s="24"/>
      <c r="X927" s="23"/>
      <c r="Y927" s="7"/>
      <c r="Z927" s="26"/>
      <c r="AB927" s="23"/>
      <c r="AD927" s="2"/>
      <c r="AG927" s="23"/>
      <c r="AI927" s="26"/>
      <c r="AJ927" s="23"/>
      <c r="AM927" s="23"/>
      <c r="AO927" s="32"/>
      <c r="AP927" s="26"/>
      <c r="AR927" s="26"/>
      <c r="AS927" s="27"/>
      <c r="AT927" s="27"/>
      <c r="AU927" s="31"/>
      <c r="AV927" s="24"/>
      <c r="AW927"/>
      <c r="AX927"/>
      <c r="AY927"/>
      <c r="AZ927"/>
      <c r="BA927"/>
      <c r="BB927"/>
      <c r="BC927"/>
      <c r="BD927"/>
      <c r="BE927"/>
      <c r="BF927"/>
      <c r="BG927"/>
    </row>
    <row r="928" spans="2:59" x14ac:dyDescent="0.25">
      <c r="B928" s="22"/>
      <c r="C928" s="23"/>
      <c r="E928" s="23"/>
      <c r="F928" s="24"/>
      <c r="G928" s="2"/>
      <c r="H928" s="10" t="e">
        <f>_xlfn.XLOOKUP(F928,Viloyatlar24[RegionName],Viloyatlar24[RegionId])</f>
        <v>#N/A</v>
      </c>
      <c r="I928" s="10" t="e">
        <f>_xlfn.XLOOKUP('Кўчмас мулк объектлари'!G928,Tumanlar23[DistrictName],Tumanlar23[DistrictId])</f>
        <v>#N/A</v>
      </c>
      <c r="K928" s="24"/>
      <c r="L928" s="10" t="e">
        <f>_xlfn.XLOOKUP(K928,Ташкилотлар39[Ташкилотлар],Ташкилотлар39[TashklilotID])</f>
        <v>#N/A</v>
      </c>
      <c r="M928" s="26"/>
      <c r="N928" s="26"/>
      <c r="O928" s="24"/>
      <c r="P928" s="2"/>
      <c r="Q928" s="26"/>
      <c r="R928" s="26"/>
      <c r="S928" s="26"/>
      <c r="T928" s="26"/>
      <c r="U928" s="24"/>
      <c r="V928" s="10" t="e">
        <f>_xlfn.XLOOKUP(U928,Таклифлар37[Таклифлар],Таклифлар37[TaklifID])</f>
        <v>#N/A</v>
      </c>
      <c r="W928" s="24"/>
      <c r="X928" s="23"/>
      <c r="Y928" s="7"/>
      <c r="Z928" s="26"/>
      <c r="AB928" s="23"/>
      <c r="AD928" s="2"/>
      <c r="AG928" s="23"/>
      <c r="AI928" s="26"/>
      <c r="AJ928" s="23"/>
      <c r="AM928" s="23"/>
      <c r="AO928" s="32"/>
      <c r="AP928" s="26"/>
      <c r="AR928" s="26"/>
      <c r="AS928" s="27"/>
      <c r="AT928" s="27"/>
      <c r="AU928" s="31"/>
      <c r="AV928" s="24"/>
      <c r="AW928"/>
      <c r="AX928"/>
      <c r="AY928"/>
      <c r="AZ928"/>
      <c r="BA928"/>
      <c r="BB928"/>
      <c r="BC928"/>
      <c r="BD928"/>
      <c r="BE928"/>
      <c r="BF928"/>
      <c r="BG928"/>
    </row>
    <row r="929" spans="2:59" x14ac:dyDescent="0.25">
      <c r="B929" s="22"/>
      <c r="C929" s="23"/>
      <c r="E929" s="23"/>
      <c r="F929" s="24"/>
      <c r="G929" s="2"/>
      <c r="H929" s="10" t="e">
        <f>_xlfn.XLOOKUP(F929,Viloyatlar24[RegionName],Viloyatlar24[RegionId])</f>
        <v>#N/A</v>
      </c>
      <c r="I929" s="10" t="e">
        <f>_xlfn.XLOOKUP('Кўчмас мулк объектлари'!G929,Tumanlar23[DistrictName],Tumanlar23[DistrictId])</f>
        <v>#N/A</v>
      </c>
      <c r="K929" s="24"/>
      <c r="L929" s="10" t="e">
        <f>_xlfn.XLOOKUP(K929,Ташкилотлар39[Ташкилотлар],Ташкилотлар39[TashklilotID])</f>
        <v>#N/A</v>
      </c>
      <c r="M929" s="26"/>
      <c r="N929" s="26"/>
      <c r="O929" s="24"/>
      <c r="P929" s="2"/>
      <c r="Q929" s="26"/>
      <c r="R929" s="26"/>
      <c r="S929" s="26"/>
      <c r="T929" s="26"/>
      <c r="U929" s="24"/>
      <c r="V929" s="10" t="e">
        <f>_xlfn.XLOOKUP(U929,Таклифлар37[Таклифлар],Таклифлар37[TaklifID])</f>
        <v>#N/A</v>
      </c>
      <c r="W929" s="24"/>
      <c r="X929" s="23"/>
      <c r="Y929" s="7"/>
      <c r="Z929" s="26"/>
      <c r="AB929" s="23"/>
      <c r="AD929" s="2"/>
      <c r="AG929" s="23"/>
      <c r="AI929" s="26"/>
      <c r="AJ929" s="23"/>
      <c r="AM929" s="23"/>
      <c r="AO929" s="32"/>
      <c r="AP929" s="26"/>
      <c r="AR929" s="26"/>
      <c r="AS929" s="27"/>
      <c r="AT929" s="27"/>
      <c r="AU929" s="31"/>
      <c r="AV929" s="24"/>
      <c r="AW929"/>
      <c r="AX929"/>
      <c r="AY929"/>
      <c r="AZ929"/>
      <c r="BA929"/>
      <c r="BB929"/>
      <c r="BC929"/>
      <c r="BD929"/>
      <c r="BE929"/>
      <c r="BF929"/>
      <c r="BG929"/>
    </row>
    <row r="930" spans="2:59" x14ac:dyDescent="0.25">
      <c r="B930" s="22"/>
      <c r="C930" s="23"/>
      <c r="E930" s="23"/>
      <c r="F930" s="24"/>
      <c r="G930" s="2"/>
      <c r="H930" s="10" t="e">
        <f>_xlfn.XLOOKUP(F930,Viloyatlar24[RegionName],Viloyatlar24[RegionId])</f>
        <v>#N/A</v>
      </c>
      <c r="I930" s="10" t="e">
        <f>_xlfn.XLOOKUP('Кўчмас мулк объектлари'!G930,Tumanlar23[DistrictName],Tumanlar23[DistrictId])</f>
        <v>#N/A</v>
      </c>
      <c r="K930" s="24"/>
      <c r="L930" s="10" t="e">
        <f>_xlfn.XLOOKUP(K930,Ташкилотлар39[Ташкилотлар],Ташкилотлар39[TashklilotID])</f>
        <v>#N/A</v>
      </c>
      <c r="M930" s="26"/>
      <c r="N930" s="26"/>
      <c r="O930" s="24"/>
      <c r="P930" s="2"/>
      <c r="Q930" s="26"/>
      <c r="R930" s="26"/>
      <c r="S930" s="26"/>
      <c r="T930" s="26"/>
      <c r="U930" s="24"/>
      <c r="V930" s="10" t="e">
        <f>_xlfn.XLOOKUP(U930,Таклифлар37[Таклифлар],Таклифлар37[TaklifID])</f>
        <v>#N/A</v>
      </c>
      <c r="W930" s="24"/>
      <c r="X930" s="23"/>
      <c r="Y930" s="7"/>
      <c r="Z930" s="26"/>
      <c r="AB930" s="23"/>
      <c r="AD930" s="2"/>
      <c r="AG930" s="23"/>
      <c r="AI930" s="26"/>
      <c r="AJ930" s="23"/>
      <c r="AM930" s="23"/>
      <c r="AO930" s="32"/>
      <c r="AP930" s="26"/>
      <c r="AR930" s="26"/>
      <c r="AS930" s="27"/>
      <c r="AT930" s="27"/>
      <c r="AU930" s="31"/>
      <c r="AV930" s="24"/>
      <c r="AW930"/>
      <c r="AX930"/>
      <c r="AY930"/>
      <c r="AZ930"/>
      <c r="BA930"/>
      <c r="BB930"/>
      <c r="BC930"/>
      <c r="BD930"/>
      <c r="BE930"/>
      <c r="BF930"/>
      <c r="BG930"/>
    </row>
    <row r="931" spans="2:59" x14ac:dyDescent="0.25">
      <c r="B931" s="22"/>
      <c r="C931" s="23"/>
      <c r="E931" s="23"/>
      <c r="F931" s="24"/>
      <c r="G931" s="2"/>
      <c r="H931" s="10" t="e">
        <f>_xlfn.XLOOKUP(F931,Viloyatlar24[RegionName],Viloyatlar24[RegionId])</f>
        <v>#N/A</v>
      </c>
      <c r="I931" s="10" t="e">
        <f>_xlfn.XLOOKUP('Кўчмас мулк объектлари'!G931,Tumanlar23[DistrictName],Tumanlar23[DistrictId])</f>
        <v>#N/A</v>
      </c>
      <c r="K931" s="24"/>
      <c r="L931" s="10" t="e">
        <f>_xlfn.XLOOKUP(K931,Ташкилотлар39[Ташкилотлар],Ташкилотлар39[TashklilotID])</f>
        <v>#N/A</v>
      </c>
      <c r="M931" s="26"/>
      <c r="N931" s="26"/>
      <c r="O931" s="24"/>
      <c r="P931" s="2"/>
      <c r="Q931" s="26"/>
      <c r="R931" s="26"/>
      <c r="S931" s="26"/>
      <c r="T931" s="26"/>
      <c r="U931" s="24"/>
      <c r="V931" s="10" t="e">
        <f>_xlfn.XLOOKUP(U931,Таклифлар37[Таклифлар],Таклифлар37[TaklifID])</f>
        <v>#N/A</v>
      </c>
      <c r="W931" s="24"/>
      <c r="X931" s="23"/>
      <c r="Y931" s="7"/>
      <c r="Z931" s="26"/>
      <c r="AB931" s="23"/>
      <c r="AD931" s="2"/>
      <c r="AG931" s="23"/>
      <c r="AI931" s="26"/>
      <c r="AJ931" s="23"/>
      <c r="AM931" s="23"/>
      <c r="AO931" s="32"/>
      <c r="AP931" s="26"/>
      <c r="AR931" s="26"/>
      <c r="AS931" s="27"/>
      <c r="AT931" s="27"/>
      <c r="AU931" s="31"/>
      <c r="AV931" s="24"/>
      <c r="AW931"/>
      <c r="AX931"/>
      <c r="AY931"/>
      <c r="AZ931"/>
      <c r="BA931"/>
      <c r="BB931"/>
      <c r="BC931"/>
      <c r="BD931"/>
      <c r="BE931"/>
      <c r="BF931"/>
      <c r="BG931"/>
    </row>
    <row r="932" spans="2:59" x14ac:dyDescent="0.25">
      <c r="B932" s="22"/>
      <c r="C932" s="23"/>
      <c r="E932" s="23"/>
      <c r="F932" s="24"/>
      <c r="G932" s="2"/>
      <c r="H932" s="10" t="e">
        <f>_xlfn.XLOOKUP(F932,Viloyatlar24[RegionName],Viloyatlar24[RegionId])</f>
        <v>#N/A</v>
      </c>
      <c r="I932" s="10" t="e">
        <f>_xlfn.XLOOKUP('Кўчмас мулк объектлари'!G932,Tumanlar23[DistrictName],Tumanlar23[DistrictId])</f>
        <v>#N/A</v>
      </c>
      <c r="K932" s="24"/>
      <c r="L932" s="10" t="e">
        <f>_xlfn.XLOOKUP(K932,Ташкилотлар39[Ташкилотлар],Ташкилотлар39[TashklilotID])</f>
        <v>#N/A</v>
      </c>
      <c r="M932" s="26"/>
      <c r="N932" s="26"/>
      <c r="O932" s="24"/>
      <c r="P932" s="2"/>
      <c r="Q932" s="26"/>
      <c r="R932" s="26"/>
      <c r="S932" s="26"/>
      <c r="T932" s="26"/>
      <c r="U932" s="24"/>
      <c r="V932" s="10" t="e">
        <f>_xlfn.XLOOKUP(U932,Таклифлар37[Таклифлар],Таклифлар37[TaklifID])</f>
        <v>#N/A</v>
      </c>
      <c r="W932" s="24"/>
      <c r="X932" s="23"/>
      <c r="Y932" s="7"/>
      <c r="Z932" s="26"/>
      <c r="AB932" s="23"/>
      <c r="AD932" s="2"/>
      <c r="AG932" s="23"/>
      <c r="AI932" s="26"/>
      <c r="AJ932" s="23"/>
      <c r="AM932" s="23"/>
      <c r="AO932" s="32"/>
      <c r="AP932" s="26"/>
      <c r="AR932" s="26"/>
      <c r="AS932" s="27"/>
      <c r="AT932" s="27"/>
      <c r="AU932" s="31"/>
      <c r="AV932" s="24"/>
      <c r="AW932"/>
      <c r="AX932"/>
      <c r="AY932"/>
      <c r="AZ932"/>
      <c r="BA932"/>
      <c r="BB932"/>
      <c r="BC932"/>
      <c r="BD932"/>
      <c r="BE932"/>
      <c r="BF932"/>
      <c r="BG932"/>
    </row>
    <row r="933" spans="2:59" x14ac:dyDescent="0.25">
      <c r="B933" s="22"/>
      <c r="C933" s="23"/>
      <c r="E933" s="23"/>
      <c r="F933" s="24"/>
      <c r="G933" s="2"/>
      <c r="H933" s="10" t="e">
        <f>_xlfn.XLOOKUP(F933,Viloyatlar24[RegionName],Viloyatlar24[RegionId])</f>
        <v>#N/A</v>
      </c>
      <c r="I933" s="10" t="e">
        <f>_xlfn.XLOOKUP('Кўчмас мулк объектлари'!G933,Tumanlar23[DistrictName],Tumanlar23[DistrictId])</f>
        <v>#N/A</v>
      </c>
      <c r="K933" s="24"/>
      <c r="L933" s="10" t="e">
        <f>_xlfn.XLOOKUP(K933,Ташкилотлар39[Ташкилотлар],Ташкилотлар39[TashklilotID])</f>
        <v>#N/A</v>
      </c>
      <c r="M933" s="26"/>
      <c r="N933" s="26"/>
      <c r="O933" s="24"/>
      <c r="P933" s="2"/>
      <c r="Q933" s="26"/>
      <c r="R933" s="26"/>
      <c r="S933" s="26"/>
      <c r="T933" s="26"/>
      <c r="U933" s="24"/>
      <c r="V933" s="10" t="e">
        <f>_xlfn.XLOOKUP(U933,Таклифлар37[Таклифлар],Таклифлар37[TaklifID])</f>
        <v>#N/A</v>
      </c>
      <c r="W933" s="24"/>
      <c r="X933" s="23"/>
      <c r="Y933" s="7"/>
      <c r="Z933" s="26"/>
      <c r="AB933" s="23"/>
      <c r="AD933" s="2"/>
      <c r="AG933" s="23"/>
      <c r="AI933" s="26"/>
      <c r="AJ933" s="23"/>
      <c r="AM933" s="23"/>
      <c r="AO933" s="32"/>
      <c r="AP933" s="26"/>
      <c r="AR933" s="26"/>
      <c r="AS933" s="27"/>
      <c r="AT933" s="27"/>
      <c r="AU933" s="31"/>
      <c r="AV933" s="24"/>
      <c r="AW933"/>
      <c r="AX933"/>
      <c r="AY933"/>
      <c r="AZ933"/>
      <c r="BA933"/>
      <c r="BB933"/>
      <c r="BC933"/>
      <c r="BD933"/>
      <c r="BE933"/>
      <c r="BF933"/>
      <c r="BG933"/>
    </row>
    <row r="934" spans="2:59" x14ac:dyDescent="0.25">
      <c r="B934" s="22"/>
      <c r="C934" s="23"/>
      <c r="E934" s="23"/>
      <c r="F934" s="24"/>
      <c r="G934" s="2"/>
      <c r="H934" s="10" t="e">
        <f>_xlfn.XLOOKUP(F934,Viloyatlar24[RegionName],Viloyatlar24[RegionId])</f>
        <v>#N/A</v>
      </c>
      <c r="I934" s="10" t="e">
        <f>_xlfn.XLOOKUP('Кўчмас мулк объектлари'!G934,Tumanlar23[DistrictName],Tumanlar23[DistrictId])</f>
        <v>#N/A</v>
      </c>
      <c r="K934" s="24"/>
      <c r="L934" s="10" t="e">
        <f>_xlfn.XLOOKUP(K934,Ташкилотлар39[Ташкилотлар],Ташкилотлар39[TashklilotID])</f>
        <v>#N/A</v>
      </c>
      <c r="M934" s="26"/>
      <c r="N934" s="26"/>
      <c r="O934" s="24"/>
      <c r="P934" s="2"/>
      <c r="Q934" s="26"/>
      <c r="R934" s="26"/>
      <c r="S934" s="26"/>
      <c r="T934" s="26"/>
      <c r="U934" s="24"/>
      <c r="V934" s="10" t="e">
        <f>_xlfn.XLOOKUP(U934,Таклифлар37[Таклифлар],Таклифлар37[TaklifID])</f>
        <v>#N/A</v>
      </c>
      <c r="W934" s="24"/>
      <c r="X934" s="23"/>
      <c r="Y934" s="7"/>
      <c r="Z934" s="26"/>
      <c r="AB934" s="23"/>
      <c r="AD934" s="2"/>
      <c r="AG934" s="23"/>
      <c r="AI934" s="26"/>
      <c r="AJ934" s="23"/>
      <c r="AM934" s="23"/>
      <c r="AO934" s="32"/>
      <c r="AP934" s="26"/>
      <c r="AR934" s="26"/>
      <c r="AS934" s="27"/>
      <c r="AT934" s="27"/>
      <c r="AU934" s="31"/>
      <c r="AV934" s="24"/>
      <c r="AW934"/>
      <c r="AX934"/>
      <c r="AY934"/>
      <c r="AZ934"/>
      <c r="BA934"/>
      <c r="BB934"/>
      <c r="BC934"/>
      <c r="BD934"/>
      <c r="BE934"/>
      <c r="BF934"/>
      <c r="BG934"/>
    </row>
    <row r="935" spans="2:59" x14ac:dyDescent="0.25">
      <c r="B935" s="22"/>
      <c r="C935" s="23"/>
      <c r="E935" s="23"/>
      <c r="F935" s="24"/>
      <c r="G935" s="2"/>
      <c r="H935" s="10" t="e">
        <f>_xlfn.XLOOKUP(F935,Viloyatlar24[RegionName],Viloyatlar24[RegionId])</f>
        <v>#N/A</v>
      </c>
      <c r="I935" s="10" t="e">
        <f>_xlfn.XLOOKUP('Кўчмас мулк объектлари'!G935,Tumanlar23[DistrictName],Tumanlar23[DistrictId])</f>
        <v>#N/A</v>
      </c>
      <c r="K935" s="24"/>
      <c r="L935" s="10" t="e">
        <f>_xlfn.XLOOKUP(K935,Ташкилотлар39[Ташкилотлар],Ташкилотлар39[TashklilotID])</f>
        <v>#N/A</v>
      </c>
      <c r="M935" s="26"/>
      <c r="N935" s="26"/>
      <c r="O935" s="24"/>
      <c r="P935" s="2"/>
      <c r="Q935" s="26"/>
      <c r="R935" s="26"/>
      <c r="S935" s="26"/>
      <c r="T935" s="26"/>
      <c r="U935" s="24"/>
      <c r="V935" s="10" t="e">
        <f>_xlfn.XLOOKUP(U935,Таклифлар37[Таклифлар],Таклифлар37[TaklifID])</f>
        <v>#N/A</v>
      </c>
      <c r="W935" s="24"/>
      <c r="X935" s="23"/>
      <c r="Y935" s="7"/>
      <c r="Z935" s="26"/>
      <c r="AB935" s="23"/>
      <c r="AD935" s="2"/>
      <c r="AG935" s="23"/>
      <c r="AI935" s="26"/>
      <c r="AJ935" s="23"/>
      <c r="AM935" s="23"/>
      <c r="AO935" s="32"/>
      <c r="AP935" s="26"/>
      <c r="AR935" s="26"/>
      <c r="AS935" s="27"/>
      <c r="AT935" s="27"/>
      <c r="AU935" s="31"/>
      <c r="AV935" s="24"/>
      <c r="AW935"/>
      <c r="AX935"/>
      <c r="AY935"/>
      <c r="AZ935"/>
      <c r="BA935"/>
      <c r="BB935"/>
      <c r="BC935"/>
      <c r="BD935"/>
      <c r="BE935"/>
      <c r="BF935"/>
      <c r="BG935"/>
    </row>
    <row r="936" spans="2:59" x14ac:dyDescent="0.25">
      <c r="B936" s="22"/>
      <c r="C936" s="23"/>
      <c r="E936" s="23"/>
      <c r="F936" s="24"/>
      <c r="G936" s="2"/>
      <c r="H936" s="10" t="e">
        <f>_xlfn.XLOOKUP(F936,Viloyatlar24[RegionName],Viloyatlar24[RegionId])</f>
        <v>#N/A</v>
      </c>
      <c r="I936" s="10" t="e">
        <f>_xlfn.XLOOKUP('Кўчмас мулк объектлари'!G936,Tumanlar23[DistrictName],Tumanlar23[DistrictId])</f>
        <v>#N/A</v>
      </c>
      <c r="K936" s="24"/>
      <c r="L936" s="10" t="e">
        <f>_xlfn.XLOOKUP(K936,Ташкилотлар39[Ташкилотлар],Ташкилотлар39[TashklilotID])</f>
        <v>#N/A</v>
      </c>
      <c r="M936" s="26"/>
      <c r="N936" s="26"/>
      <c r="O936" s="24"/>
      <c r="P936" s="2"/>
      <c r="Q936" s="26"/>
      <c r="R936" s="26"/>
      <c r="S936" s="26"/>
      <c r="T936" s="26"/>
      <c r="U936" s="24"/>
      <c r="V936" s="10" t="e">
        <f>_xlfn.XLOOKUP(U936,Таклифлар37[Таклифлар],Таклифлар37[TaklifID])</f>
        <v>#N/A</v>
      </c>
      <c r="W936" s="24"/>
      <c r="X936" s="23"/>
      <c r="Y936" s="7"/>
      <c r="Z936" s="26"/>
      <c r="AB936" s="23"/>
      <c r="AD936" s="2"/>
      <c r="AG936" s="23"/>
      <c r="AI936" s="26"/>
      <c r="AJ936" s="23"/>
      <c r="AM936" s="23"/>
      <c r="AO936" s="32"/>
      <c r="AP936" s="26"/>
      <c r="AR936" s="26"/>
      <c r="AS936" s="27"/>
      <c r="AT936" s="27"/>
      <c r="AU936" s="31"/>
      <c r="AV936" s="24"/>
      <c r="AW936"/>
      <c r="AX936"/>
      <c r="AY936"/>
      <c r="AZ936"/>
      <c r="BA936"/>
      <c r="BB936"/>
      <c r="BC936"/>
      <c r="BD936"/>
      <c r="BE936"/>
      <c r="BF936"/>
      <c r="BG936"/>
    </row>
    <row r="937" spans="2:59" x14ac:dyDescent="0.25">
      <c r="B937" s="22"/>
      <c r="C937" s="23"/>
      <c r="E937" s="23"/>
      <c r="F937" s="24"/>
      <c r="G937" s="2"/>
      <c r="H937" s="10" t="e">
        <f>_xlfn.XLOOKUP(F937,Viloyatlar24[RegionName],Viloyatlar24[RegionId])</f>
        <v>#N/A</v>
      </c>
      <c r="I937" s="10" t="e">
        <f>_xlfn.XLOOKUP('Кўчмас мулк объектлари'!G937,Tumanlar23[DistrictName],Tumanlar23[DistrictId])</f>
        <v>#N/A</v>
      </c>
      <c r="K937" s="24"/>
      <c r="L937" s="10" t="e">
        <f>_xlfn.XLOOKUP(K937,Ташкилотлар39[Ташкилотлар],Ташкилотлар39[TashklilotID])</f>
        <v>#N/A</v>
      </c>
      <c r="M937" s="26"/>
      <c r="N937" s="26"/>
      <c r="O937" s="24"/>
      <c r="P937" s="2"/>
      <c r="Q937" s="26"/>
      <c r="R937" s="26"/>
      <c r="S937" s="26"/>
      <c r="T937" s="26"/>
      <c r="U937" s="24"/>
      <c r="V937" s="10" t="e">
        <f>_xlfn.XLOOKUP(U937,Таклифлар37[Таклифлар],Таклифлар37[TaklifID])</f>
        <v>#N/A</v>
      </c>
      <c r="W937" s="24"/>
      <c r="X937" s="23"/>
      <c r="Y937" s="7"/>
      <c r="Z937" s="26"/>
      <c r="AB937" s="23"/>
      <c r="AD937" s="2"/>
      <c r="AG937" s="23"/>
      <c r="AI937" s="26"/>
      <c r="AJ937" s="23"/>
      <c r="AM937" s="23"/>
      <c r="AO937" s="32"/>
      <c r="AP937" s="26"/>
      <c r="AR937" s="26"/>
      <c r="AS937" s="27"/>
      <c r="AT937" s="27"/>
      <c r="AU937" s="31"/>
      <c r="AV937" s="24"/>
      <c r="AW937"/>
      <c r="AX937"/>
      <c r="AY937"/>
      <c r="AZ937"/>
      <c r="BA937"/>
      <c r="BB937"/>
      <c r="BC937"/>
      <c r="BD937"/>
      <c r="BE937"/>
      <c r="BF937"/>
      <c r="BG937"/>
    </row>
    <row r="938" spans="2:59" x14ac:dyDescent="0.25">
      <c r="B938" s="22"/>
      <c r="C938" s="23"/>
      <c r="E938" s="23"/>
      <c r="F938" s="24"/>
      <c r="G938" s="2"/>
      <c r="H938" s="10" t="e">
        <f>_xlfn.XLOOKUP(F938,Viloyatlar24[RegionName],Viloyatlar24[RegionId])</f>
        <v>#N/A</v>
      </c>
      <c r="I938" s="10" t="e">
        <f>_xlfn.XLOOKUP('Кўчмас мулк объектлари'!G938,Tumanlar23[DistrictName],Tumanlar23[DistrictId])</f>
        <v>#N/A</v>
      </c>
      <c r="K938" s="24"/>
      <c r="L938" s="10" t="e">
        <f>_xlfn.XLOOKUP(K938,Ташкилотлар39[Ташкилотлар],Ташкилотлар39[TashklilotID])</f>
        <v>#N/A</v>
      </c>
      <c r="M938" s="26"/>
      <c r="N938" s="26"/>
      <c r="O938" s="24"/>
      <c r="P938" s="2"/>
      <c r="Q938" s="26"/>
      <c r="R938" s="26"/>
      <c r="S938" s="26"/>
      <c r="T938" s="26"/>
      <c r="U938" s="24"/>
      <c r="V938" s="10" t="e">
        <f>_xlfn.XLOOKUP(U938,Таклифлар37[Таклифлар],Таклифлар37[TaklifID])</f>
        <v>#N/A</v>
      </c>
      <c r="W938" s="24"/>
      <c r="X938" s="23"/>
      <c r="Y938" s="7"/>
      <c r="Z938" s="26"/>
      <c r="AB938" s="23"/>
      <c r="AD938" s="2"/>
      <c r="AG938" s="23"/>
      <c r="AI938" s="26"/>
      <c r="AJ938" s="23"/>
      <c r="AM938" s="23"/>
      <c r="AO938" s="32"/>
      <c r="AP938" s="26"/>
      <c r="AR938" s="26"/>
      <c r="AS938" s="27"/>
      <c r="AT938" s="27"/>
      <c r="AU938" s="31"/>
      <c r="AV938" s="24"/>
      <c r="AW938"/>
      <c r="AX938"/>
      <c r="AY938"/>
      <c r="AZ938"/>
      <c r="BA938"/>
      <c r="BB938"/>
      <c r="BC938"/>
      <c r="BD938"/>
      <c r="BE938"/>
      <c r="BF938"/>
      <c r="BG938"/>
    </row>
    <row r="939" spans="2:59" x14ac:dyDescent="0.25">
      <c r="B939" s="22"/>
      <c r="C939" s="23"/>
      <c r="E939" s="23"/>
      <c r="F939" s="24"/>
      <c r="G939" s="2"/>
      <c r="H939" s="10" t="e">
        <f>_xlfn.XLOOKUP(F939,Viloyatlar24[RegionName],Viloyatlar24[RegionId])</f>
        <v>#N/A</v>
      </c>
      <c r="I939" s="10" t="e">
        <f>_xlfn.XLOOKUP('Кўчмас мулк объектлари'!G939,Tumanlar23[DistrictName],Tumanlar23[DistrictId])</f>
        <v>#N/A</v>
      </c>
      <c r="K939" s="24"/>
      <c r="L939" s="10" t="e">
        <f>_xlfn.XLOOKUP(K939,Ташкилотлар39[Ташкилотлар],Ташкилотлар39[TashklilotID])</f>
        <v>#N/A</v>
      </c>
      <c r="M939" s="26"/>
      <c r="N939" s="26"/>
      <c r="O939" s="24"/>
      <c r="P939" s="2"/>
      <c r="Q939" s="26"/>
      <c r="R939" s="26"/>
      <c r="S939" s="26"/>
      <c r="T939" s="26"/>
      <c r="U939" s="24"/>
      <c r="V939" s="10" t="e">
        <f>_xlfn.XLOOKUP(U939,Таклифлар37[Таклифлар],Таклифлар37[TaklifID])</f>
        <v>#N/A</v>
      </c>
      <c r="W939" s="24"/>
      <c r="X939" s="23"/>
      <c r="Y939" s="7"/>
      <c r="Z939" s="26"/>
      <c r="AB939" s="23"/>
      <c r="AD939" s="2"/>
      <c r="AG939" s="23"/>
      <c r="AI939" s="26"/>
      <c r="AJ939" s="23"/>
      <c r="AM939" s="23"/>
      <c r="AO939" s="32"/>
      <c r="AP939" s="26"/>
      <c r="AR939" s="26"/>
      <c r="AS939" s="27"/>
      <c r="AT939" s="27"/>
      <c r="AU939" s="31"/>
      <c r="AV939" s="24"/>
      <c r="AW939"/>
      <c r="AX939"/>
      <c r="AY939"/>
      <c r="AZ939"/>
      <c r="BA939"/>
      <c r="BB939"/>
      <c r="BC939"/>
      <c r="BD939"/>
      <c r="BE939"/>
      <c r="BF939"/>
      <c r="BG939"/>
    </row>
    <row r="940" spans="2:59" x14ac:dyDescent="0.25">
      <c r="B940" s="22"/>
      <c r="C940" s="23"/>
      <c r="E940" s="23"/>
      <c r="F940" s="24"/>
      <c r="G940" s="2"/>
      <c r="H940" s="10" t="e">
        <f>_xlfn.XLOOKUP(F940,Viloyatlar24[RegionName],Viloyatlar24[RegionId])</f>
        <v>#N/A</v>
      </c>
      <c r="I940" s="10" t="e">
        <f>_xlfn.XLOOKUP('Кўчмас мулк объектлари'!G940,Tumanlar23[DistrictName],Tumanlar23[DistrictId])</f>
        <v>#N/A</v>
      </c>
      <c r="K940" s="24"/>
      <c r="L940" s="10" t="e">
        <f>_xlfn.XLOOKUP(K940,Ташкилотлар39[Ташкилотлар],Ташкилотлар39[TashklilotID])</f>
        <v>#N/A</v>
      </c>
      <c r="M940" s="26"/>
      <c r="N940" s="26"/>
      <c r="O940" s="24"/>
      <c r="P940" s="2"/>
      <c r="Q940" s="26"/>
      <c r="R940" s="26"/>
      <c r="S940" s="26"/>
      <c r="T940" s="26"/>
      <c r="U940" s="24"/>
      <c r="V940" s="10" t="e">
        <f>_xlfn.XLOOKUP(U940,Таклифлар37[Таклифлар],Таклифлар37[TaklifID])</f>
        <v>#N/A</v>
      </c>
      <c r="W940" s="24"/>
      <c r="X940" s="23"/>
      <c r="Y940" s="7"/>
      <c r="Z940" s="26"/>
      <c r="AB940" s="23"/>
      <c r="AD940" s="2"/>
      <c r="AG940" s="23"/>
      <c r="AI940" s="26"/>
      <c r="AJ940" s="23"/>
      <c r="AM940" s="23"/>
      <c r="AO940" s="32"/>
      <c r="AP940" s="26"/>
      <c r="AR940" s="26"/>
      <c r="AS940" s="27"/>
      <c r="AT940" s="27"/>
      <c r="AU940" s="31"/>
      <c r="AV940" s="24"/>
      <c r="AW940"/>
      <c r="AX940"/>
      <c r="AY940"/>
      <c r="AZ940"/>
      <c r="BA940"/>
      <c r="BB940"/>
      <c r="BC940"/>
      <c r="BD940"/>
      <c r="BE940"/>
      <c r="BF940"/>
      <c r="BG940"/>
    </row>
    <row r="941" spans="2:59" x14ac:dyDescent="0.25">
      <c r="B941" s="22"/>
      <c r="C941" s="23"/>
      <c r="E941" s="23"/>
      <c r="F941" s="24"/>
      <c r="G941" s="2"/>
      <c r="H941" s="10" t="e">
        <f>_xlfn.XLOOKUP(F941,Viloyatlar24[RegionName],Viloyatlar24[RegionId])</f>
        <v>#N/A</v>
      </c>
      <c r="I941" s="10" t="e">
        <f>_xlfn.XLOOKUP('Кўчмас мулк объектлари'!G941,Tumanlar23[DistrictName],Tumanlar23[DistrictId])</f>
        <v>#N/A</v>
      </c>
      <c r="K941" s="24"/>
      <c r="L941" s="10" t="e">
        <f>_xlfn.XLOOKUP(K941,Ташкилотлар39[Ташкилотлар],Ташкилотлар39[TashklilotID])</f>
        <v>#N/A</v>
      </c>
      <c r="M941" s="26"/>
      <c r="N941" s="26"/>
      <c r="O941" s="24"/>
      <c r="P941" s="2"/>
      <c r="Q941" s="26"/>
      <c r="R941" s="26"/>
      <c r="S941" s="26"/>
      <c r="T941" s="26"/>
      <c r="U941" s="24"/>
      <c r="V941" s="10" t="e">
        <f>_xlfn.XLOOKUP(U941,Таклифлар37[Таклифлар],Таклифлар37[TaklifID])</f>
        <v>#N/A</v>
      </c>
      <c r="W941" s="24"/>
      <c r="X941" s="23"/>
      <c r="Y941" s="7"/>
      <c r="Z941" s="26"/>
      <c r="AB941" s="23"/>
      <c r="AD941" s="2"/>
      <c r="AG941" s="23"/>
      <c r="AI941" s="26"/>
      <c r="AJ941" s="23"/>
      <c r="AM941" s="23"/>
      <c r="AO941" s="32"/>
      <c r="AP941" s="26"/>
      <c r="AR941" s="26"/>
      <c r="AS941" s="27"/>
      <c r="AT941" s="27"/>
      <c r="AU941" s="31"/>
      <c r="AV941" s="24"/>
      <c r="AW941"/>
      <c r="AX941"/>
      <c r="AY941"/>
      <c r="AZ941"/>
      <c r="BA941"/>
      <c r="BB941"/>
      <c r="BC941"/>
      <c r="BD941"/>
      <c r="BE941"/>
      <c r="BF941"/>
      <c r="BG941"/>
    </row>
    <row r="942" spans="2:59" x14ac:dyDescent="0.25">
      <c r="B942" s="22"/>
      <c r="C942" s="23"/>
      <c r="E942" s="23"/>
      <c r="F942" s="24"/>
      <c r="G942" s="2"/>
      <c r="H942" s="10" t="e">
        <f>_xlfn.XLOOKUP(F942,Viloyatlar24[RegionName],Viloyatlar24[RegionId])</f>
        <v>#N/A</v>
      </c>
      <c r="I942" s="10" t="e">
        <f>_xlfn.XLOOKUP('Кўчмас мулк объектлари'!G942,Tumanlar23[DistrictName],Tumanlar23[DistrictId])</f>
        <v>#N/A</v>
      </c>
      <c r="K942" s="24"/>
      <c r="L942" s="10" t="e">
        <f>_xlfn.XLOOKUP(K942,Ташкилотлар39[Ташкилотлар],Ташкилотлар39[TashklilotID])</f>
        <v>#N/A</v>
      </c>
      <c r="M942" s="26"/>
      <c r="N942" s="26"/>
      <c r="O942" s="24"/>
      <c r="P942" s="2"/>
      <c r="Q942" s="26"/>
      <c r="R942" s="26"/>
      <c r="S942" s="26"/>
      <c r="T942" s="26"/>
      <c r="U942" s="24"/>
      <c r="V942" s="10" t="e">
        <f>_xlfn.XLOOKUP(U942,Таклифлар37[Таклифлар],Таклифлар37[TaklifID])</f>
        <v>#N/A</v>
      </c>
      <c r="W942" s="24"/>
      <c r="X942" s="23"/>
      <c r="Y942" s="7"/>
      <c r="Z942" s="26"/>
      <c r="AB942" s="23"/>
      <c r="AD942" s="2"/>
      <c r="AG942" s="23"/>
      <c r="AI942" s="26"/>
      <c r="AJ942" s="23"/>
      <c r="AM942" s="23"/>
      <c r="AO942" s="32"/>
      <c r="AP942" s="26"/>
      <c r="AR942" s="26"/>
      <c r="AS942" s="27"/>
      <c r="AT942" s="27"/>
      <c r="AU942" s="31"/>
      <c r="AV942" s="24"/>
      <c r="AW942"/>
      <c r="AX942"/>
      <c r="AY942"/>
      <c r="AZ942"/>
      <c r="BA942"/>
      <c r="BB942"/>
      <c r="BC942"/>
      <c r="BD942"/>
      <c r="BE942"/>
      <c r="BF942"/>
      <c r="BG942"/>
    </row>
    <row r="943" spans="2:59" x14ac:dyDescent="0.25">
      <c r="B943" s="22"/>
      <c r="C943" s="23"/>
      <c r="E943" s="23"/>
      <c r="F943" s="24"/>
      <c r="G943" s="2"/>
      <c r="H943" s="10" t="e">
        <f>_xlfn.XLOOKUP(F943,Viloyatlar24[RegionName],Viloyatlar24[RegionId])</f>
        <v>#N/A</v>
      </c>
      <c r="I943" s="10" t="e">
        <f>_xlfn.XLOOKUP('Кўчмас мулк объектлари'!G943,Tumanlar23[DistrictName],Tumanlar23[DistrictId])</f>
        <v>#N/A</v>
      </c>
      <c r="K943" s="24"/>
      <c r="L943" s="10" t="e">
        <f>_xlfn.XLOOKUP(K943,Ташкилотлар39[Ташкилотлар],Ташкилотлар39[TashklilotID])</f>
        <v>#N/A</v>
      </c>
      <c r="M943" s="26"/>
      <c r="N943" s="26"/>
      <c r="O943" s="24"/>
      <c r="P943" s="2"/>
      <c r="Q943" s="26"/>
      <c r="R943" s="26"/>
      <c r="S943" s="26"/>
      <c r="T943" s="26"/>
      <c r="U943" s="24"/>
      <c r="V943" s="10" t="e">
        <f>_xlfn.XLOOKUP(U943,Таклифлар37[Таклифлар],Таклифлар37[TaklifID])</f>
        <v>#N/A</v>
      </c>
      <c r="W943" s="24"/>
      <c r="X943" s="23"/>
      <c r="Y943" s="7"/>
      <c r="Z943" s="26"/>
      <c r="AB943" s="23"/>
      <c r="AD943" s="2"/>
      <c r="AG943" s="23"/>
      <c r="AI943" s="26"/>
      <c r="AJ943" s="23"/>
      <c r="AM943" s="23"/>
      <c r="AO943" s="32"/>
      <c r="AP943" s="26"/>
      <c r="AR943" s="26"/>
      <c r="AS943" s="27"/>
      <c r="AT943" s="27"/>
      <c r="AU943" s="31"/>
      <c r="AV943" s="24"/>
      <c r="AW943"/>
      <c r="AX943"/>
      <c r="AY943"/>
      <c r="AZ943"/>
      <c r="BA943"/>
      <c r="BB943"/>
      <c r="BC943"/>
      <c r="BD943"/>
      <c r="BE943"/>
      <c r="BF943"/>
      <c r="BG943"/>
    </row>
    <row r="944" spans="2:59" x14ac:dyDescent="0.25">
      <c r="B944" s="22"/>
      <c r="C944" s="23"/>
      <c r="E944" s="23"/>
      <c r="F944" s="24"/>
      <c r="G944" s="2"/>
      <c r="H944" s="10" t="e">
        <f>_xlfn.XLOOKUP(F944,Viloyatlar24[RegionName],Viloyatlar24[RegionId])</f>
        <v>#N/A</v>
      </c>
      <c r="I944" s="10" t="e">
        <f>_xlfn.XLOOKUP('Кўчмас мулк объектлари'!G944,Tumanlar23[DistrictName],Tumanlar23[DistrictId])</f>
        <v>#N/A</v>
      </c>
      <c r="K944" s="24"/>
      <c r="L944" s="10" t="e">
        <f>_xlfn.XLOOKUP(K944,Ташкилотлар39[Ташкилотлар],Ташкилотлар39[TashklilotID])</f>
        <v>#N/A</v>
      </c>
      <c r="M944" s="26"/>
      <c r="N944" s="26"/>
      <c r="O944" s="24"/>
      <c r="P944" s="2"/>
      <c r="Q944" s="26"/>
      <c r="R944" s="26"/>
      <c r="S944" s="26"/>
      <c r="T944" s="26"/>
      <c r="U944" s="24"/>
      <c r="V944" s="10" t="e">
        <f>_xlfn.XLOOKUP(U944,Таклифлар37[Таклифлар],Таклифлар37[TaklifID])</f>
        <v>#N/A</v>
      </c>
      <c r="W944" s="24"/>
      <c r="X944" s="23"/>
      <c r="Y944" s="7"/>
      <c r="Z944" s="26"/>
      <c r="AB944" s="23"/>
      <c r="AD944" s="2"/>
      <c r="AG944" s="23"/>
      <c r="AI944" s="26"/>
      <c r="AJ944" s="23"/>
      <c r="AM944" s="23"/>
      <c r="AO944" s="32"/>
      <c r="AP944" s="26"/>
      <c r="AR944" s="26"/>
      <c r="AS944" s="27"/>
      <c r="AT944" s="27"/>
      <c r="AU944" s="31"/>
      <c r="AV944" s="24"/>
      <c r="AW944"/>
      <c r="AX944"/>
      <c r="AY944"/>
      <c r="AZ944"/>
      <c r="BA944"/>
      <c r="BB944"/>
      <c r="BC944"/>
      <c r="BD944"/>
      <c r="BE944"/>
      <c r="BF944"/>
      <c r="BG944"/>
    </row>
    <row r="945" spans="2:59" x14ac:dyDescent="0.25">
      <c r="B945" s="22"/>
      <c r="C945" s="23"/>
      <c r="E945" s="23"/>
      <c r="F945" s="24"/>
      <c r="G945" s="2"/>
      <c r="H945" s="10" t="e">
        <f>_xlfn.XLOOKUP(F945,Viloyatlar24[RegionName],Viloyatlar24[RegionId])</f>
        <v>#N/A</v>
      </c>
      <c r="I945" s="10" t="e">
        <f>_xlfn.XLOOKUP('Кўчмас мулк объектлари'!G945,Tumanlar23[DistrictName],Tumanlar23[DistrictId])</f>
        <v>#N/A</v>
      </c>
      <c r="K945" s="24"/>
      <c r="L945" s="10" t="e">
        <f>_xlfn.XLOOKUP(K945,Ташкилотлар39[Ташкилотлар],Ташкилотлар39[TashklilotID])</f>
        <v>#N/A</v>
      </c>
      <c r="M945" s="26"/>
      <c r="N945" s="26"/>
      <c r="O945" s="24"/>
      <c r="P945" s="2"/>
      <c r="Q945" s="26"/>
      <c r="R945" s="26"/>
      <c r="S945" s="26"/>
      <c r="T945" s="26"/>
      <c r="U945" s="24"/>
      <c r="V945" s="10" t="e">
        <f>_xlfn.XLOOKUP(U945,Таклифлар37[Таклифлар],Таклифлар37[TaklifID])</f>
        <v>#N/A</v>
      </c>
      <c r="W945" s="24"/>
      <c r="X945" s="23"/>
      <c r="Y945" s="7"/>
      <c r="Z945" s="26"/>
      <c r="AB945" s="23"/>
      <c r="AD945" s="2"/>
      <c r="AG945" s="23"/>
      <c r="AI945" s="26"/>
      <c r="AJ945" s="23"/>
      <c r="AM945" s="23"/>
      <c r="AO945" s="32"/>
      <c r="AP945" s="26"/>
      <c r="AR945" s="26"/>
      <c r="AS945" s="27"/>
      <c r="AT945" s="27"/>
      <c r="AU945" s="31"/>
      <c r="AV945" s="24"/>
      <c r="AW945"/>
      <c r="AX945"/>
      <c r="AY945"/>
      <c r="AZ945"/>
      <c r="BA945"/>
      <c r="BB945"/>
      <c r="BC945"/>
      <c r="BD945"/>
      <c r="BE945"/>
      <c r="BF945"/>
      <c r="BG945"/>
    </row>
    <row r="946" spans="2:59" x14ac:dyDescent="0.25">
      <c r="B946" s="22"/>
      <c r="C946" s="23"/>
      <c r="E946" s="23"/>
      <c r="F946" s="24"/>
      <c r="G946" s="2"/>
      <c r="H946" s="10" t="e">
        <f>_xlfn.XLOOKUP(F946,Viloyatlar24[RegionName],Viloyatlar24[RegionId])</f>
        <v>#N/A</v>
      </c>
      <c r="I946" s="10" t="e">
        <f>_xlfn.XLOOKUP('Кўчмас мулк объектлари'!G946,Tumanlar23[DistrictName],Tumanlar23[DistrictId])</f>
        <v>#N/A</v>
      </c>
      <c r="K946" s="24"/>
      <c r="L946" s="10" t="e">
        <f>_xlfn.XLOOKUP(K946,Ташкилотлар39[Ташкилотлар],Ташкилотлар39[TashklilotID])</f>
        <v>#N/A</v>
      </c>
      <c r="M946" s="26"/>
      <c r="N946" s="26"/>
      <c r="O946" s="24"/>
      <c r="P946" s="2"/>
      <c r="Q946" s="26"/>
      <c r="R946" s="26"/>
      <c r="S946" s="26"/>
      <c r="T946" s="26"/>
      <c r="U946" s="24"/>
      <c r="V946" s="10" t="e">
        <f>_xlfn.XLOOKUP(U946,Таклифлар37[Таклифлар],Таклифлар37[TaklifID])</f>
        <v>#N/A</v>
      </c>
      <c r="W946" s="24"/>
      <c r="X946" s="23"/>
      <c r="Y946" s="7"/>
      <c r="Z946" s="26"/>
      <c r="AB946" s="23"/>
      <c r="AD946" s="2"/>
      <c r="AG946" s="23"/>
      <c r="AI946" s="26"/>
      <c r="AJ946" s="23"/>
      <c r="AM946" s="23"/>
      <c r="AO946" s="32"/>
      <c r="AP946" s="26"/>
      <c r="AR946" s="26"/>
      <c r="AS946" s="27"/>
      <c r="AT946" s="27"/>
      <c r="AU946" s="31"/>
      <c r="AV946" s="24"/>
      <c r="AW946"/>
      <c r="AX946"/>
      <c r="AY946"/>
      <c r="AZ946"/>
      <c r="BA946"/>
      <c r="BB946"/>
      <c r="BC946"/>
      <c r="BD946"/>
      <c r="BE946"/>
      <c r="BF946"/>
      <c r="BG946"/>
    </row>
    <row r="947" spans="2:59" x14ac:dyDescent="0.25">
      <c r="B947" s="22"/>
      <c r="C947" s="23"/>
      <c r="E947" s="23"/>
      <c r="F947" s="24"/>
      <c r="G947" s="2"/>
      <c r="H947" s="10" t="e">
        <f>_xlfn.XLOOKUP(F947,Viloyatlar24[RegionName],Viloyatlar24[RegionId])</f>
        <v>#N/A</v>
      </c>
      <c r="I947" s="10" t="e">
        <f>_xlfn.XLOOKUP('Кўчмас мулк объектлари'!G947,Tumanlar23[DistrictName],Tumanlar23[DistrictId])</f>
        <v>#N/A</v>
      </c>
      <c r="K947" s="24"/>
      <c r="L947" s="10" t="e">
        <f>_xlfn.XLOOKUP(K947,Ташкилотлар39[Ташкилотлар],Ташкилотлар39[TashklilotID])</f>
        <v>#N/A</v>
      </c>
      <c r="M947" s="26"/>
      <c r="N947" s="26"/>
      <c r="O947" s="24"/>
      <c r="P947" s="2"/>
      <c r="Q947" s="26"/>
      <c r="R947" s="26"/>
      <c r="S947" s="26"/>
      <c r="T947" s="26"/>
      <c r="U947" s="24"/>
      <c r="V947" s="10" t="e">
        <f>_xlfn.XLOOKUP(U947,Таклифлар37[Таклифлар],Таклифлар37[TaklifID])</f>
        <v>#N/A</v>
      </c>
      <c r="W947" s="24"/>
      <c r="X947" s="23"/>
      <c r="Y947" s="7"/>
      <c r="Z947" s="26"/>
      <c r="AB947" s="23"/>
      <c r="AD947" s="2"/>
      <c r="AG947" s="23"/>
      <c r="AI947" s="26"/>
      <c r="AJ947" s="23"/>
      <c r="AM947" s="23"/>
      <c r="AO947" s="32"/>
      <c r="AP947" s="26"/>
      <c r="AR947" s="26"/>
      <c r="AS947" s="27"/>
      <c r="AT947" s="27"/>
      <c r="AU947" s="31"/>
      <c r="AV947" s="24"/>
      <c r="AW947"/>
      <c r="AX947"/>
      <c r="AY947"/>
      <c r="AZ947"/>
      <c r="BA947"/>
      <c r="BB947"/>
      <c r="BC947"/>
      <c r="BD947"/>
      <c r="BE947"/>
      <c r="BF947"/>
      <c r="BG947"/>
    </row>
    <row r="948" spans="2:59" x14ac:dyDescent="0.25">
      <c r="B948" s="22"/>
      <c r="C948" s="23"/>
      <c r="E948" s="23"/>
      <c r="F948" s="24"/>
      <c r="G948" s="2"/>
      <c r="H948" s="10" t="e">
        <f>_xlfn.XLOOKUP(F948,Viloyatlar24[RegionName],Viloyatlar24[RegionId])</f>
        <v>#N/A</v>
      </c>
      <c r="I948" s="10" t="e">
        <f>_xlfn.XLOOKUP('Кўчмас мулк объектлари'!G948,Tumanlar23[DistrictName],Tumanlar23[DistrictId])</f>
        <v>#N/A</v>
      </c>
      <c r="K948" s="24"/>
      <c r="L948" s="10" t="e">
        <f>_xlfn.XLOOKUP(K948,Ташкилотлар39[Ташкилотлар],Ташкилотлар39[TashklilotID])</f>
        <v>#N/A</v>
      </c>
      <c r="M948" s="26"/>
      <c r="N948" s="26"/>
      <c r="O948" s="24"/>
      <c r="P948" s="2"/>
      <c r="Q948" s="26"/>
      <c r="R948" s="26"/>
      <c r="S948" s="26"/>
      <c r="T948" s="26"/>
      <c r="U948" s="24"/>
      <c r="V948" s="10" t="e">
        <f>_xlfn.XLOOKUP(U948,Таклифлар37[Таклифлар],Таклифлар37[TaklifID])</f>
        <v>#N/A</v>
      </c>
      <c r="W948" s="24"/>
      <c r="X948" s="23"/>
      <c r="Y948" s="7"/>
      <c r="Z948" s="26"/>
      <c r="AB948" s="23"/>
      <c r="AD948" s="2"/>
      <c r="AG948" s="23"/>
      <c r="AI948" s="26"/>
      <c r="AJ948" s="23"/>
      <c r="AM948" s="23"/>
      <c r="AO948" s="32"/>
      <c r="AP948" s="26"/>
      <c r="AR948" s="26"/>
      <c r="AS948" s="27"/>
      <c r="AT948" s="27"/>
      <c r="AU948" s="31"/>
      <c r="AV948" s="24"/>
      <c r="AW948"/>
      <c r="AX948"/>
      <c r="AY948"/>
      <c r="AZ948"/>
      <c r="BA948"/>
      <c r="BB948"/>
      <c r="BC948"/>
      <c r="BD948"/>
      <c r="BE948"/>
      <c r="BF948"/>
      <c r="BG948"/>
    </row>
    <row r="949" spans="2:59" x14ac:dyDescent="0.25">
      <c r="B949" s="22"/>
      <c r="C949" s="23"/>
      <c r="E949" s="23"/>
      <c r="F949" s="24"/>
      <c r="G949" s="2"/>
      <c r="H949" s="10" t="e">
        <f>_xlfn.XLOOKUP(F949,Viloyatlar24[RegionName],Viloyatlar24[RegionId])</f>
        <v>#N/A</v>
      </c>
      <c r="I949" s="10" t="e">
        <f>_xlfn.XLOOKUP('Кўчмас мулк объектлари'!G949,Tumanlar23[DistrictName],Tumanlar23[DistrictId])</f>
        <v>#N/A</v>
      </c>
      <c r="K949" s="24"/>
      <c r="L949" s="10" t="e">
        <f>_xlfn.XLOOKUP(K949,Ташкилотлар39[Ташкилотлар],Ташкилотлар39[TashklilotID])</f>
        <v>#N/A</v>
      </c>
      <c r="M949" s="26"/>
      <c r="N949" s="26"/>
      <c r="O949" s="24"/>
      <c r="P949" s="2"/>
      <c r="Q949" s="26"/>
      <c r="R949" s="26"/>
      <c r="S949" s="26"/>
      <c r="T949" s="26"/>
      <c r="U949" s="24"/>
      <c r="V949" s="10" t="e">
        <f>_xlfn.XLOOKUP(U949,Таклифлар37[Таклифлар],Таклифлар37[TaklifID])</f>
        <v>#N/A</v>
      </c>
      <c r="W949" s="24"/>
      <c r="X949" s="23"/>
      <c r="Y949" s="7"/>
      <c r="Z949" s="26"/>
      <c r="AB949" s="23"/>
      <c r="AD949" s="2"/>
      <c r="AG949" s="23"/>
      <c r="AI949" s="26"/>
      <c r="AJ949" s="23"/>
      <c r="AM949" s="23"/>
      <c r="AO949" s="32"/>
      <c r="AP949" s="26"/>
      <c r="AR949" s="26"/>
      <c r="AS949" s="27"/>
      <c r="AT949" s="27"/>
      <c r="AU949" s="31"/>
      <c r="AV949" s="24"/>
      <c r="AW949"/>
      <c r="AX949"/>
      <c r="AY949"/>
      <c r="AZ949"/>
      <c r="BA949"/>
      <c r="BB949"/>
      <c r="BC949"/>
      <c r="BD949"/>
      <c r="BE949"/>
      <c r="BF949"/>
      <c r="BG949"/>
    </row>
    <row r="950" spans="2:59" x14ac:dyDescent="0.25">
      <c r="B950" s="22"/>
      <c r="C950" s="23"/>
      <c r="E950" s="23"/>
      <c r="F950" s="24"/>
      <c r="G950" s="2"/>
      <c r="H950" s="10" t="e">
        <f>_xlfn.XLOOKUP(F950,Viloyatlar24[RegionName],Viloyatlar24[RegionId])</f>
        <v>#N/A</v>
      </c>
      <c r="I950" s="10" t="e">
        <f>_xlfn.XLOOKUP('Кўчмас мулк объектлари'!G950,Tumanlar23[DistrictName],Tumanlar23[DistrictId])</f>
        <v>#N/A</v>
      </c>
      <c r="K950" s="24"/>
      <c r="L950" s="10" t="e">
        <f>_xlfn.XLOOKUP(K950,Ташкилотлар39[Ташкилотлар],Ташкилотлар39[TashklilotID])</f>
        <v>#N/A</v>
      </c>
      <c r="M950" s="26"/>
      <c r="N950" s="26"/>
      <c r="O950" s="24"/>
      <c r="P950" s="2"/>
      <c r="Q950" s="26"/>
      <c r="R950" s="26"/>
      <c r="S950" s="26"/>
      <c r="T950" s="26"/>
      <c r="U950" s="24"/>
      <c r="V950" s="10" t="e">
        <f>_xlfn.XLOOKUP(U950,Таклифлар37[Таклифлар],Таклифлар37[TaklifID])</f>
        <v>#N/A</v>
      </c>
      <c r="W950" s="24"/>
      <c r="X950" s="23"/>
      <c r="Y950" s="7"/>
      <c r="Z950" s="26"/>
      <c r="AB950" s="23"/>
      <c r="AD950" s="2"/>
      <c r="AG950" s="23"/>
      <c r="AI950" s="26"/>
      <c r="AJ950" s="23"/>
      <c r="AM950" s="23"/>
      <c r="AO950" s="32"/>
      <c r="AP950" s="26"/>
      <c r="AR950" s="26"/>
      <c r="AS950" s="27"/>
      <c r="AT950" s="27"/>
      <c r="AU950" s="31"/>
      <c r="AV950" s="24"/>
      <c r="AW950"/>
      <c r="AX950"/>
      <c r="AY950"/>
      <c r="AZ950"/>
      <c r="BA950"/>
      <c r="BB950"/>
      <c r="BC950"/>
      <c r="BD950"/>
      <c r="BE950"/>
      <c r="BF950"/>
      <c r="BG950"/>
    </row>
    <row r="951" spans="2:59" x14ac:dyDescent="0.25">
      <c r="B951" s="22"/>
      <c r="C951" s="23"/>
      <c r="E951" s="23"/>
      <c r="F951" s="24"/>
      <c r="G951" s="2"/>
      <c r="H951" s="10" t="e">
        <f>_xlfn.XLOOKUP(F951,Viloyatlar24[RegionName],Viloyatlar24[RegionId])</f>
        <v>#N/A</v>
      </c>
      <c r="I951" s="10" t="e">
        <f>_xlfn.XLOOKUP('Кўчмас мулк объектлари'!G951,Tumanlar23[DistrictName],Tumanlar23[DistrictId])</f>
        <v>#N/A</v>
      </c>
      <c r="K951" s="24"/>
      <c r="L951" s="10" t="e">
        <f>_xlfn.XLOOKUP(K951,Ташкилотлар39[Ташкилотлар],Ташкилотлар39[TashklilotID])</f>
        <v>#N/A</v>
      </c>
      <c r="M951" s="26"/>
      <c r="N951" s="26"/>
      <c r="O951" s="24"/>
      <c r="P951" s="2"/>
      <c r="Q951" s="26"/>
      <c r="R951" s="26"/>
      <c r="S951" s="26"/>
      <c r="T951" s="26"/>
      <c r="U951" s="24"/>
      <c r="V951" s="10" t="e">
        <f>_xlfn.XLOOKUP(U951,Таклифлар37[Таклифлар],Таклифлар37[TaklifID])</f>
        <v>#N/A</v>
      </c>
      <c r="W951" s="24"/>
      <c r="X951" s="23"/>
      <c r="Y951" s="7"/>
      <c r="Z951" s="26"/>
      <c r="AB951" s="23"/>
      <c r="AD951" s="2"/>
      <c r="AG951" s="23"/>
      <c r="AI951" s="26"/>
      <c r="AJ951" s="23"/>
      <c r="AM951" s="23"/>
      <c r="AO951" s="32"/>
      <c r="AP951" s="26"/>
      <c r="AR951" s="26"/>
      <c r="AS951" s="27"/>
      <c r="AT951" s="27"/>
      <c r="AU951" s="31"/>
      <c r="AV951" s="24"/>
      <c r="AW951"/>
      <c r="AX951"/>
      <c r="AY951"/>
      <c r="AZ951"/>
      <c r="BA951"/>
      <c r="BB951"/>
      <c r="BC951"/>
      <c r="BD951"/>
      <c r="BE951"/>
      <c r="BF951"/>
      <c r="BG951"/>
    </row>
    <row r="952" spans="2:59" x14ac:dyDescent="0.25">
      <c r="B952" s="22"/>
      <c r="C952" s="23"/>
      <c r="E952" s="23"/>
      <c r="F952" s="24"/>
      <c r="G952" s="2"/>
      <c r="H952" s="10" t="e">
        <f>_xlfn.XLOOKUP(F952,Viloyatlar24[RegionName],Viloyatlar24[RegionId])</f>
        <v>#N/A</v>
      </c>
      <c r="I952" s="10" t="e">
        <f>_xlfn.XLOOKUP('Кўчмас мулк объектлари'!G952,Tumanlar23[DistrictName],Tumanlar23[DistrictId])</f>
        <v>#N/A</v>
      </c>
      <c r="K952" s="24"/>
      <c r="L952" s="10" t="e">
        <f>_xlfn.XLOOKUP(K952,Ташкилотлар39[Ташкилотлар],Ташкилотлар39[TashklilotID])</f>
        <v>#N/A</v>
      </c>
      <c r="M952" s="26"/>
      <c r="N952" s="26"/>
      <c r="O952" s="24"/>
      <c r="P952" s="2"/>
      <c r="Q952" s="26"/>
      <c r="R952" s="26"/>
      <c r="S952" s="26"/>
      <c r="T952" s="26"/>
      <c r="U952" s="24"/>
      <c r="V952" s="10" t="e">
        <f>_xlfn.XLOOKUP(U952,Таклифлар37[Таклифлар],Таклифлар37[TaklifID])</f>
        <v>#N/A</v>
      </c>
      <c r="W952" s="24"/>
      <c r="X952" s="23"/>
      <c r="Y952" s="7"/>
      <c r="Z952" s="26"/>
      <c r="AB952" s="23"/>
      <c r="AD952" s="2"/>
      <c r="AG952" s="23"/>
      <c r="AI952" s="26"/>
      <c r="AJ952" s="23"/>
      <c r="AM952" s="23"/>
      <c r="AO952" s="32"/>
      <c r="AP952" s="26"/>
      <c r="AR952" s="26"/>
      <c r="AS952" s="27"/>
      <c r="AT952" s="27"/>
      <c r="AU952" s="31"/>
      <c r="AV952" s="24"/>
      <c r="AW952"/>
      <c r="AX952"/>
      <c r="AY952"/>
      <c r="AZ952"/>
      <c r="BA952"/>
      <c r="BB952"/>
      <c r="BC952"/>
      <c r="BD952"/>
      <c r="BE952"/>
      <c r="BF952"/>
      <c r="BG952"/>
    </row>
    <row r="953" spans="2:59" x14ac:dyDescent="0.25">
      <c r="B953" s="22"/>
      <c r="C953" s="23"/>
      <c r="E953" s="23"/>
      <c r="F953" s="24"/>
      <c r="G953" s="2"/>
      <c r="H953" s="10" t="e">
        <f>_xlfn.XLOOKUP(F953,Viloyatlar24[RegionName],Viloyatlar24[RegionId])</f>
        <v>#N/A</v>
      </c>
      <c r="I953" s="10" t="e">
        <f>_xlfn.XLOOKUP('Кўчмас мулк объектлари'!G953,Tumanlar23[DistrictName],Tumanlar23[DistrictId])</f>
        <v>#N/A</v>
      </c>
      <c r="K953" s="24"/>
      <c r="L953" s="10" t="e">
        <f>_xlfn.XLOOKUP(K953,Ташкилотлар39[Ташкилотлар],Ташкилотлар39[TashklilotID])</f>
        <v>#N/A</v>
      </c>
      <c r="M953" s="26"/>
      <c r="N953" s="26"/>
      <c r="O953" s="24"/>
      <c r="P953" s="2"/>
      <c r="Q953" s="26"/>
      <c r="R953" s="26"/>
      <c r="S953" s="26"/>
      <c r="T953" s="26"/>
      <c r="U953" s="24"/>
      <c r="V953" s="10" t="e">
        <f>_xlfn.XLOOKUP(U953,Таклифлар37[Таклифлар],Таклифлар37[TaklifID])</f>
        <v>#N/A</v>
      </c>
      <c r="W953" s="24"/>
      <c r="X953" s="23"/>
      <c r="Y953" s="7"/>
      <c r="Z953" s="26"/>
      <c r="AB953" s="23"/>
      <c r="AD953" s="2"/>
      <c r="AG953" s="23"/>
      <c r="AI953" s="26"/>
      <c r="AJ953" s="23"/>
      <c r="AM953" s="23"/>
      <c r="AO953" s="32"/>
      <c r="AP953" s="26"/>
      <c r="AR953" s="26"/>
      <c r="AS953" s="27"/>
      <c r="AT953" s="27"/>
      <c r="AU953" s="31"/>
      <c r="AV953" s="24"/>
      <c r="AW953"/>
      <c r="AX953"/>
      <c r="AY953"/>
      <c r="AZ953"/>
      <c r="BA953"/>
      <c r="BB953"/>
      <c r="BC953"/>
      <c r="BD953"/>
      <c r="BE953"/>
      <c r="BF953"/>
      <c r="BG953"/>
    </row>
    <row r="954" spans="2:59" x14ac:dyDescent="0.25">
      <c r="B954" s="22"/>
      <c r="C954" s="23"/>
      <c r="E954" s="23"/>
      <c r="F954" s="24"/>
      <c r="G954" s="2"/>
      <c r="H954" s="10" t="e">
        <f>_xlfn.XLOOKUP(F954,Viloyatlar24[RegionName],Viloyatlar24[RegionId])</f>
        <v>#N/A</v>
      </c>
      <c r="I954" s="10" t="e">
        <f>_xlfn.XLOOKUP('Кўчмас мулк объектлари'!G954,Tumanlar23[DistrictName],Tumanlar23[DistrictId])</f>
        <v>#N/A</v>
      </c>
      <c r="K954" s="24"/>
      <c r="L954" s="10" t="e">
        <f>_xlfn.XLOOKUP(K954,Ташкилотлар39[Ташкилотлар],Ташкилотлар39[TashklilotID])</f>
        <v>#N/A</v>
      </c>
      <c r="M954" s="26"/>
      <c r="N954" s="26"/>
      <c r="O954" s="24"/>
      <c r="P954" s="2"/>
      <c r="Q954" s="26"/>
      <c r="R954" s="26"/>
      <c r="S954" s="26"/>
      <c r="T954" s="26"/>
      <c r="U954" s="24"/>
      <c r="V954" s="10" t="e">
        <f>_xlfn.XLOOKUP(U954,Таклифлар37[Таклифлар],Таклифлар37[TaklifID])</f>
        <v>#N/A</v>
      </c>
      <c r="W954" s="24"/>
      <c r="X954" s="23"/>
      <c r="Y954" s="7"/>
      <c r="Z954" s="26"/>
      <c r="AB954" s="23"/>
      <c r="AD954" s="2"/>
      <c r="AG954" s="23"/>
      <c r="AI954" s="26"/>
      <c r="AJ954" s="23"/>
      <c r="AM954" s="23"/>
      <c r="AO954" s="32"/>
      <c r="AP954" s="26"/>
      <c r="AR954" s="26"/>
      <c r="AS954" s="27"/>
      <c r="AT954" s="27"/>
      <c r="AU954" s="31"/>
      <c r="AV954" s="24"/>
      <c r="AW954"/>
      <c r="AX954"/>
      <c r="AY954"/>
      <c r="AZ954"/>
      <c r="BA954"/>
      <c r="BB954"/>
      <c r="BC954"/>
      <c r="BD954"/>
      <c r="BE954"/>
      <c r="BF954"/>
      <c r="BG954"/>
    </row>
    <row r="955" spans="2:59" x14ac:dyDescent="0.25">
      <c r="B955" s="22"/>
      <c r="C955" s="23"/>
      <c r="E955" s="23"/>
      <c r="F955" s="24"/>
      <c r="G955" s="2"/>
      <c r="H955" s="10" t="e">
        <f>_xlfn.XLOOKUP(F955,Viloyatlar24[RegionName],Viloyatlar24[RegionId])</f>
        <v>#N/A</v>
      </c>
      <c r="I955" s="10" t="e">
        <f>_xlfn.XLOOKUP('Кўчмас мулк объектлари'!G955,Tumanlar23[DistrictName],Tumanlar23[DistrictId])</f>
        <v>#N/A</v>
      </c>
      <c r="K955" s="24"/>
      <c r="L955" s="10" t="e">
        <f>_xlfn.XLOOKUP(K955,Ташкилотлар39[Ташкилотлар],Ташкилотлар39[TashklilotID])</f>
        <v>#N/A</v>
      </c>
      <c r="M955" s="26"/>
      <c r="N955" s="26"/>
      <c r="O955" s="24"/>
      <c r="P955" s="2"/>
      <c r="Q955" s="26"/>
      <c r="R955" s="26"/>
      <c r="S955" s="26"/>
      <c r="T955" s="26"/>
      <c r="U955" s="24"/>
      <c r="V955" s="10" t="e">
        <f>_xlfn.XLOOKUP(U955,Таклифлар37[Таклифлар],Таклифлар37[TaklifID])</f>
        <v>#N/A</v>
      </c>
      <c r="W955" s="24"/>
      <c r="X955" s="23"/>
      <c r="Y955" s="7"/>
      <c r="Z955" s="26"/>
      <c r="AB955" s="23"/>
      <c r="AD955" s="2"/>
      <c r="AG955" s="23"/>
      <c r="AI955" s="26"/>
      <c r="AJ955" s="23"/>
      <c r="AM955" s="23"/>
      <c r="AO955" s="32"/>
      <c r="AP955" s="26"/>
      <c r="AR955" s="26"/>
      <c r="AS955" s="27"/>
      <c r="AT955" s="27"/>
      <c r="AU955" s="31"/>
      <c r="AV955" s="24"/>
      <c r="AW955"/>
      <c r="AX955"/>
      <c r="AY955"/>
      <c r="AZ955"/>
      <c r="BA955"/>
      <c r="BB955"/>
      <c r="BC955"/>
      <c r="BD955"/>
      <c r="BE955"/>
      <c r="BF955"/>
      <c r="BG955"/>
    </row>
    <row r="956" spans="2:59" x14ac:dyDescent="0.25">
      <c r="B956" s="22"/>
      <c r="C956" s="23"/>
      <c r="E956" s="23"/>
      <c r="F956" s="24"/>
      <c r="G956" s="2"/>
      <c r="H956" s="10" t="e">
        <f>_xlfn.XLOOKUP(F956,Viloyatlar24[RegionName],Viloyatlar24[RegionId])</f>
        <v>#N/A</v>
      </c>
      <c r="I956" s="10" t="e">
        <f>_xlfn.XLOOKUP('Кўчмас мулк объектлари'!G956,Tumanlar23[DistrictName],Tumanlar23[DistrictId])</f>
        <v>#N/A</v>
      </c>
      <c r="K956" s="24"/>
      <c r="L956" s="10" t="e">
        <f>_xlfn.XLOOKUP(K956,Ташкилотлар39[Ташкилотлар],Ташкилотлар39[TashklilotID])</f>
        <v>#N/A</v>
      </c>
      <c r="M956" s="26"/>
      <c r="N956" s="26"/>
      <c r="O956" s="24"/>
      <c r="P956" s="2"/>
      <c r="Q956" s="26"/>
      <c r="R956" s="26"/>
      <c r="S956" s="26"/>
      <c r="T956" s="26"/>
      <c r="U956" s="24"/>
      <c r="V956" s="10" t="e">
        <f>_xlfn.XLOOKUP(U956,Таклифлар37[Таклифлар],Таклифлар37[TaklifID])</f>
        <v>#N/A</v>
      </c>
      <c r="W956" s="24"/>
      <c r="X956" s="23"/>
      <c r="Y956" s="7"/>
      <c r="Z956" s="26"/>
      <c r="AB956" s="23"/>
      <c r="AD956" s="2"/>
      <c r="AG956" s="23"/>
      <c r="AI956" s="26"/>
      <c r="AJ956" s="23"/>
      <c r="AM956" s="23"/>
      <c r="AO956" s="32"/>
      <c r="AP956" s="26"/>
      <c r="AR956" s="26"/>
      <c r="AS956" s="27"/>
      <c r="AT956" s="27"/>
      <c r="AU956" s="31"/>
      <c r="AV956" s="24"/>
      <c r="AW956"/>
      <c r="AX956"/>
      <c r="AY956"/>
      <c r="AZ956"/>
      <c r="BA956"/>
      <c r="BB956"/>
      <c r="BC956"/>
      <c r="BD956"/>
      <c r="BE956"/>
      <c r="BF956"/>
      <c r="BG956"/>
    </row>
    <row r="957" spans="2:59" x14ac:dyDescent="0.25">
      <c r="B957" s="22"/>
      <c r="C957" s="23"/>
      <c r="E957" s="23"/>
      <c r="F957" s="24"/>
      <c r="G957" s="2"/>
      <c r="H957" s="10" t="e">
        <f>_xlfn.XLOOKUP(F957,Viloyatlar24[RegionName],Viloyatlar24[RegionId])</f>
        <v>#N/A</v>
      </c>
      <c r="I957" s="10" t="e">
        <f>_xlfn.XLOOKUP('Кўчмас мулк объектлари'!G957,Tumanlar23[DistrictName],Tumanlar23[DistrictId])</f>
        <v>#N/A</v>
      </c>
      <c r="K957" s="24"/>
      <c r="L957" s="10" t="e">
        <f>_xlfn.XLOOKUP(K957,Ташкилотлар39[Ташкилотлар],Ташкилотлар39[TashklilotID])</f>
        <v>#N/A</v>
      </c>
      <c r="M957" s="26"/>
      <c r="N957" s="26"/>
      <c r="O957" s="24"/>
      <c r="P957" s="2"/>
      <c r="Q957" s="26"/>
      <c r="R957" s="26"/>
      <c r="S957" s="26"/>
      <c r="T957" s="26"/>
      <c r="U957" s="24"/>
      <c r="V957" s="10" t="e">
        <f>_xlfn.XLOOKUP(U957,Таклифлар37[Таклифлар],Таклифлар37[TaklifID])</f>
        <v>#N/A</v>
      </c>
      <c r="W957" s="24"/>
      <c r="X957" s="23"/>
      <c r="Y957" s="7"/>
      <c r="Z957" s="26"/>
      <c r="AB957" s="23"/>
      <c r="AD957" s="2"/>
      <c r="AG957" s="23"/>
      <c r="AI957" s="26"/>
      <c r="AJ957" s="23"/>
      <c r="AM957" s="23"/>
      <c r="AO957" s="32"/>
      <c r="AP957" s="26"/>
      <c r="AR957" s="26"/>
      <c r="AS957" s="27"/>
      <c r="AT957" s="27"/>
      <c r="AU957" s="31"/>
      <c r="AV957" s="24"/>
      <c r="AW957"/>
      <c r="AX957"/>
      <c r="AY957"/>
      <c r="AZ957"/>
      <c r="BA957"/>
      <c r="BB957"/>
      <c r="BC957"/>
      <c r="BD957"/>
      <c r="BE957"/>
      <c r="BF957"/>
      <c r="BG957"/>
    </row>
    <row r="958" spans="2:59" x14ac:dyDescent="0.25">
      <c r="B958" s="22"/>
      <c r="C958" s="23"/>
      <c r="E958" s="23"/>
      <c r="F958" s="24"/>
      <c r="G958" s="2"/>
      <c r="H958" s="10" t="e">
        <f>_xlfn.XLOOKUP(F958,Viloyatlar24[RegionName],Viloyatlar24[RegionId])</f>
        <v>#N/A</v>
      </c>
      <c r="I958" s="10" t="e">
        <f>_xlfn.XLOOKUP('Кўчмас мулк объектлари'!G958,Tumanlar23[DistrictName],Tumanlar23[DistrictId])</f>
        <v>#N/A</v>
      </c>
      <c r="K958" s="24"/>
      <c r="L958" s="10" t="e">
        <f>_xlfn.XLOOKUP(K958,Ташкилотлар39[Ташкилотлар],Ташкилотлар39[TashklilotID])</f>
        <v>#N/A</v>
      </c>
      <c r="M958" s="26"/>
      <c r="N958" s="26"/>
      <c r="O958" s="24"/>
      <c r="P958" s="2"/>
      <c r="Q958" s="26"/>
      <c r="R958" s="26"/>
      <c r="S958" s="26"/>
      <c r="T958" s="26"/>
      <c r="U958" s="24"/>
      <c r="V958" s="10" t="e">
        <f>_xlfn.XLOOKUP(U958,Таклифлар37[Таклифлар],Таклифлар37[TaklifID])</f>
        <v>#N/A</v>
      </c>
      <c r="W958" s="24"/>
      <c r="X958" s="23"/>
      <c r="Y958" s="7"/>
      <c r="Z958" s="26"/>
      <c r="AB958" s="23"/>
      <c r="AD958" s="2"/>
      <c r="AG958" s="23"/>
      <c r="AI958" s="26"/>
      <c r="AJ958" s="23"/>
      <c r="AM958" s="23"/>
      <c r="AO958" s="32"/>
      <c r="AP958" s="26"/>
      <c r="AR958" s="26"/>
      <c r="AS958" s="27"/>
      <c r="AT958" s="27"/>
      <c r="AU958" s="31"/>
      <c r="AV958" s="24"/>
      <c r="AW958"/>
      <c r="AX958"/>
      <c r="AY958"/>
      <c r="AZ958"/>
      <c r="BA958"/>
      <c r="BB958"/>
      <c r="BC958"/>
      <c r="BD958"/>
      <c r="BE958"/>
      <c r="BF958"/>
      <c r="BG958"/>
    </row>
    <row r="959" spans="2:59" x14ac:dyDescent="0.25">
      <c r="B959" s="22"/>
      <c r="C959" s="23"/>
      <c r="E959" s="23"/>
      <c r="F959" s="24"/>
      <c r="G959" s="2"/>
      <c r="H959" s="10" t="e">
        <f>_xlfn.XLOOKUP(F959,Viloyatlar24[RegionName],Viloyatlar24[RegionId])</f>
        <v>#N/A</v>
      </c>
      <c r="I959" s="10" t="e">
        <f>_xlfn.XLOOKUP('Кўчмас мулк объектлари'!G959,Tumanlar23[DistrictName],Tumanlar23[DistrictId])</f>
        <v>#N/A</v>
      </c>
      <c r="K959" s="24"/>
      <c r="L959" s="10" t="e">
        <f>_xlfn.XLOOKUP(K959,Ташкилотлар39[Ташкилотлар],Ташкилотлар39[TashklilotID])</f>
        <v>#N/A</v>
      </c>
      <c r="M959" s="26"/>
      <c r="N959" s="26"/>
      <c r="O959" s="24"/>
      <c r="P959" s="2"/>
      <c r="Q959" s="26"/>
      <c r="R959" s="26"/>
      <c r="S959" s="26"/>
      <c r="T959" s="26"/>
      <c r="U959" s="24"/>
      <c r="V959" s="10" t="e">
        <f>_xlfn.XLOOKUP(U959,Таклифлар37[Таклифлар],Таклифлар37[TaklifID])</f>
        <v>#N/A</v>
      </c>
      <c r="W959" s="24"/>
      <c r="X959" s="23"/>
      <c r="Y959" s="7"/>
      <c r="Z959" s="26"/>
      <c r="AB959" s="23"/>
      <c r="AD959" s="2"/>
      <c r="AG959" s="23"/>
      <c r="AI959" s="26"/>
      <c r="AJ959" s="23"/>
      <c r="AM959" s="23"/>
      <c r="AO959" s="32"/>
      <c r="AP959" s="26"/>
      <c r="AR959" s="26"/>
      <c r="AS959" s="27"/>
      <c r="AT959" s="27"/>
      <c r="AU959" s="31"/>
      <c r="AV959" s="24"/>
      <c r="AW959"/>
      <c r="AX959"/>
      <c r="AY959"/>
      <c r="AZ959"/>
      <c r="BA959"/>
      <c r="BB959"/>
      <c r="BC959"/>
      <c r="BD959"/>
      <c r="BE959"/>
      <c r="BF959"/>
      <c r="BG959"/>
    </row>
    <row r="960" spans="2:59" x14ac:dyDescent="0.25">
      <c r="B960" s="22"/>
      <c r="C960" s="23"/>
      <c r="E960" s="23"/>
      <c r="F960" s="24"/>
      <c r="G960" s="2"/>
      <c r="H960" s="10" t="e">
        <f>_xlfn.XLOOKUP(F960,Viloyatlar24[RegionName],Viloyatlar24[RegionId])</f>
        <v>#N/A</v>
      </c>
      <c r="I960" s="10" t="e">
        <f>_xlfn.XLOOKUP('Кўчмас мулк объектлари'!G960,Tumanlar23[DistrictName],Tumanlar23[DistrictId])</f>
        <v>#N/A</v>
      </c>
      <c r="K960" s="24"/>
      <c r="L960" s="10" t="e">
        <f>_xlfn.XLOOKUP(K960,Ташкилотлар39[Ташкилотлар],Ташкилотлар39[TashklilotID])</f>
        <v>#N/A</v>
      </c>
      <c r="M960" s="26"/>
      <c r="N960" s="26"/>
      <c r="O960" s="24"/>
      <c r="P960" s="2"/>
      <c r="Q960" s="26"/>
      <c r="R960" s="26"/>
      <c r="S960" s="26"/>
      <c r="T960" s="26"/>
      <c r="U960" s="24"/>
      <c r="V960" s="10" t="e">
        <f>_xlfn.XLOOKUP(U960,Таклифлар37[Таклифлар],Таклифлар37[TaklifID])</f>
        <v>#N/A</v>
      </c>
      <c r="W960" s="24"/>
      <c r="X960" s="23"/>
      <c r="Y960" s="7"/>
      <c r="Z960" s="26"/>
      <c r="AB960" s="23"/>
      <c r="AD960" s="2"/>
      <c r="AG960" s="23"/>
      <c r="AI960" s="26"/>
      <c r="AJ960" s="23"/>
      <c r="AM960" s="23"/>
      <c r="AO960" s="32"/>
      <c r="AP960" s="26"/>
      <c r="AR960" s="26"/>
      <c r="AS960" s="27"/>
      <c r="AT960" s="27"/>
      <c r="AU960" s="31"/>
      <c r="AV960" s="24"/>
      <c r="AW960"/>
      <c r="AX960"/>
      <c r="AY960"/>
      <c r="AZ960"/>
      <c r="BA960"/>
      <c r="BB960"/>
      <c r="BC960"/>
      <c r="BD960"/>
      <c r="BE960"/>
      <c r="BF960"/>
      <c r="BG960"/>
    </row>
    <row r="961" spans="2:59" x14ac:dyDescent="0.25">
      <c r="B961" s="22"/>
      <c r="C961" s="23"/>
      <c r="E961" s="23"/>
      <c r="F961" s="24"/>
      <c r="G961" s="2"/>
      <c r="H961" s="10" t="e">
        <f>_xlfn.XLOOKUP(F961,Viloyatlar24[RegionName],Viloyatlar24[RegionId])</f>
        <v>#N/A</v>
      </c>
      <c r="I961" s="10" t="e">
        <f>_xlfn.XLOOKUP('Кўчмас мулк объектлари'!G961,Tumanlar23[DistrictName],Tumanlar23[DistrictId])</f>
        <v>#N/A</v>
      </c>
      <c r="K961" s="24"/>
      <c r="L961" s="10" t="e">
        <f>_xlfn.XLOOKUP(K961,Ташкилотлар39[Ташкилотлар],Ташкилотлар39[TashklilotID])</f>
        <v>#N/A</v>
      </c>
      <c r="M961" s="26"/>
      <c r="N961" s="26"/>
      <c r="O961" s="24"/>
      <c r="P961" s="2"/>
      <c r="Q961" s="26"/>
      <c r="R961" s="26"/>
      <c r="S961" s="26"/>
      <c r="T961" s="26"/>
      <c r="U961" s="24"/>
      <c r="V961" s="10" t="e">
        <f>_xlfn.XLOOKUP(U961,Таклифлар37[Таклифлар],Таклифлар37[TaklifID])</f>
        <v>#N/A</v>
      </c>
      <c r="W961" s="24"/>
      <c r="X961" s="23"/>
      <c r="Y961" s="7"/>
      <c r="Z961" s="26"/>
      <c r="AB961" s="23"/>
      <c r="AD961" s="2"/>
      <c r="AG961" s="23"/>
      <c r="AI961" s="26"/>
      <c r="AJ961" s="23"/>
      <c r="AM961" s="23"/>
      <c r="AO961" s="32"/>
      <c r="AP961" s="26"/>
      <c r="AR961" s="26"/>
      <c r="AS961" s="27"/>
      <c r="AT961" s="27"/>
      <c r="AU961" s="31"/>
      <c r="AV961" s="24"/>
      <c r="AW961"/>
      <c r="AX961"/>
      <c r="AY961"/>
      <c r="AZ961"/>
      <c r="BA961"/>
      <c r="BB961"/>
      <c r="BC961"/>
      <c r="BD961"/>
      <c r="BE961"/>
      <c r="BF961"/>
      <c r="BG961"/>
    </row>
    <row r="962" spans="2:59" x14ac:dyDescent="0.25">
      <c r="B962" s="22"/>
      <c r="C962" s="23"/>
      <c r="E962" s="23"/>
      <c r="F962" s="24"/>
      <c r="G962" s="2"/>
      <c r="H962" s="10" t="e">
        <f>_xlfn.XLOOKUP(F962,Viloyatlar24[RegionName],Viloyatlar24[RegionId])</f>
        <v>#N/A</v>
      </c>
      <c r="I962" s="10" t="e">
        <f>_xlfn.XLOOKUP('Кўчмас мулк объектлари'!G962,Tumanlar23[DistrictName],Tumanlar23[DistrictId])</f>
        <v>#N/A</v>
      </c>
      <c r="K962" s="24"/>
      <c r="L962" s="10" t="e">
        <f>_xlfn.XLOOKUP(K962,Ташкилотлар39[Ташкилотлар],Ташкилотлар39[TashklilotID])</f>
        <v>#N/A</v>
      </c>
      <c r="M962" s="26"/>
      <c r="N962" s="26"/>
      <c r="O962" s="24"/>
      <c r="P962" s="2"/>
      <c r="Q962" s="26"/>
      <c r="R962" s="26"/>
      <c r="S962" s="26"/>
      <c r="T962" s="26"/>
      <c r="U962" s="24"/>
      <c r="V962" s="10" t="e">
        <f>_xlfn.XLOOKUP(U962,Таклифлар37[Таклифлар],Таклифлар37[TaklifID])</f>
        <v>#N/A</v>
      </c>
      <c r="W962" s="24"/>
      <c r="X962" s="23"/>
      <c r="Y962" s="7"/>
      <c r="Z962" s="26"/>
      <c r="AB962" s="23"/>
      <c r="AD962" s="2"/>
      <c r="AG962" s="23"/>
      <c r="AI962" s="26"/>
      <c r="AJ962" s="23"/>
      <c r="AM962" s="23"/>
      <c r="AO962" s="32"/>
      <c r="AP962" s="26"/>
      <c r="AR962" s="26"/>
      <c r="AS962" s="27"/>
      <c r="AT962" s="27"/>
      <c r="AU962" s="31"/>
      <c r="AV962" s="24"/>
      <c r="AW962"/>
      <c r="AX962"/>
      <c r="AY962"/>
      <c r="AZ962"/>
      <c r="BA962"/>
      <c r="BB962"/>
      <c r="BC962"/>
      <c r="BD962"/>
      <c r="BE962"/>
      <c r="BF962"/>
      <c r="BG962"/>
    </row>
    <row r="963" spans="2:59" x14ac:dyDescent="0.25">
      <c r="B963" s="22"/>
      <c r="C963" s="23"/>
      <c r="E963" s="23"/>
      <c r="F963" s="24"/>
      <c r="G963" s="2"/>
      <c r="H963" s="10" t="e">
        <f>_xlfn.XLOOKUP(F963,Viloyatlar24[RegionName],Viloyatlar24[RegionId])</f>
        <v>#N/A</v>
      </c>
      <c r="I963" s="10" t="e">
        <f>_xlfn.XLOOKUP('Кўчмас мулк объектлари'!G963,Tumanlar23[DistrictName],Tumanlar23[DistrictId])</f>
        <v>#N/A</v>
      </c>
      <c r="K963" s="24"/>
      <c r="L963" s="10" t="e">
        <f>_xlfn.XLOOKUP(K963,Ташкилотлар39[Ташкилотлар],Ташкилотлар39[TashklilotID])</f>
        <v>#N/A</v>
      </c>
      <c r="M963" s="26"/>
      <c r="N963" s="26"/>
      <c r="O963" s="24"/>
      <c r="P963" s="2"/>
      <c r="Q963" s="26"/>
      <c r="R963" s="26"/>
      <c r="S963" s="26"/>
      <c r="T963" s="26"/>
      <c r="U963" s="24"/>
      <c r="V963" s="10" t="e">
        <f>_xlfn.XLOOKUP(U963,Таклифлар37[Таклифлар],Таклифлар37[TaklifID])</f>
        <v>#N/A</v>
      </c>
      <c r="W963" s="24"/>
      <c r="X963" s="23"/>
      <c r="Y963" s="7"/>
      <c r="Z963" s="26"/>
      <c r="AB963" s="23"/>
      <c r="AD963" s="2"/>
      <c r="AG963" s="23"/>
      <c r="AI963" s="26"/>
      <c r="AJ963" s="23"/>
      <c r="AM963" s="23"/>
      <c r="AO963" s="32"/>
      <c r="AP963" s="26"/>
      <c r="AR963" s="26"/>
      <c r="AS963" s="27"/>
      <c r="AT963" s="27"/>
      <c r="AU963" s="31"/>
      <c r="AV963" s="24"/>
      <c r="AW963"/>
      <c r="AX963"/>
      <c r="AY963"/>
      <c r="AZ963"/>
      <c r="BA963"/>
      <c r="BB963"/>
      <c r="BC963"/>
      <c r="BD963"/>
      <c r="BE963"/>
      <c r="BF963"/>
      <c r="BG963"/>
    </row>
    <row r="964" spans="2:59" x14ac:dyDescent="0.25">
      <c r="B964" s="22"/>
      <c r="C964" s="23"/>
      <c r="E964" s="23"/>
      <c r="F964" s="24"/>
      <c r="G964" s="2"/>
      <c r="H964" s="10" t="e">
        <f>_xlfn.XLOOKUP(F964,Viloyatlar24[RegionName],Viloyatlar24[RegionId])</f>
        <v>#N/A</v>
      </c>
      <c r="I964" s="10" t="e">
        <f>_xlfn.XLOOKUP('Кўчмас мулк объектлари'!G964,Tumanlar23[DistrictName],Tumanlar23[DistrictId])</f>
        <v>#N/A</v>
      </c>
      <c r="K964" s="24"/>
      <c r="L964" s="10" t="e">
        <f>_xlfn.XLOOKUP(K964,Ташкилотлар39[Ташкилотлар],Ташкилотлар39[TashklilotID])</f>
        <v>#N/A</v>
      </c>
      <c r="M964" s="26"/>
      <c r="N964" s="26"/>
      <c r="O964" s="24"/>
      <c r="P964" s="2"/>
      <c r="Q964" s="26"/>
      <c r="R964" s="26"/>
      <c r="S964" s="26"/>
      <c r="T964" s="26"/>
      <c r="U964" s="24"/>
      <c r="V964" s="10" t="e">
        <f>_xlfn.XLOOKUP(U964,Таклифлар37[Таклифлар],Таклифлар37[TaklifID])</f>
        <v>#N/A</v>
      </c>
      <c r="W964" s="24"/>
      <c r="X964" s="23"/>
      <c r="Y964" s="7"/>
      <c r="Z964" s="26"/>
      <c r="AB964" s="23"/>
      <c r="AD964" s="2"/>
      <c r="AG964" s="23"/>
      <c r="AI964" s="26"/>
      <c r="AJ964" s="23"/>
      <c r="AM964" s="23"/>
      <c r="AO964" s="32"/>
      <c r="AP964" s="26"/>
      <c r="AR964" s="26"/>
      <c r="AS964" s="27"/>
      <c r="AT964" s="27"/>
      <c r="AU964" s="31"/>
      <c r="AV964" s="24"/>
      <c r="AW964"/>
      <c r="AX964"/>
      <c r="AY964"/>
      <c r="AZ964"/>
      <c r="BA964"/>
      <c r="BB964"/>
      <c r="BC964"/>
      <c r="BD964"/>
      <c r="BE964"/>
      <c r="BF964"/>
      <c r="BG964"/>
    </row>
    <row r="965" spans="2:59" x14ac:dyDescent="0.25">
      <c r="B965" s="22"/>
      <c r="C965" s="23"/>
      <c r="E965" s="23"/>
      <c r="F965" s="24"/>
      <c r="G965" s="2"/>
      <c r="H965" s="10" t="e">
        <f>_xlfn.XLOOKUP(F965,Viloyatlar24[RegionName],Viloyatlar24[RegionId])</f>
        <v>#N/A</v>
      </c>
      <c r="I965" s="10" t="e">
        <f>_xlfn.XLOOKUP('Кўчмас мулк объектлари'!G965,Tumanlar23[DistrictName],Tumanlar23[DistrictId])</f>
        <v>#N/A</v>
      </c>
      <c r="K965" s="24"/>
      <c r="L965" s="10" t="e">
        <f>_xlfn.XLOOKUP(K965,Ташкилотлар39[Ташкилотлар],Ташкилотлар39[TashklilotID])</f>
        <v>#N/A</v>
      </c>
      <c r="M965" s="26"/>
      <c r="N965" s="26"/>
      <c r="O965" s="24"/>
      <c r="P965" s="2"/>
      <c r="Q965" s="26"/>
      <c r="R965" s="26"/>
      <c r="S965" s="26"/>
      <c r="T965" s="26"/>
      <c r="U965" s="24"/>
      <c r="V965" s="10" t="e">
        <f>_xlfn.XLOOKUP(U965,Таклифлар37[Таклифлар],Таклифлар37[TaklifID])</f>
        <v>#N/A</v>
      </c>
      <c r="W965" s="24"/>
      <c r="X965" s="23"/>
      <c r="Y965" s="7"/>
      <c r="Z965" s="26"/>
      <c r="AB965" s="23"/>
      <c r="AD965" s="2"/>
      <c r="AG965" s="23"/>
      <c r="AI965" s="26"/>
      <c r="AJ965" s="23"/>
      <c r="AM965" s="23"/>
      <c r="AO965" s="32"/>
      <c r="AP965" s="26"/>
      <c r="AR965" s="26"/>
      <c r="AS965" s="27"/>
      <c r="AT965" s="27"/>
      <c r="AU965" s="31"/>
      <c r="AV965" s="24"/>
      <c r="AW965"/>
      <c r="AX965"/>
      <c r="AY965"/>
      <c r="AZ965"/>
      <c r="BA965"/>
      <c r="BB965"/>
      <c r="BC965"/>
      <c r="BD965"/>
      <c r="BE965"/>
      <c r="BF965"/>
      <c r="BG965"/>
    </row>
    <row r="966" spans="2:59" x14ac:dyDescent="0.25">
      <c r="B966" s="22"/>
      <c r="C966" s="23"/>
      <c r="E966" s="23"/>
      <c r="F966" s="24"/>
      <c r="G966" s="2"/>
      <c r="H966" s="10" t="e">
        <f>_xlfn.XLOOKUP(F966,Viloyatlar24[RegionName],Viloyatlar24[RegionId])</f>
        <v>#N/A</v>
      </c>
      <c r="I966" s="10" t="e">
        <f>_xlfn.XLOOKUP('Кўчмас мулк объектлари'!G966,Tumanlar23[DistrictName],Tumanlar23[DistrictId])</f>
        <v>#N/A</v>
      </c>
      <c r="K966" s="24"/>
      <c r="L966" s="10" t="e">
        <f>_xlfn.XLOOKUP(K966,Ташкилотлар39[Ташкилотлар],Ташкилотлар39[TashklilotID])</f>
        <v>#N/A</v>
      </c>
      <c r="M966" s="26"/>
      <c r="N966" s="26"/>
      <c r="O966" s="24"/>
      <c r="P966" s="2"/>
      <c r="Q966" s="26"/>
      <c r="R966" s="26"/>
      <c r="S966" s="26"/>
      <c r="T966" s="26"/>
      <c r="U966" s="24"/>
      <c r="V966" s="10" t="e">
        <f>_xlfn.XLOOKUP(U966,Таклифлар37[Таклифлар],Таклифлар37[TaklifID])</f>
        <v>#N/A</v>
      </c>
      <c r="W966" s="24"/>
      <c r="X966" s="23"/>
      <c r="Y966" s="7"/>
      <c r="Z966" s="26"/>
      <c r="AB966" s="23"/>
      <c r="AD966" s="2"/>
      <c r="AG966" s="23"/>
      <c r="AI966" s="26"/>
      <c r="AJ966" s="23"/>
      <c r="AM966" s="23"/>
      <c r="AO966" s="32"/>
      <c r="AP966" s="26"/>
      <c r="AR966" s="26"/>
      <c r="AS966" s="27"/>
      <c r="AT966" s="27"/>
      <c r="AU966" s="31"/>
      <c r="AV966" s="24"/>
      <c r="AW966"/>
      <c r="AX966"/>
      <c r="AY966"/>
      <c r="AZ966"/>
      <c r="BA966"/>
      <c r="BB966"/>
      <c r="BC966"/>
      <c r="BD966"/>
      <c r="BE966"/>
      <c r="BF966"/>
      <c r="BG966"/>
    </row>
    <row r="967" spans="2:59" x14ac:dyDescent="0.25">
      <c r="B967" s="22"/>
      <c r="C967" s="23"/>
      <c r="E967" s="23"/>
      <c r="F967" s="24"/>
      <c r="G967" s="2"/>
      <c r="H967" s="10" t="e">
        <f>_xlfn.XLOOKUP(F967,Viloyatlar24[RegionName],Viloyatlar24[RegionId])</f>
        <v>#N/A</v>
      </c>
      <c r="I967" s="10" t="e">
        <f>_xlfn.XLOOKUP('Кўчмас мулк объектлари'!G967,Tumanlar23[DistrictName],Tumanlar23[DistrictId])</f>
        <v>#N/A</v>
      </c>
      <c r="K967" s="24"/>
      <c r="L967" s="10" t="e">
        <f>_xlfn.XLOOKUP(K967,Ташкилотлар39[Ташкилотлар],Ташкилотлар39[TashklilotID])</f>
        <v>#N/A</v>
      </c>
      <c r="M967" s="26"/>
      <c r="N967" s="26"/>
      <c r="O967" s="24"/>
      <c r="P967" s="2"/>
      <c r="Q967" s="26"/>
      <c r="R967" s="26"/>
      <c r="S967" s="26"/>
      <c r="T967" s="26"/>
      <c r="U967" s="24"/>
      <c r="V967" s="10" t="e">
        <f>_xlfn.XLOOKUP(U967,Таклифлар37[Таклифлар],Таклифлар37[TaklifID])</f>
        <v>#N/A</v>
      </c>
      <c r="W967" s="24"/>
      <c r="X967" s="23"/>
      <c r="Y967" s="7"/>
      <c r="Z967" s="26"/>
      <c r="AB967" s="23"/>
      <c r="AD967" s="2"/>
      <c r="AG967" s="23"/>
      <c r="AI967" s="26"/>
      <c r="AJ967" s="23"/>
      <c r="AM967" s="23"/>
      <c r="AO967" s="32"/>
      <c r="AP967" s="26"/>
      <c r="AR967" s="26"/>
      <c r="AS967" s="27"/>
      <c r="AT967" s="27"/>
      <c r="AU967" s="31"/>
      <c r="AV967" s="24"/>
      <c r="AW967"/>
      <c r="AX967"/>
      <c r="AY967"/>
      <c r="AZ967"/>
      <c r="BA967"/>
      <c r="BB967"/>
      <c r="BC967"/>
      <c r="BD967"/>
      <c r="BE967"/>
      <c r="BF967"/>
      <c r="BG967"/>
    </row>
    <row r="968" spans="2:59" x14ac:dyDescent="0.25">
      <c r="B968" s="22"/>
      <c r="C968" s="23"/>
      <c r="E968" s="23"/>
      <c r="F968" s="24"/>
      <c r="G968" s="2"/>
      <c r="H968" s="10" t="e">
        <f>_xlfn.XLOOKUP(F968,Viloyatlar24[RegionName],Viloyatlar24[RegionId])</f>
        <v>#N/A</v>
      </c>
      <c r="I968" s="10" t="e">
        <f>_xlfn.XLOOKUP('Кўчмас мулк объектлари'!G968,Tumanlar23[DistrictName],Tumanlar23[DistrictId])</f>
        <v>#N/A</v>
      </c>
      <c r="K968" s="24"/>
      <c r="L968" s="10" t="e">
        <f>_xlfn.XLOOKUP(K968,Ташкилотлар39[Ташкилотлар],Ташкилотлар39[TashklilotID])</f>
        <v>#N/A</v>
      </c>
      <c r="M968" s="26"/>
      <c r="N968" s="26"/>
      <c r="O968" s="24"/>
      <c r="P968" s="2"/>
      <c r="Q968" s="26"/>
      <c r="R968" s="26"/>
      <c r="S968" s="26"/>
      <c r="T968" s="26"/>
      <c r="U968" s="24"/>
      <c r="V968" s="10" t="e">
        <f>_xlfn.XLOOKUP(U968,Таклифлар37[Таклифлар],Таклифлар37[TaklifID])</f>
        <v>#N/A</v>
      </c>
      <c r="W968" s="24"/>
      <c r="X968" s="23"/>
      <c r="Y968" s="7"/>
      <c r="Z968" s="26"/>
      <c r="AB968" s="23"/>
      <c r="AD968" s="2"/>
      <c r="AG968" s="23"/>
      <c r="AI968" s="26"/>
      <c r="AJ968" s="23"/>
      <c r="AM968" s="23"/>
      <c r="AO968" s="32"/>
      <c r="AP968" s="26"/>
      <c r="AR968" s="26"/>
      <c r="AS968" s="27"/>
      <c r="AT968" s="27"/>
      <c r="AU968" s="31"/>
      <c r="AV968" s="24"/>
      <c r="AW968"/>
      <c r="AX968"/>
      <c r="AY968"/>
      <c r="AZ968"/>
      <c r="BA968"/>
      <c r="BB968"/>
      <c r="BC968"/>
      <c r="BD968"/>
      <c r="BE968"/>
      <c r="BF968"/>
      <c r="BG968"/>
    </row>
    <row r="969" spans="2:59" x14ac:dyDescent="0.25">
      <c r="B969" s="22"/>
      <c r="C969" s="23"/>
      <c r="E969" s="23"/>
      <c r="F969" s="24"/>
      <c r="G969" s="2"/>
      <c r="H969" s="10" t="e">
        <f>_xlfn.XLOOKUP(F969,Viloyatlar24[RegionName],Viloyatlar24[RegionId])</f>
        <v>#N/A</v>
      </c>
      <c r="I969" s="10" t="e">
        <f>_xlfn.XLOOKUP('Кўчмас мулк объектлари'!G969,Tumanlar23[DistrictName],Tumanlar23[DistrictId])</f>
        <v>#N/A</v>
      </c>
      <c r="K969" s="24"/>
      <c r="L969" s="10" t="e">
        <f>_xlfn.XLOOKUP(K969,Ташкилотлар39[Ташкилотлар],Ташкилотлар39[TashklilotID])</f>
        <v>#N/A</v>
      </c>
      <c r="M969" s="26"/>
      <c r="N969" s="26"/>
      <c r="O969" s="24"/>
      <c r="P969" s="2"/>
      <c r="Q969" s="26"/>
      <c r="R969" s="26"/>
      <c r="S969" s="26"/>
      <c r="T969" s="26"/>
      <c r="U969" s="24"/>
      <c r="V969" s="10" t="e">
        <f>_xlfn.XLOOKUP(U969,Таклифлар37[Таклифлар],Таклифлар37[TaklifID])</f>
        <v>#N/A</v>
      </c>
      <c r="W969" s="24"/>
      <c r="X969" s="23"/>
      <c r="Y969" s="7"/>
      <c r="Z969" s="26"/>
      <c r="AB969" s="23"/>
      <c r="AD969" s="2"/>
      <c r="AG969" s="23"/>
      <c r="AI969" s="26"/>
      <c r="AJ969" s="23"/>
      <c r="AM969" s="23"/>
      <c r="AO969" s="32"/>
      <c r="AP969" s="26"/>
      <c r="AR969" s="26"/>
      <c r="AS969" s="27"/>
      <c r="AT969" s="27"/>
      <c r="AU969" s="31"/>
      <c r="AV969" s="24"/>
      <c r="AW969"/>
      <c r="AX969"/>
      <c r="AY969"/>
      <c r="AZ969"/>
      <c r="BA969"/>
      <c r="BB969"/>
      <c r="BC969"/>
      <c r="BD969"/>
      <c r="BE969"/>
      <c r="BF969"/>
      <c r="BG969"/>
    </row>
    <row r="970" spans="2:59" x14ac:dyDescent="0.25">
      <c r="B970" s="22"/>
      <c r="C970" s="23"/>
      <c r="E970" s="23"/>
      <c r="F970" s="24"/>
      <c r="G970" s="2"/>
      <c r="H970" s="10" t="e">
        <f>_xlfn.XLOOKUP(F970,Viloyatlar24[RegionName],Viloyatlar24[RegionId])</f>
        <v>#N/A</v>
      </c>
      <c r="I970" s="10" t="e">
        <f>_xlfn.XLOOKUP('Кўчмас мулк объектлари'!G970,Tumanlar23[DistrictName],Tumanlar23[DistrictId])</f>
        <v>#N/A</v>
      </c>
      <c r="K970" s="24"/>
      <c r="L970" s="10" t="e">
        <f>_xlfn.XLOOKUP(K970,Ташкилотлар39[Ташкилотлар],Ташкилотлар39[TashklilotID])</f>
        <v>#N/A</v>
      </c>
      <c r="M970" s="26"/>
      <c r="N970" s="26"/>
      <c r="O970" s="24"/>
      <c r="P970" s="2"/>
      <c r="Q970" s="26"/>
      <c r="R970" s="26"/>
      <c r="S970" s="26"/>
      <c r="T970" s="26"/>
      <c r="U970" s="24"/>
      <c r="V970" s="10" t="e">
        <f>_xlfn.XLOOKUP(U970,Таклифлар37[Таклифлар],Таклифлар37[TaklifID])</f>
        <v>#N/A</v>
      </c>
      <c r="W970" s="24"/>
      <c r="X970" s="23"/>
      <c r="Y970" s="7"/>
      <c r="Z970" s="26"/>
      <c r="AB970" s="23"/>
      <c r="AD970" s="2"/>
      <c r="AG970" s="23"/>
      <c r="AI970" s="26"/>
      <c r="AJ970" s="23"/>
      <c r="AM970" s="23"/>
      <c r="AO970" s="32"/>
      <c r="AP970" s="26"/>
      <c r="AR970" s="26"/>
      <c r="AS970" s="27"/>
      <c r="AT970" s="27"/>
      <c r="AU970" s="31"/>
      <c r="AV970" s="24"/>
      <c r="AW970"/>
      <c r="AX970"/>
      <c r="AY970"/>
      <c r="AZ970"/>
      <c r="BA970"/>
      <c r="BB970"/>
      <c r="BC970"/>
      <c r="BD970"/>
      <c r="BE970"/>
      <c r="BF970"/>
      <c r="BG970"/>
    </row>
    <row r="971" spans="2:59" x14ac:dyDescent="0.25">
      <c r="B971" s="22"/>
      <c r="C971" s="23"/>
      <c r="E971" s="23"/>
      <c r="F971" s="24"/>
      <c r="G971" s="2"/>
      <c r="H971" s="10" t="e">
        <f>_xlfn.XLOOKUP(F971,Viloyatlar24[RegionName],Viloyatlar24[RegionId])</f>
        <v>#N/A</v>
      </c>
      <c r="I971" s="10" t="e">
        <f>_xlfn.XLOOKUP('Кўчмас мулк объектлари'!G971,Tumanlar23[DistrictName],Tumanlar23[DistrictId])</f>
        <v>#N/A</v>
      </c>
      <c r="K971" s="24"/>
      <c r="L971" s="10" t="e">
        <f>_xlfn.XLOOKUP(K971,Ташкилотлар39[Ташкилотлар],Ташкилотлар39[TashklilotID])</f>
        <v>#N/A</v>
      </c>
      <c r="M971" s="26"/>
      <c r="N971" s="26"/>
      <c r="O971" s="24"/>
      <c r="P971" s="2"/>
      <c r="Q971" s="26"/>
      <c r="R971" s="26"/>
      <c r="S971" s="26"/>
      <c r="T971" s="26"/>
      <c r="U971" s="24"/>
      <c r="V971" s="10" t="e">
        <f>_xlfn.XLOOKUP(U971,Таклифлар37[Таклифлар],Таклифлар37[TaklifID])</f>
        <v>#N/A</v>
      </c>
      <c r="W971" s="24"/>
      <c r="X971" s="23"/>
      <c r="Y971" s="7"/>
      <c r="Z971" s="26"/>
      <c r="AB971" s="23"/>
      <c r="AD971" s="2"/>
      <c r="AG971" s="23"/>
      <c r="AI971" s="26"/>
      <c r="AJ971" s="23"/>
      <c r="AM971" s="23"/>
      <c r="AO971" s="32"/>
      <c r="AP971" s="26"/>
      <c r="AR971" s="26"/>
      <c r="AS971" s="27"/>
      <c r="AT971" s="27"/>
      <c r="AU971" s="31"/>
      <c r="AV971" s="24"/>
      <c r="AW971"/>
      <c r="AX971"/>
      <c r="AY971"/>
      <c r="AZ971"/>
      <c r="BA971"/>
      <c r="BB971"/>
      <c r="BC971"/>
      <c r="BD971"/>
      <c r="BE971"/>
      <c r="BF971"/>
      <c r="BG971"/>
    </row>
    <row r="972" spans="2:59" x14ac:dyDescent="0.25">
      <c r="B972" s="22"/>
      <c r="C972" s="23"/>
      <c r="E972" s="23"/>
      <c r="F972" s="24"/>
      <c r="G972" s="2"/>
      <c r="H972" s="10" t="e">
        <f>_xlfn.XLOOKUP(F972,Viloyatlar24[RegionName],Viloyatlar24[RegionId])</f>
        <v>#N/A</v>
      </c>
      <c r="I972" s="10" t="e">
        <f>_xlfn.XLOOKUP('Кўчмас мулк объектлари'!G972,Tumanlar23[DistrictName],Tumanlar23[DistrictId])</f>
        <v>#N/A</v>
      </c>
      <c r="K972" s="24"/>
      <c r="L972" s="10" t="e">
        <f>_xlfn.XLOOKUP(K972,Ташкилотлар39[Ташкилотлар],Ташкилотлар39[TashklilotID])</f>
        <v>#N/A</v>
      </c>
      <c r="M972" s="26"/>
      <c r="N972" s="26"/>
      <c r="O972" s="24"/>
      <c r="P972" s="2"/>
      <c r="Q972" s="26"/>
      <c r="R972" s="26"/>
      <c r="S972" s="26"/>
      <c r="T972" s="26"/>
      <c r="U972" s="24"/>
      <c r="V972" s="10" t="e">
        <f>_xlfn.XLOOKUP(U972,Таклифлар37[Таклифлар],Таклифлар37[TaklifID])</f>
        <v>#N/A</v>
      </c>
      <c r="W972" s="24"/>
      <c r="X972" s="23"/>
      <c r="Y972" s="7"/>
      <c r="Z972" s="26"/>
      <c r="AB972" s="23"/>
      <c r="AD972" s="2"/>
      <c r="AG972" s="23"/>
      <c r="AI972" s="26"/>
      <c r="AJ972" s="23"/>
      <c r="AM972" s="23"/>
      <c r="AO972" s="32"/>
      <c r="AP972" s="26"/>
      <c r="AR972" s="26"/>
      <c r="AS972" s="27"/>
      <c r="AT972" s="27"/>
      <c r="AU972" s="31"/>
      <c r="AV972" s="24"/>
      <c r="AW972"/>
      <c r="AX972"/>
      <c r="AY972"/>
      <c r="AZ972"/>
      <c r="BA972"/>
      <c r="BB972"/>
      <c r="BC972"/>
      <c r="BD972"/>
      <c r="BE972"/>
      <c r="BF972"/>
      <c r="BG972"/>
    </row>
    <row r="973" spans="2:59" x14ac:dyDescent="0.25">
      <c r="B973" s="22"/>
      <c r="C973" s="23"/>
      <c r="E973" s="23"/>
      <c r="F973" s="24"/>
      <c r="G973" s="2"/>
      <c r="H973" s="10" t="e">
        <f>_xlfn.XLOOKUP(F973,Viloyatlar24[RegionName],Viloyatlar24[RegionId])</f>
        <v>#N/A</v>
      </c>
      <c r="I973" s="10" t="e">
        <f>_xlfn.XLOOKUP('Кўчмас мулк объектлари'!G973,Tumanlar23[DistrictName],Tumanlar23[DistrictId])</f>
        <v>#N/A</v>
      </c>
      <c r="K973" s="24"/>
      <c r="L973" s="10" t="e">
        <f>_xlfn.XLOOKUP(K973,Ташкилотлар39[Ташкилотлар],Ташкилотлар39[TashklilotID])</f>
        <v>#N/A</v>
      </c>
      <c r="M973" s="26"/>
      <c r="N973" s="26"/>
      <c r="O973" s="24"/>
      <c r="P973" s="2"/>
      <c r="Q973" s="26"/>
      <c r="R973" s="26"/>
      <c r="S973" s="26"/>
      <c r="T973" s="26"/>
      <c r="U973" s="24"/>
      <c r="V973" s="10" t="e">
        <f>_xlfn.XLOOKUP(U973,Таклифлар37[Таклифлар],Таклифлар37[TaklifID])</f>
        <v>#N/A</v>
      </c>
      <c r="W973" s="24"/>
      <c r="X973" s="23"/>
      <c r="Y973" s="7"/>
      <c r="Z973" s="26"/>
      <c r="AB973" s="23"/>
      <c r="AD973" s="2"/>
      <c r="AG973" s="23"/>
      <c r="AI973" s="26"/>
      <c r="AJ973" s="23"/>
      <c r="AM973" s="23"/>
      <c r="AO973" s="32"/>
      <c r="AP973" s="26"/>
      <c r="AR973" s="26"/>
      <c r="AS973" s="27"/>
      <c r="AT973" s="27"/>
      <c r="AU973" s="31"/>
      <c r="AV973" s="24"/>
      <c r="AW973"/>
      <c r="AX973"/>
      <c r="AY973"/>
      <c r="AZ973"/>
      <c r="BA973"/>
      <c r="BB973"/>
      <c r="BC973"/>
      <c r="BD973"/>
      <c r="BE973"/>
      <c r="BF973"/>
      <c r="BG973"/>
    </row>
    <row r="974" spans="2:59" x14ac:dyDescent="0.25">
      <c r="B974" s="22"/>
      <c r="C974" s="23"/>
      <c r="E974" s="23"/>
      <c r="F974" s="24"/>
      <c r="G974" s="2"/>
      <c r="H974" s="10" t="e">
        <f>_xlfn.XLOOKUP(F974,Viloyatlar24[RegionName],Viloyatlar24[RegionId])</f>
        <v>#N/A</v>
      </c>
      <c r="I974" s="10" t="e">
        <f>_xlfn.XLOOKUP('Кўчмас мулк объектлари'!G974,Tumanlar23[DistrictName],Tumanlar23[DistrictId])</f>
        <v>#N/A</v>
      </c>
      <c r="K974" s="24"/>
      <c r="L974" s="10" t="e">
        <f>_xlfn.XLOOKUP(K974,Ташкилотлар39[Ташкилотлар],Ташкилотлар39[TashklilotID])</f>
        <v>#N/A</v>
      </c>
      <c r="M974" s="26"/>
      <c r="N974" s="26"/>
      <c r="O974" s="24"/>
      <c r="P974" s="2"/>
      <c r="Q974" s="26"/>
      <c r="R974" s="26"/>
      <c r="S974" s="26"/>
      <c r="T974" s="26"/>
      <c r="U974" s="24"/>
      <c r="V974" s="10" t="e">
        <f>_xlfn.XLOOKUP(U974,Таклифлар37[Таклифлар],Таклифлар37[TaklifID])</f>
        <v>#N/A</v>
      </c>
      <c r="W974" s="24"/>
      <c r="X974" s="23"/>
      <c r="Y974" s="7"/>
      <c r="Z974" s="26"/>
      <c r="AB974" s="23"/>
      <c r="AD974" s="2"/>
      <c r="AG974" s="23"/>
      <c r="AI974" s="26"/>
      <c r="AJ974" s="23"/>
      <c r="AM974" s="23"/>
      <c r="AO974" s="32"/>
      <c r="AP974" s="26"/>
      <c r="AR974" s="26"/>
      <c r="AS974" s="27"/>
      <c r="AT974" s="27"/>
      <c r="AU974" s="31"/>
      <c r="AV974" s="24"/>
      <c r="AW974"/>
      <c r="AX974"/>
      <c r="AY974"/>
      <c r="AZ974"/>
      <c r="BA974"/>
      <c r="BB974"/>
      <c r="BC974"/>
      <c r="BD974"/>
      <c r="BE974"/>
      <c r="BF974"/>
      <c r="BG974"/>
    </row>
    <row r="975" spans="2:59" x14ac:dyDescent="0.25">
      <c r="B975" s="22"/>
      <c r="C975" s="23"/>
      <c r="E975" s="23"/>
      <c r="F975" s="24"/>
      <c r="G975" s="2"/>
      <c r="H975" s="10" t="e">
        <f>_xlfn.XLOOKUP(F975,Viloyatlar24[RegionName],Viloyatlar24[RegionId])</f>
        <v>#N/A</v>
      </c>
      <c r="I975" s="10" t="e">
        <f>_xlfn.XLOOKUP('Кўчмас мулк объектлари'!G975,Tumanlar23[DistrictName],Tumanlar23[DistrictId])</f>
        <v>#N/A</v>
      </c>
      <c r="K975" s="24"/>
      <c r="L975" s="10" t="e">
        <f>_xlfn.XLOOKUP(K975,Ташкилотлар39[Ташкилотлар],Ташкилотлар39[TashklilotID])</f>
        <v>#N/A</v>
      </c>
      <c r="M975" s="26"/>
      <c r="N975" s="26"/>
      <c r="O975" s="24"/>
      <c r="P975" s="2"/>
      <c r="Q975" s="26"/>
      <c r="R975" s="26"/>
      <c r="S975" s="26"/>
      <c r="T975" s="26"/>
      <c r="U975" s="24"/>
      <c r="V975" s="10" t="e">
        <f>_xlfn.XLOOKUP(U975,Таклифлар37[Таклифлар],Таклифлар37[TaklifID])</f>
        <v>#N/A</v>
      </c>
      <c r="W975" s="24"/>
      <c r="X975" s="23"/>
      <c r="Y975" s="7"/>
      <c r="Z975" s="26"/>
      <c r="AB975" s="23"/>
      <c r="AD975" s="2"/>
      <c r="AG975" s="23"/>
      <c r="AI975" s="26"/>
      <c r="AJ975" s="23"/>
      <c r="AM975" s="23"/>
      <c r="AO975" s="32"/>
      <c r="AP975" s="26"/>
      <c r="AR975" s="26"/>
      <c r="AS975" s="27"/>
      <c r="AT975" s="27"/>
      <c r="AU975" s="31"/>
      <c r="AV975" s="24"/>
      <c r="AW975"/>
      <c r="AX975"/>
      <c r="AY975"/>
      <c r="AZ975"/>
      <c r="BA975"/>
      <c r="BB975"/>
      <c r="BC975"/>
      <c r="BD975"/>
      <c r="BE975"/>
      <c r="BF975"/>
      <c r="BG975"/>
    </row>
    <row r="976" spans="2:59" x14ac:dyDescent="0.25">
      <c r="B976" s="22"/>
      <c r="C976" s="23"/>
      <c r="E976" s="23"/>
      <c r="F976" s="24"/>
      <c r="G976" s="2"/>
      <c r="H976" s="10" t="e">
        <f>_xlfn.XLOOKUP(F976,Viloyatlar24[RegionName],Viloyatlar24[RegionId])</f>
        <v>#N/A</v>
      </c>
      <c r="I976" s="10" t="e">
        <f>_xlfn.XLOOKUP('Кўчмас мулк объектлари'!G976,Tumanlar23[DistrictName],Tumanlar23[DistrictId])</f>
        <v>#N/A</v>
      </c>
      <c r="K976" s="24"/>
      <c r="L976" s="10" t="e">
        <f>_xlfn.XLOOKUP(K976,Ташкилотлар39[Ташкилотлар],Ташкилотлар39[TashklilotID])</f>
        <v>#N/A</v>
      </c>
      <c r="M976" s="26"/>
      <c r="N976" s="26"/>
      <c r="O976" s="24"/>
      <c r="P976" s="2"/>
      <c r="Q976" s="26"/>
      <c r="R976" s="26"/>
      <c r="S976" s="26"/>
      <c r="T976" s="26"/>
      <c r="U976" s="24"/>
      <c r="V976" s="10" t="e">
        <f>_xlfn.XLOOKUP(U976,Таклифлар37[Таклифлар],Таклифлар37[TaklifID])</f>
        <v>#N/A</v>
      </c>
      <c r="W976" s="24"/>
      <c r="X976" s="23"/>
      <c r="Y976" s="7"/>
      <c r="Z976" s="26"/>
      <c r="AB976" s="23"/>
      <c r="AD976" s="2"/>
      <c r="AG976" s="23"/>
      <c r="AI976" s="26"/>
      <c r="AJ976" s="23"/>
      <c r="AM976" s="23"/>
      <c r="AO976" s="32"/>
      <c r="AP976" s="26"/>
      <c r="AR976" s="26"/>
      <c r="AS976" s="27"/>
      <c r="AT976" s="27"/>
      <c r="AU976" s="31"/>
      <c r="AV976" s="24"/>
      <c r="AW976"/>
      <c r="AX976"/>
      <c r="AY976"/>
      <c r="AZ976"/>
      <c r="BA976"/>
      <c r="BB976"/>
      <c r="BC976"/>
      <c r="BD976"/>
      <c r="BE976"/>
      <c r="BF976"/>
      <c r="BG976"/>
    </row>
    <row r="977" spans="2:59" x14ac:dyDescent="0.25">
      <c r="B977" s="22"/>
      <c r="C977" s="23"/>
      <c r="E977" s="23"/>
      <c r="F977" s="24"/>
      <c r="G977" s="2"/>
      <c r="H977" s="10" t="e">
        <f>_xlfn.XLOOKUP(F977,Viloyatlar24[RegionName],Viloyatlar24[RegionId])</f>
        <v>#N/A</v>
      </c>
      <c r="I977" s="10" t="e">
        <f>_xlfn.XLOOKUP('Кўчмас мулк объектлари'!G977,Tumanlar23[DistrictName],Tumanlar23[DistrictId])</f>
        <v>#N/A</v>
      </c>
      <c r="K977" s="24"/>
      <c r="L977" s="10" t="e">
        <f>_xlfn.XLOOKUP(K977,Ташкилотлар39[Ташкилотлар],Ташкилотлар39[TashklilotID])</f>
        <v>#N/A</v>
      </c>
      <c r="M977" s="26"/>
      <c r="N977" s="26"/>
      <c r="O977" s="24"/>
      <c r="P977" s="2"/>
      <c r="Q977" s="26"/>
      <c r="R977" s="26"/>
      <c r="S977" s="26"/>
      <c r="T977" s="26"/>
      <c r="U977" s="24"/>
      <c r="V977" s="10" t="e">
        <f>_xlfn.XLOOKUP(U977,Таклифлар37[Таклифлар],Таклифлар37[TaklifID])</f>
        <v>#N/A</v>
      </c>
      <c r="W977" s="24"/>
      <c r="X977" s="23"/>
      <c r="Y977" s="7"/>
      <c r="Z977" s="26"/>
      <c r="AB977" s="23"/>
      <c r="AD977" s="2"/>
      <c r="AG977" s="23"/>
      <c r="AI977" s="26"/>
      <c r="AJ977" s="23"/>
      <c r="AM977" s="23"/>
      <c r="AO977" s="32"/>
      <c r="AP977" s="26"/>
      <c r="AR977" s="26"/>
      <c r="AS977" s="27"/>
      <c r="AT977" s="27"/>
      <c r="AU977" s="31"/>
      <c r="AV977" s="24"/>
      <c r="AW977"/>
      <c r="AX977"/>
      <c r="AY977"/>
      <c r="AZ977"/>
      <c r="BA977"/>
      <c r="BB977"/>
      <c r="BC977"/>
      <c r="BD977"/>
      <c r="BE977"/>
      <c r="BF977"/>
      <c r="BG977"/>
    </row>
    <row r="978" spans="2:59" x14ac:dyDescent="0.25">
      <c r="B978" s="22"/>
      <c r="C978" s="23"/>
      <c r="E978" s="23"/>
      <c r="F978" s="24"/>
      <c r="G978" s="2"/>
      <c r="H978" s="10" t="e">
        <f>_xlfn.XLOOKUP(F978,Viloyatlar24[RegionName],Viloyatlar24[RegionId])</f>
        <v>#N/A</v>
      </c>
      <c r="I978" s="10" t="e">
        <f>_xlfn.XLOOKUP('Кўчмас мулк объектлари'!G978,Tumanlar23[DistrictName],Tumanlar23[DistrictId])</f>
        <v>#N/A</v>
      </c>
      <c r="K978" s="24"/>
      <c r="L978" s="10" t="e">
        <f>_xlfn.XLOOKUP(K978,Ташкилотлар39[Ташкилотлар],Ташкилотлар39[TashklilotID])</f>
        <v>#N/A</v>
      </c>
      <c r="M978" s="26"/>
      <c r="N978" s="26"/>
      <c r="O978" s="24"/>
      <c r="P978" s="2"/>
      <c r="Q978" s="26"/>
      <c r="R978" s="26"/>
      <c r="S978" s="26"/>
      <c r="T978" s="26"/>
      <c r="U978" s="24"/>
      <c r="V978" s="10" t="e">
        <f>_xlfn.XLOOKUP(U978,Таклифлар37[Таклифлар],Таклифлар37[TaklifID])</f>
        <v>#N/A</v>
      </c>
      <c r="W978" s="24"/>
      <c r="X978" s="23"/>
      <c r="Y978" s="7"/>
      <c r="Z978" s="26"/>
      <c r="AB978" s="23"/>
      <c r="AD978" s="2"/>
      <c r="AG978" s="23"/>
      <c r="AI978" s="26"/>
      <c r="AJ978" s="23"/>
      <c r="AM978" s="23"/>
      <c r="AO978" s="32"/>
      <c r="AP978" s="26"/>
      <c r="AR978" s="26"/>
      <c r="AS978" s="27"/>
      <c r="AT978" s="27"/>
      <c r="AU978" s="31"/>
      <c r="AV978" s="24"/>
      <c r="AW978"/>
      <c r="AX978"/>
      <c r="AY978"/>
      <c r="AZ978"/>
      <c r="BA978"/>
      <c r="BB978"/>
      <c r="BC978"/>
      <c r="BD978"/>
      <c r="BE978"/>
      <c r="BF978"/>
      <c r="BG978"/>
    </row>
    <row r="979" spans="2:59" x14ac:dyDescent="0.25">
      <c r="B979" s="22"/>
      <c r="C979" s="23"/>
      <c r="E979" s="23"/>
      <c r="F979" s="24"/>
      <c r="G979" s="2"/>
      <c r="H979" s="10" t="e">
        <f>_xlfn.XLOOKUP(F979,Viloyatlar24[RegionName],Viloyatlar24[RegionId])</f>
        <v>#N/A</v>
      </c>
      <c r="I979" s="10" t="e">
        <f>_xlfn.XLOOKUP('Кўчмас мулк объектлари'!G979,Tumanlar23[DistrictName],Tumanlar23[DistrictId])</f>
        <v>#N/A</v>
      </c>
      <c r="K979" s="24"/>
      <c r="L979" s="10" t="e">
        <f>_xlfn.XLOOKUP(K979,Ташкилотлар39[Ташкилотлар],Ташкилотлар39[TashklilotID])</f>
        <v>#N/A</v>
      </c>
      <c r="M979" s="26"/>
      <c r="N979" s="26"/>
      <c r="O979" s="24"/>
      <c r="P979" s="2"/>
      <c r="Q979" s="26"/>
      <c r="R979" s="26"/>
      <c r="S979" s="26"/>
      <c r="T979" s="26"/>
      <c r="U979" s="24"/>
      <c r="V979" s="10" t="e">
        <f>_xlfn.XLOOKUP(U979,Таклифлар37[Таклифлар],Таклифлар37[TaklifID])</f>
        <v>#N/A</v>
      </c>
      <c r="W979" s="24"/>
      <c r="X979" s="23"/>
      <c r="Y979" s="7"/>
      <c r="Z979" s="26"/>
      <c r="AB979" s="23"/>
      <c r="AD979" s="2"/>
      <c r="AG979" s="23"/>
      <c r="AI979" s="26"/>
      <c r="AJ979" s="23"/>
      <c r="AM979" s="23"/>
      <c r="AO979" s="32"/>
      <c r="AP979" s="26"/>
      <c r="AR979" s="26"/>
      <c r="AS979" s="27"/>
      <c r="AT979" s="27"/>
      <c r="AU979" s="31"/>
      <c r="AV979" s="24"/>
      <c r="AW979"/>
      <c r="AX979"/>
      <c r="AY979"/>
      <c r="AZ979"/>
      <c r="BA979"/>
      <c r="BB979"/>
      <c r="BC979"/>
      <c r="BD979"/>
      <c r="BE979"/>
      <c r="BF979"/>
      <c r="BG979"/>
    </row>
    <row r="980" spans="2:59" x14ac:dyDescent="0.25">
      <c r="B980" s="22"/>
      <c r="C980" s="23"/>
      <c r="E980" s="23"/>
      <c r="F980" s="24"/>
      <c r="G980" s="2"/>
      <c r="H980" s="10" t="e">
        <f>_xlfn.XLOOKUP(F980,Viloyatlar24[RegionName],Viloyatlar24[RegionId])</f>
        <v>#N/A</v>
      </c>
      <c r="I980" s="10" t="e">
        <f>_xlfn.XLOOKUP('Кўчмас мулк объектлари'!G980,Tumanlar23[DistrictName],Tumanlar23[DistrictId])</f>
        <v>#N/A</v>
      </c>
      <c r="K980" s="24"/>
      <c r="L980" s="10" t="e">
        <f>_xlfn.XLOOKUP(K980,Ташкилотлар39[Ташкилотлар],Ташкилотлар39[TashklilotID])</f>
        <v>#N/A</v>
      </c>
      <c r="M980" s="26"/>
      <c r="N980" s="26"/>
      <c r="O980" s="24"/>
      <c r="P980" s="2"/>
      <c r="Q980" s="26"/>
      <c r="R980" s="26"/>
      <c r="S980" s="26"/>
      <c r="T980" s="26"/>
      <c r="U980" s="24"/>
      <c r="V980" s="10" t="e">
        <f>_xlfn.XLOOKUP(U980,Таклифлар37[Таклифлар],Таклифлар37[TaklifID])</f>
        <v>#N/A</v>
      </c>
      <c r="W980" s="24"/>
      <c r="X980" s="23"/>
      <c r="Y980" s="7"/>
      <c r="Z980" s="26"/>
      <c r="AB980" s="23"/>
      <c r="AD980" s="2"/>
      <c r="AG980" s="23"/>
      <c r="AI980" s="26"/>
      <c r="AJ980" s="23"/>
      <c r="AM980" s="23"/>
      <c r="AO980" s="32"/>
      <c r="AP980" s="26"/>
      <c r="AR980" s="26"/>
      <c r="AS980" s="27"/>
      <c r="AT980" s="27"/>
      <c r="AU980" s="31"/>
      <c r="AV980" s="24"/>
      <c r="AW980"/>
      <c r="AX980"/>
      <c r="AY980"/>
      <c r="AZ980"/>
      <c r="BA980"/>
      <c r="BB980"/>
      <c r="BC980"/>
      <c r="BD980"/>
      <c r="BE980"/>
      <c r="BF980"/>
      <c r="BG980"/>
    </row>
    <row r="981" spans="2:59" x14ac:dyDescent="0.25">
      <c r="B981" s="22"/>
      <c r="C981" s="23"/>
      <c r="E981" s="23"/>
      <c r="F981" s="24"/>
      <c r="G981" s="2"/>
      <c r="H981" s="10" t="e">
        <f>_xlfn.XLOOKUP(F981,Viloyatlar24[RegionName],Viloyatlar24[RegionId])</f>
        <v>#N/A</v>
      </c>
      <c r="I981" s="10" t="e">
        <f>_xlfn.XLOOKUP('Кўчмас мулк объектлари'!G981,Tumanlar23[DistrictName],Tumanlar23[DistrictId])</f>
        <v>#N/A</v>
      </c>
      <c r="K981" s="24"/>
      <c r="L981" s="10" t="e">
        <f>_xlfn.XLOOKUP(K981,Ташкилотлар39[Ташкилотлар],Ташкилотлар39[TashklilotID])</f>
        <v>#N/A</v>
      </c>
      <c r="M981" s="26"/>
      <c r="N981" s="26"/>
      <c r="O981" s="24"/>
      <c r="P981" s="2"/>
      <c r="Q981" s="26"/>
      <c r="R981" s="26"/>
      <c r="S981" s="26"/>
      <c r="T981" s="26"/>
      <c r="U981" s="24"/>
      <c r="V981" s="10" t="e">
        <f>_xlfn.XLOOKUP(U981,Таклифлар37[Таклифлар],Таклифлар37[TaklifID])</f>
        <v>#N/A</v>
      </c>
      <c r="W981" s="24"/>
      <c r="X981" s="23"/>
      <c r="Y981" s="7"/>
      <c r="Z981" s="26"/>
      <c r="AB981" s="23"/>
      <c r="AD981" s="2"/>
      <c r="AG981" s="23"/>
      <c r="AI981" s="26"/>
      <c r="AJ981" s="23"/>
      <c r="AM981" s="23"/>
      <c r="AO981" s="32"/>
      <c r="AP981" s="26"/>
      <c r="AR981" s="26"/>
      <c r="AS981" s="27"/>
      <c r="AT981" s="27"/>
      <c r="AU981" s="31"/>
      <c r="AV981" s="24"/>
      <c r="AW981"/>
      <c r="AX981"/>
      <c r="AY981"/>
      <c r="AZ981"/>
      <c r="BA981"/>
      <c r="BB981"/>
      <c r="BC981"/>
      <c r="BD981"/>
      <c r="BE981"/>
      <c r="BF981"/>
      <c r="BG981"/>
    </row>
    <row r="982" spans="2:59" x14ac:dyDescent="0.25">
      <c r="B982" s="22"/>
      <c r="C982" s="23"/>
      <c r="E982" s="23"/>
      <c r="F982" s="24"/>
      <c r="G982" s="2"/>
      <c r="H982" s="10" t="e">
        <f>_xlfn.XLOOKUP(F982,Viloyatlar24[RegionName],Viloyatlar24[RegionId])</f>
        <v>#N/A</v>
      </c>
      <c r="I982" s="10" t="e">
        <f>_xlfn.XLOOKUP('Кўчмас мулк объектлари'!G982,Tumanlar23[DistrictName],Tumanlar23[DistrictId])</f>
        <v>#N/A</v>
      </c>
      <c r="K982" s="24"/>
      <c r="L982" s="10" t="e">
        <f>_xlfn.XLOOKUP(K982,Ташкилотлар39[Ташкилотлар],Ташкилотлар39[TashklilotID])</f>
        <v>#N/A</v>
      </c>
      <c r="M982" s="26"/>
      <c r="N982" s="26"/>
      <c r="O982" s="24"/>
      <c r="P982" s="2"/>
      <c r="Q982" s="26"/>
      <c r="R982" s="26"/>
      <c r="S982" s="26"/>
      <c r="T982" s="26"/>
      <c r="U982" s="24"/>
      <c r="V982" s="10" t="e">
        <f>_xlfn.XLOOKUP(U982,Таклифлар37[Таклифлар],Таклифлар37[TaklifID])</f>
        <v>#N/A</v>
      </c>
      <c r="W982" s="24"/>
      <c r="X982" s="23"/>
      <c r="Y982" s="7"/>
      <c r="Z982" s="26"/>
      <c r="AB982" s="23"/>
      <c r="AD982" s="2"/>
      <c r="AG982" s="23"/>
      <c r="AI982" s="26"/>
      <c r="AJ982" s="23"/>
      <c r="AM982" s="23"/>
      <c r="AO982" s="32"/>
      <c r="AP982" s="26"/>
      <c r="AR982" s="26"/>
      <c r="AS982" s="27"/>
      <c r="AT982" s="27"/>
      <c r="AU982" s="31"/>
      <c r="AV982" s="24"/>
      <c r="AW982"/>
      <c r="AX982"/>
      <c r="AY982"/>
      <c r="AZ982"/>
      <c r="BA982"/>
      <c r="BB982"/>
      <c r="BC982"/>
      <c r="BD982"/>
      <c r="BE982"/>
      <c r="BF982"/>
      <c r="BG982"/>
    </row>
    <row r="983" spans="2:59" x14ac:dyDescent="0.25">
      <c r="B983" s="22"/>
      <c r="C983" s="23"/>
      <c r="E983" s="23"/>
      <c r="F983" s="24"/>
      <c r="G983" s="2"/>
      <c r="H983" s="10" t="e">
        <f>_xlfn.XLOOKUP(F983,Viloyatlar24[RegionName],Viloyatlar24[RegionId])</f>
        <v>#N/A</v>
      </c>
      <c r="I983" s="10" t="e">
        <f>_xlfn.XLOOKUP('Кўчмас мулк объектлари'!G983,Tumanlar23[DistrictName],Tumanlar23[DistrictId])</f>
        <v>#N/A</v>
      </c>
      <c r="K983" s="24"/>
      <c r="L983" s="10" t="e">
        <f>_xlfn.XLOOKUP(K983,Ташкилотлар39[Ташкилотлар],Ташкилотлар39[TashklilotID])</f>
        <v>#N/A</v>
      </c>
      <c r="M983" s="26"/>
      <c r="N983" s="26"/>
      <c r="O983" s="24"/>
      <c r="P983" s="2"/>
      <c r="Q983" s="26"/>
      <c r="R983" s="26"/>
      <c r="S983" s="26"/>
      <c r="T983" s="26"/>
      <c r="U983" s="24"/>
      <c r="V983" s="10" t="e">
        <f>_xlfn.XLOOKUP(U983,Таклифлар37[Таклифлар],Таклифлар37[TaklifID])</f>
        <v>#N/A</v>
      </c>
      <c r="W983" s="24"/>
      <c r="X983" s="23"/>
      <c r="Y983" s="7"/>
      <c r="Z983" s="26"/>
      <c r="AB983" s="23"/>
      <c r="AD983" s="2"/>
      <c r="AG983" s="23"/>
      <c r="AI983" s="26"/>
      <c r="AJ983" s="23"/>
      <c r="AM983" s="23"/>
      <c r="AO983" s="32"/>
      <c r="AP983" s="26"/>
      <c r="AR983" s="26"/>
      <c r="AS983" s="27"/>
      <c r="AT983" s="27"/>
      <c r="AU983" s="31"/>
      <c r="AV983" s="24"/>
      <c r="AW983"/>
      <c r="AX983"/>
      <c r="AY983"/>
      <c r="AZ983"/>
      <c r="BA983"/>
      <c r="BB983"/>
      <c r="BC983"/>
      <c r="BD983"/>
      <c r="BE983"/>
      <c r="BF983"/>
      <c r="BG983"/>
    </row>
    <row r="984" spans="2:59" x14ac:dyDescent="0.25">
      <c r="B984" s="22"/>
      <c r="C984" s="23"/>
      <c r="E984" s="23"/>
      <c r="F984" s="24"/>
      <c r="G984" s="2"/>
      <c r="H984" s="10" t="e">
        <f>_xlfn.XLOOKUP(F984,Viloyatlar24[RegionName],Viloyatlar24[RegionId])</f>
        <v>#N/A</v>
      </c>
      <c r="I984" s="10" t="e">
        <f>_xlfn.XLOOKUP('Кўчмас мулк объектлари'!G984,Tumanlar23[DistrictName],Tumanlar23[DistrictId])</f>
        <v>#N/A</v>
      </c>
      <c r="K984" s="24"/>
      <c r="L984" s="10" t="e">
        <f>_xlfn.XLOOKUP(K984,Ташкилотлар39[Ташкилотлар],Ташкилотлар39[TashklilotID])</f>
        <v>#N/A</v>
      </c>
      <c r="M984" s="26"/>
      <c r="N984" s="26"/>
      <c r="O984" s="24"/>
      <c r="P984" s="2"/>
      <c r="Q984" s="26"/>
      <c r="R984" s="26"/>
      <c r="S984" s="26"/>
      <c r="T984" s="26"/>
      <c r="U984" s="24"/>
      <c r="V984" s="10" t="e">
        <f>_xlfn.XLOOKUP(U984,Таклифлар37[Таклифлар],Таклифлар37[TaklifID])</f>
        <v>#N/A</v>
      </c>
      <c r="W984" s="24"/>
      <c r="X984" s="23"/>
      <c r="Y984" s="7"/>
      <c r="Z984" s="26"/>
      <c r="AB984" s="23"/>
      <c r="AD984" s="2"/>
      <c r="AG984" s="23"/>
      <c r="AI984" s="26"/>
      <c r="AJ984" s="23"/>
      <c r="AM984" s="23"/>
      <c r="AO984" s="32"/>
      <c r="AP984" s="26"/>
      <c r="AR984" s="26"/>
      <c r="AS984" s="27"/>
      <c r="AT984" s="27"/>
      <c r="AU984" s="31"/>
      <c r="AV984" s="24"/>
      <c r="AW984"/>
      <c r="AX984"/>
      <c r="AY984"/>
      <c r="AZ984"/>
      <c r="BA984"/>
      <c r="BB984"/>
      <c r="BC984"/>
      <c r="BD984"/>
      <c r="BE984"/>
      <c r="BF984"/>
      <c r="BG984"/>
    </row>
    <row r="985" spans="2:59" x14ac:dyDescent="0.25">
      <c r="B985" s="22"/>
      <c r="C985" s="23"/>
      <c r="E985" s="23"/>
      <c r="F985" s="24"/>
      <c r="G985" s="2"/>
      <c r="H985" s="10" t="e">
        <f>_xlfn.XLOOKUP(F985,Viloyatlar24[RegionName],Viloyatlar24[RegionId])</f>
        <v>#N/A</v>
      </c>
      <c r="I985" s="10" t="e">
        <f>_xlfn.XLOOKUP('Кўчмас мулк объектлари'!G985,Tumanlar23[DistrictName],Tumanlar23[DistrictId])</f>
        <v>#N/A</v>
      </c>
      <c r="K985" s="24"/>
      <c r="L985" s="10" t="e">
        <f>_xlfn.XLOOKUP(K985,Ташкилотлар39[Ташкилотлар],Ташкилотлар39[TashklilotID])</f>
        <v>#N/A</v>
      </c>
      <c r="M985" s="26"/>
      <c r="N985" s="26"/>
      <c r="O985" s="24"/>
      <c r="P985" s="2"/>
      <c r="Q985" s="26"/>
      <c r="R985" s="26"/>
      <c r="S985" s="26"/>
      <c r="T985" s="26"/>
      <c r="U985" s="24"/>
      <c r="V985" s="10" t="e">
        <f>_xlfn.XLOOKUP(U985,Таклифлар37[Таклифлар],Таклифлар37[TaklifID])</f>
        <v>#N/A</v>
      </c>
      <c r="W985" s="24"/>
      <c r="X985" s="23"/>
      <c r="Y985" s="7"/>
      <c r="Z985" s="26"/>
      <c r="AB985" s="23"/>
      <c r="AD985" s="2"/>
      <c r="AG985" s="23"/>
      <c r="AI985" s="26"/>
      <c r="AJ985" s="23"/>
      <c r="AM985" s="23"/>
      <c r="AO985" s="32"/>
      <c r="AP985" s="26"/>
      <c r="AR985" s="26"/>
      <c r="AS985" s="27"/>
      <c r="AT985" s="27"/>
      <c r="AU985" s="31"/>
      <c r="AV985" s="24"/>
      <c r="AW985"/>
      <c r="AX985"/>
      <c r="AY985"/>
      <c r="AZ985"/>
      <c r="BA985"/>
      <c r="BB985"/>
      <c r="BC985"/>
      <c r="BD985"/>
      <c r="BE985"/>
      <c r="BF985"/>
      <c r="BG985"/>
    </row>
    <row r="986" spans="2:59" x14ac:dyDescent="0.25">
      <c r="B986" s="22"/>
      <c r="C986" s="23"/>
      <c r="E986" s="23"/>
      <c r="F986" s="24"/>
      <c r="G986" s="2"/>
      <c r="H986" s="10" t="e">
        <f>_xlfn.XLOOKUP(F986,Viloyatlar24[RegionName],Viloyatlar24[RegionId])</f>
        <v>#N/A</v>
      </c>
      <c r="I986" s="10" t="e">
        <f>_xlfn.XLOOKUP('Кўчмас мулк объектлари'!G986,Tumanlar23[DistrictName],Tumanlar23[DistrictId])</f>
        <v>#N/A</v>
      </c>
      <c r="K986" s="24"/>
      <c r="L986" s="10" t="e">
        <f>_xlfn.XLOOKUP(K986,Ташкилотлар39[Ташкилотлар],Ташкилотлар39[TashklilotID])</f>
        <v>#N/A</v>
      </c>
      <c r="M986" s="26"/>
      <c r="N986" s="26"/>
      <c r="O986" s="24"/>
      <c r="P986" s="2"/>
      <c r="Q986" s="26"/>
      <c r="R986" s="26"/>
      <c r="S986" s="26"/>
      <c r="T986" s="26"/>
      <c r="U986" s="24"/>
      <c r="V986" s="10" t="e">
        <f>_xlfn.XLOOKUP(U986,Таклифлар37[Таклифлар],Таклифлар37[TaklifID])</f>
        <v>#N/A</v>
      </c>
      <c r="W986" s="24"/>
      <c r="X986" s="23"/>
      <c r="Y986" s="7"/>
      <c r="Z986" s="26"/>
      <c r="AB986" s="23"/>
      <c r="AD986" s="2"/>
      <c r="AG986" s="23"/>
      <c r="AI986" s="26"/>
      <c r="AJ986" s="23"/>
      <c r="AM986" s="23"/>
      <c r="AO986" s="32"/>
      <c r="AP986" s="26"/>
      <c r="AR986" s="26"/>
      <c r="AS986" s="27"/>
      <c r="AT986" s="27"/>
      <c r="AU986" s="31"/>
      <c r="AV986" s="24"/>
      <c r="AW986"/>
      <c r="AX986"/>
      <c r="AY986"/>
      <c r="AZ986"/>
      <c r="BA986"/>
      <c r="BB986"/>
      <c r="BC986"/>
      <c r="BD986"/>
      <c r="BE986"/>
      <c r="BF986"/>
      <c r="BG986"/>
    </row>
    <row r="987" spans="2:59" x14ac:dyDescent="0.25">
      <c r="B987" s="22"/>
      <c r="C987" s="23"/>
      <c r="E987" s="23"/>
      <c r="F987" s="24"/>
      <c r="G987" s="2"/>
      <c r="H987" s="10" t="e">
        <f>_xlfn.XLOOKUP(F987,Viloyatlar24[RegionName],Viloyatlar24[RegionId])</f>
        <v>#N/A</v>
      </c>
      <c r="I987" s="10" t="e">
        <f>_xlfn.XLOOKUP('Кўчмас мулк объектлари'!G987,Tumanlar23[DistrictName],Tumanlar23[DistrictId])</f>
        <v>#N/A</v>
      </c>
      <c r="K987" s="24"/>
      <c r="L987" s="10" t="e">
        <f>_xlfn.XLOOKUP(K987,Ташкилотлар39[Ташкилотлар],Ташкилотлар39[TashklilotID])</f>
        <v>#N/A</v>
      </c>
      <c r="M987" s="26"/>
      <c r="N987" s="26"/>
      <c r="O987" s="24"/>
      <c r="P987" s="2"/>
      <c r="Q987" s="26"/>
      <c r="R987" s="26"/>
      <c r="S987" s="26"/>
      <c r="T987" s="26"/>
      <c r="U987" s="24"/>
      <c r="V987" s="10" t="e">
        <f>_xlfn.XLOOKUP(U987,Таклифлар37[Таклифлар],Таклифлар37[TaklifID])</f>
        <v>#N/A</v>
      </c>
      <c r="W987" s="24"/>
      <c r="X987" s="23"/>
      <c r="Y987" s="7"/>
      <c r="Z987" s="26"/>
      <c r="AB987" s="23"/>
      <c r="AD987" s="2"/>
      <c r="AG987" s="23"/>
      <c r="AI987" s="26"/>
      <c r="AJ987" s="23"/>
      <c r="AM987" s="23"/>
      <c r="AO987" s="32"/>
      <c r="AP987" s="26"/>
      <c r="AR987" s="26"/>
      <c r="AS987" s="27"/>
      <c r="AT987" s="27"/>
      <c r="AU987" s="31"/>
      <c r="AV987" s="24"/>
      <c r="AW987"/>
      <c r="AX987"/>
      <c r="AY987"/>
      <c r="AZ987"/>
      <c r="BA987"/>
      <c r="BB987"/>
      <c r="BC987"/>
      <c r="BD987"/>
      <c r="BE987"/>
      <c r="BF987"/>
      <c r="BG987"/>
    </row>
    <row r="988" spans="2:59" x14ac:dyDescent="0.25">
      <c r="B988" s="22"/>
      <c r="C988" s="23"/>
      <c r="E988" s="23"/>
      <c r="F988" s="24"/>
      <c r="G988" s="2"/>
      <c r="H988" s="10" t="e">
        <f>_xlfn.XLOOKUP(F988,Viloyatlar24[RegionName],Viloyatlar24[RegionId])</f>
        <v>#N/A</v>
      </c>
      <c r="I988" s="10" t="e">
        <f>_xlfn.XLOOKUP('Кўчмас мулк объектлари'!G988,Tumanlar23[DistrictName],Tumanlar23[DistrictId])</f>
        <v>#N/A</v>
      </c>
      <c r="K988" s="24"/>
      <c r="L988" s="10" t="e">
        <f>_xlfn.XLOOKUP(K988,Ташкилотлар39[Ташкилотлар],Ташкилотлар39[TashklilotID])</f>
        <v>#N/A</v>
      </c>
      <c r="M988" s="26"/>
      <c r="N988" s="26"/>
      <c r="O988" s="24"/>
      <c r="P988" s="2"/>
      <c r="Q988" s="26"/>
      <c r="R988" s="26"/>
      <c r="S988" s="26"/>
      <c r="T988" s="26"/>
      <c r="U988" s="24"/>
      <c r="V988" s="10" t="e">
        <f>_xlfn.XLOOKUP(U988,Таклифлар37[Таклифлар],Таклифлар37[TaklifID])</f>
        <v>#N/A</v>
      </c>
      <c r="W988" s="24"/>
      <c r="X988" s="23"/>
      <c r="Y988" s="7"/>
      <c r="Z988" s="26"/>
      <c r="AB988" s="23"/>
      <c r="AD988" s="2"/>
      <c r="AG988" s="23"/>
      <c r="AI988" s="26"/>
      <c r="AJ988" s="23"/>
      <c r="AM988" s="23"/>
      <c r="AO988" s="32"/>
      <c r="AP988" s="26"/>
      <c r="AR988" s="26"/>
      <c r="AS988" s="27"/>
      <c r="AT988" s="27"/>
      <c r="AU988" s="31"/>
      <c r="AV988" s="24"/>
      <c r="AW988"/>
      <c r="AX988"/>
      <c r="AY988"/>
      <c r="AZ988"/>
      <c r="BA988"/>
      <c r="BB988"/>
      <c r="BC988"/>
      <c r="BD988"/>
      <c r="BE988"/>
      <c r="BF988"/>
      <c r="BG988"/>
    </row>
    <row r="989" spans="2:59" x14ac:dyDescent="0.25">
      <c r="B989" s="22"/>
      <c r="C989" s="23"/>
      <c r="E989" s="23"/>
      <c r="F989" s="24"/>
      <c r="G989" s="2"/>
      <c r="H989" s="10" t="e">
        <f>_xlfn.XLOOKUP(F989,Viloyatlar24[RegionName],Viloyatlar24[RegionId])</f>
        <v>#N/A</v>
      </c>
      <c r="I989" s="10" t="e">
        <f>_xlfn.XLOOKUP('Кўчмас мулк объектлари'!G989,Tumanlar23[DistrictName],Tumanlar23[DistrictId])</f>
        <v>#N/A</v>
      </c>
      <c r="K989" s="24"/>
      <c r="L989" s="10" t="e">
        <f>_xlfn.XLOOKUP(K989,Ташкилотлар39[Ташкилотлар],Ташкилотлар39[TashklilotID])</f>
        <v>#N/A</v>
      </c>
      <c r="M989" s="26"/>
      <c r="N989" s="26"/>
      <c r="O989" s="24"/>
      <c r="P989" s="2"/>
      <c r="Q989" s="26"/>
      <c r="R989" s="26"/>
      <c r="S989" s="26"/>
      <c r="T989" s="26"/>
      <c r="U989" s="24"/>
      <c r="V989" s="10" t="e">
        <f>_xlfn.XLOOKUP(U989,Таклифлар37[Таклифлар],Таклифлар37[TaklifID])</f>
        <v>#N/A</v>
      </c>
      <c r="W989" s="24"/>
      <c r="X989" s="23"/>
      <c r="Y989" s="7"/>
      <c r="Z989" s="26"/>
      <c r="AB989" s="23"/>
      <c r="AD989" s="2"/>
      <c r="AG989" s="23"/>
      <c r="AI989" s="26"/>
      <c r="AJ989" s="23"/>
      <c r="AM989" s="23"/>
      <c r="AO989" s="32"/>
      <c r="AP989" s="26"/>
      <c r="AR989" s="26"/>
      <c r="AS989" s="27"/>
      <c r="AT989" s="27"/>
      <c r="AU989" s="31"/>
      <c r="AV989" s="24"/>
      <c r="AW989"/>
      <c r="AX989"/>
      <c r="AY989"/>
      <c r="AZ989"/>
      <c r="BA989"/>
      <c r="BB989"/>
      <c r="BC989"/>
      <c r="BD989"/>
      <c r="BE989"/>
      <c r="BF989"/>
      <c r="BG989"/>
    </row>
    <row r="990" spans="2:59" x14ac:dyDescent="0.25">
      <c r="B990" s="22"/>
      <c r="C990" s="23"/>
      <c r="E990" s="23"/>
      <c r="F990" s="24"/>
      <c r="G990" s="2"/>
      <c r="H990" s="10" t="e">
        <f>_xlfn.XLOOKUP(F990,Viloyatlar24[RegionName],Viloyatlar24[RegionId])</f>
        <v>#N/A</v>
      </c>
      <c r="I990" s="10" t="e">
        <f>_xlfn.XLOOKUP('Кўчмас мулк объектлари'!G990,Tumanlar23[DistrictName],Tumanlar23[DistrictId])</f>
        <v>#N/A</v>
      </c>
      <c r="K990" s="24"/>
      <c r="L990" s="10" t="e">
        <f>_xlfn.XLOOKUP(K990,Ташкилотлар39[Ташкилотлар],Ташкилотлар39[TashklilotID])</f>
        <v>#N/A</v>
      </c>
      <c r="M990" s="26"/>
      <c r="N990" s="26"/>
      <c r="O990" s="24"/>
      <c r="P990" s="2"/>
      <c r="Q990" s="26"/>
      <c r="R990" s="26"/>
      <c r="S990" s="26"/>
      <c r="T990" s="26"/>
      <c r="U990" s="24"/>
      <c r="V990" s="10" t="e">
        <f>_xlfn.XLOOKUP(U990,Таклифлар37[Таклифлар],Таклифлар37[TaklifID])</f>
        <v>#N/A</v>
      </c>
      <c r="W990" s="24"/>
      <c r="X990" s="23"/>
      <c r="Y990" s="7"/>
      <c r="Z990" s="26"/>
      <c r="AB990" s="23"/>
      <c r="AD990" s="2"/>
      <c r="AG990" s="23"/>
      <c r="AI990" s="26"/>
      <c r="AJ990" s="23"/>
      <c r="AM990" s="23"/>
      <c r="AO990" s="32"/>
      <c r="AP990" s="26"/>
      <c r="AR990" s="26"/>
      <c r="AS990" s="27"/>
      <c r="AT990" s="27"/>
      <c r="AU990" s="31"/>
      <c r="AV990" s="24"/>
      <c r="AW990"/>
      <c r="AX990"/>
      <c r="AY990"/>
      <c r="AZ990"/>
      <c r="BA990"/>
      <c r="BB990"/>
      <c r="BC990"/>
      <c r="BD990"/>
      <c r="BE990"/>
      <c r="BF990"/>
      <c r="BG990"/>
    </row>
    <row r="991" spans="2:59" x14ac:dyDescent="0.25">
      <c r="B991" s="22"/>
      <c r="C991" s="23"/>
      <c r="E991" s="23"/>
      <c r="F991" s="24"/>
      <c r="G991" s="2"/>
      <c r="H991" s="10" t="e">
        <f>_xlfn.XLOOKUP(F991,Viloyatlar24[RegionName],Viloyatlar24[RegionId])</f>
        <v>#N/A</v>
      </c>
      <c r="I991" s="10" t="e">
        <f>_xlfn.XLOOKUP('Кўчмас мулк объектлари'!G991,Tumanlar23[DistrictName],Tumanlar23[DistrictId])</f>
        <v>#N/A</v>
      </c>
      <c r="K991" s="24"/>
      <c r="L991" s="10" t="e">
        <f>_xlfn.XLOOKUP(K991,Ташкилотлар39[Ташкилотлар],Ташкилотлар39[TashklilotID])</f>
        <v>#N/A</v>
      </c>
      <c r="M991" s="26"/>
      <c r="N991" s="26"/>
      <c r="O991" s="24"/>
      <c r="P991" s="2"/>
      <c r="Q991" s="26"/>
      <c r="R991" s="26"/>
      <c r="S991" s="26"/>
      <c r="T991" s="26"/>
      <c r="U991" s="24"/>
      <c r="V991" s="10" t="e">
        <f>_xlfn.XLOOKUP(U991,Таклифлар37[Таклифлар],Таклифлар37[TaklifID])</f>
        <v>#N/A</v>
      </c>
      <c r="W991" s="24"/>
      <c r="X991" s="23"/>
      <c r="Y991" s="7"/>
      <c r="Z991" s="26"/>
      <c r="AB991" s="23"/>
      <c r="AD991" s="2"/>
      <c r="AG991" s="23"/>
      <c r="AI991" s="26"/>
      <c r="AJ991" s="23"/>
      <c r="AM991" s="23"/>
      <c r="AO991" s="32"/>
      <c r="AP991" s="26"/>
      <c r="AR991" s="26"/>
      <c r="AS991" s="27"/>
      <c r="AT991" s="27"/>
      <c r="AU991" s="31"/>
      <c r="AV991" s="24"/>
      <c r="AW991"/>
      <c r="AX991"/>
      <c r="AY991"/>
      <c r="AZ991"/>
      <c r="BA991"/>
      <c r="BB991"/>
      <c r="BC991"/>
      <c r="BD991"/>
      <c r="BE991"/>
      <c r="BF991"/>
      <c r="BG991"/>
    </row>
    <row r="992" spans="2:59" x14ac:dyDescent="0.25">
      <c r="B992" s="22"/>
      <c r="C992" s="23"/>
      <c r="E992" s="23"/>
      <c r="F992" s="24"/>
      <c r="G992" s="2"/>
      <c r="H992" s="10" t="e">
        <f>_xlfn.XLOOKUP(F992,Viloyatlar24[RegionName],Viloyatlar24[RegionId])</f>
        <v>#N/A</v>
      </c>
      <c r="I992" s="10" t="e">
        <f>_xlfn.XLOOKUP('Кўчмас мулк объектлари'!G992,Tumanlar23[DistrictName],Tumanlar23[DistrictId])</f>
        <v>#N/A</v>
      </c>
      <c r="K992" s="24"/>
      <c r="L992" s="10" t="e">
        <f>_xlfn.XLOOKUP(K992,Ташкилотлар39[Ташкилотлар],Ташкилотлар39[TashklilotID])</f>
        <v>#N/A</v>
      </c>
      <c r="M992" s="26"/>
      <c r="N992" s="26"/>
      <c r="O992" s="24"/>
      <c r="P992" s="2"/>
      <c r="Q992" s="26"/>
      <c r="R992" s="26"/>
      <c r="S992" s="26"/>
      <c r="T992" s="26"/>
      <c r="U992" s="24"/>
      <c r="V992" s="10" t="e">
        <f>_xlfn.XLOOKUP(U992,Таклифлар37[Таклифлар],Таклифлар37[TaklifID])</f>
        <v>#N/A</v>
      </c>
      <c r="W992" s="24"/>
      <c r="X992" s="23"/>
      <c r="Y992" s="7"/>
      <c r="Z992" s="26"/>
      <c r="AB992" s="23"/>
      <c r="AD992" s="2"/>
      <c r="AG992" s="23"/>
      <c r="AI992" s="26"/>
      <c r="AJ992" s="23"/>
      <c r="AM992" s="23"/>
      <c r="AO992" s="32"/>
      <c r="AP992" s="26"/>
      <c r="AR992" s="26"/>
      <c r="AS992" s="27"/>
      <c r="AT992" s="27"/>
      <c r="AU992" s="31"/>
      <c r="AV992" s="24"/>
      <c r="AW992"/>
      <c r="AX992"/>
      <c r="AY992"/>
      <c r="AZ992"/>
      <c r="BA992"/>
      <c r="BB992"/>
      <c r="BC992"/>
      <c r="BD992"/>
      <c r="BE992"/>
      <c r="BF992"/>
      <c r="BG992"/>
    </row>
    <row r="993" spans="2:59" x14ac:dyDescent="0.25">
      <c r="B993" s="22"/>
      <c r="C993" s="23"/>
      <c r="E993" s="23"/>
      <c r="F993" s="24"/>
      <c r="G993" s="2"/>
      <c r="H993" s="10" t="e">
        <f>_xlfn.XLOOKUP(F993,Viloyatlar24[RegionName],Viloyatlar24[RegionId])</f>
        <v>#N/A</v>
      </c>
      <c r="I993" s="10" t="e">
        <f>_xlfn.XLOOKUP('Кўчмас мулк объектлари'!G993,Tumanlar23[DistrictName],Tumanlar23[DistrictId])</f>
        <v>#N/A</v>
      </c>
      <c r="K993" s="24"/>
      <c r="L993" s="10" t="e">
        <f>_xlfn.XLOOKUP(K993,Ташкилотлар39[Ташкилотлар],Ташкилотлар39[TashklilotID])</f>
        <v>#N/A</v>
      </c>
      <c r="M993" s="26"/>
      <c r="N993" s="26"/>
      <c r="O993" s="24"/>
      <c r="P993" s="2"/>
      <c r="Q993" s="26"/>
      <c r="R993" s="26"/>
      <c r="S993" s="26"/>
      <c r="T993" s="26"/>
      <c r="U993" s="24"/>
      <c r="V993" s="10" t="e">
        <f>_xlfn.XLOOKUP(U993,Таклифлар37[Таклифлар],Таклифлар37[TaklifID])</f>
        <v>#N/A</v>
      </c>
      <c r="W993" s="24"/>
      <c r="X993" s="23"/>
      <c r="Y993" s="7"/>
      <c r="Z993" s="26"/>
      <c r="AB993" s="23"/>
      <c r="AD993" s="2"/>
      <c r="AG993" s="23"/>
      <c r="AI993" s="26"/>
      <c r="AJ993" s="23"/>
      <c r="AM993" s="23"/>
      <c r="AO993" s="32"/>
      <c r="AP993" s="26"/>
      <c r="AR993" s="26"/>
      <c r="AS993" s="27"/>
      <c r="AT993" s="27"/>
      <c r="AU993" s="31"/>
      <c r="AV993" s="24"/>
      <c r="AW993"/>
      <c r="AX993"/>
      <c r="AY993"/>
      <c r="AZ993"/>
      <c r="BA993"/>
      <c r="BB993"/>
      <c r="BC993"/>
      <c r="BD993"/>
      <c r="BE993"/>
      <c r="BF993"/>
      <c r="BG993"/>
    </row>
    <row r="994" spans="2:59" x14ac:dyDescent="0.25">
      <c r="B994" s="22"/>
      <c r="C994" s="23"/>
      <c r="E994" s="23"/>
      <c r="F994" s="24"/>
      <c r="G994" s="2"/>
      <c r="H994" s="10" t="e">
        <f>_xlfn.XLOOKUP(F994,Viloyatlar24[RegionName],Viloyatlar24[RegionId])</f>
        <v>#N/A</v>
      </c>
      <c r="I994" s="10" t="e">
        <f>_xlfn.XLOOKUP('Кўчмас мулк объектлари'!G994,Tumanlar23[DistrictName],Tumanlar23[DistrictId])</f>
        <v>#N/A</v>
      </c>
      <c r="K994" s="24"/>
      <c r="L994" s="10" t="e">
        <f>_xlfn.XLOOKUP(K994,Ташкилотлар39[Ташкилотлар],Ташкилотлар39[TashklilotID])</f>
        <v>#N/A</v>
      </c>
      <c r="M994" s="26"/>
      <c r="N994" s="26"/>
      <c r="O994" s="24"/>
      <c r="P994" s="2"/>
      <c r="Q994" s="26"/>
      <c r="R994" s="26"/>
      <c r="S994" s="26"/>
      <c r="T994" s="26"/>
      <c r="U994" s="24"/>
      <c r="V994" s="10" t="e">
        <f>_xlfn.XLOOKUP(U994,Таклифлар37[Таклифлар],Таклифлар37[TaklifID])</f>
        <v>#N/A</v>
      </c>
      <c r="W994" s="24"/>
      <c r="X994" s="23"/>
      <c r="Y994" s="7"/>
      <c r="Z994" s="26"/>
      <c r="AB994" s="23"/>
      <c r="AD994" s="2"/>
      <c r="AG994" s="23"/>
      <c r="AI994" s="26"/>
      <c r="AJ994" s="23"/>
      <c r="AM994" s="23"/>
      <c r="AO994" s="32"/>
      <c r="AP994" s="26"/>
      <c r="AR994" s="26"/>
      <c r="AS994" s="27"/>
      <c r="AT994" s="27"/>
      <c r="AU994" s="31"/>
      <c r="AV994" s="24"/>
      <c r="AW994"/>
      <c r="AX994"/>
      <c r="AY994"/>
      <c r="AZ994"/>
      <c r="BA994"/>
      <c r="BB994"/>
      <c r="BC994"/>
      <c r="BD994"/>
      <c r="BE994"/>
      <c r="BF994"/>
      <c r="BG994"/>
    </row>
    <row r="995" spans="2:59" x14ac:dyDescent="0.25">
      <c r="B995" s="22"/>
      <c r="C995" s="23"/>
      <c r="E995" s="23"/>
      <c r="F995" s="24"/>
      <c r="G995" s="2"/>
      <c r="H995" s="10" t="e">
        <f>_xlfn.XLOOKUP(F995,Viloyatlar24[RegionName],Viloyatlar24[RegionId])</f>
        <v>#N/A</v>
      </c>
      <c r="I995" s="10" t="e">
        <f>_xlfn.XLOOKUP('Кўчмас мулк объектлари'!G995,Tumanlar23[DistrictName],Tumanlar23[DistrictId])</f>
        <v>#N/A</v>
      </c>
      <c r="K995" s="24"/>
      <c r="L995" s="10" t="e">
        <f>_xlfn.XLOOKUP(K995,Ташкилотлар39[Ташкилотлар],Ташкилотлар39[TashklilotID])</f>
        <v>#N/A</v>
      </c>
      <c r="M995" s="26"/>
      <c r="N995" s="26"/>
      <c r="O995" s="24"/>
      <c r="P995" s="2"/>
      <c r="Q995" s="26"/>
      <c r="R995" s="26"/>
      <c r="S995" s="26"/>
      <c r="T995" s="26"/>
      <c r="U995" s="24"/>
      <c r="V995" s="10" t="e">
        <f>_xlfn.XLOOKUP(U995,Таклифлар37[Таклифлар],Таклифлар37[TaklifID])</f>
        <v>#N/A</v>
      </c>
      <c r="W995" s="24"/>
      <c r="X995" s="23"/>
      <c r="Y995" s="7"/>
      <c r="Z995" s="26"/>
      <c r="AB995" s="23"/>
      <c r="AD995" s="2"/>
      <c r="AG995" s="23"/>
      <c r="AI995" s="26"/>
      <c r="AJ995" s="23"/>
      <c r="AM995" s="23"/>
      <c r="AO995" s="32"/>
      <c r="AP995" s="26"/>
      <c r="AR995" s="26"/>
      <c r="AS995" s="27"/>
      <c r="AT995" s="27"/>
      <c r="AU995" s="31"/>
      <c r="AV995" s="24"/>
      <c r="AW995"/>
      <c r="AX995"/>
      <c r="AY995"/>
      <c r="AZ995"/>
      <c r="BA995"/>
      <c r="BB995"/>
      <c r="BC995"/>
      <c r="BD995"/>
      <c r="BE995"/>
      <c r="BF995"/>
      <c r="BG995"/>
    </row>
    <row r="996" spans="2:59" x14ac:dyDescent="0.25">
      <c r="B996" s="22"/>
      <c r="C996" s="23"/>
      <c r="E996" s="23"/>
      <c r="F996" s="24"/>
      <c r="G996" s="2"/>
      <c r="H996" s="10" t="e">
        <f>_xlfn.XLOOKUP(F996,Viloyatlar24[RegionName],Viloyatlar24[RegionId])</f>
        <v>#N/A</v>
      </c>
      <c r="I996" s="10" t="e">
        <f>_xlfn.XLOOKUP('Кўчмас мулк объектлари'!G996,Tumanlar23[DistrictName],Tumanlar23[DistrictId])</f>
        <v>#N/A</v>
      </c>
      <c r="K996" s="24"/>
      <c r="L996" s="10" t="e">
        <f>_xlfn.XLOOKUP(K996,Ташкилотлар39[Ташкилотлар],Ташкилотлар39[TashklilotID])</f>
        <v>#N/A</v>
      </c>
      <c r="M996" s="26"/>
      <c r="N996" s="26"/>
      <c r="O996" s="24"/>
      <c r="P996" s="2"/>
      <c r="Q996" s="26"/>
      <c r="R996" s="26"/>
      <c r="S996" s="26"/>
      <c r="T996" s="26"/>
      <c r="U996" s="24"/>
      <c r="V996" s="10" t="e">
        <f>_xlfn.XLOOKUP(U996,Таклифлар37[Таклифлар],Таклифлар37[TaklifID])</f>
        <v>#N/A</v>
      </c>
      <c r="W996" s="24"/>
      <c r="X996" s="23"/>
      <c r="Y996" s="7"/>
      <c r="Z996" s="26"/>
      <c r="AB996" s="23"/>
      <c r="AD996" s="2"/>
      <c r="AG996" s="23"/>
      <c r="AI996" s="26"/>
      <c r="AJ996" s="23"/>
      <c r="AM996" s="23"/>
      <c r="AO996" s="32"/>
      <c r="AP996" s="26"/>
      <c r="AR996" s="26"/>
      <c r="AS996" s="27"/>
      <c r="AT996" s="27"/>
      <c r="AU996" s="31"/>
      <c r="AV996" s="24"/>
      <c r="AW996"/>
      <c r="AX996"/>
      <c r="AY996"/>
      <c r="AZ996"/>
      <c r="BA996"/>
      <c r="BB996"/>
      <c r="BC996"/>
      <c r="BD996"/>
      <c r="BE996"/>
      <c r="BF996"/>
      <c r="BG996"/>
    </row>
    <row r="997" spans="2:59" x14ac:dyDescent="0.25">
      <c r="B997" s="22"/>
      <c r="C997" s="23"/>
      <c r="E997" s="23"/>
      <c r="F997" s="24"/>
      <c r="G997" s="2"/>
      <c r="H997" s="10" t="e">
        <f>_xlfn.XLOOKUP(F997,Viloyatlar24[RegionName],Viloyatlar24[RegionId])</f>
        <v>#N/A</v>
      </c>
      <c r="I997" s="10" t="e">
        <f>_xlfn.XLOOKUP('Кўчмас мулк объектлари'!G997,Tumanlar23[DistrictName],Tumanlar23[DistrictId])</f>
        <v>#N/A</v>
      </c>
      <c r="K997" s="24"/>
      <c r="L997" s="10" t="e">
        <f>_xlfn.XLOOKUP(K997,Ташкилотлар39[Ташкилотлар],Ташкилотлар39[TashklilotID])</f>
        <v>#N/A</v>
      </c>
      <c r="M997" s="26"/>
      <c r="N997" s="26"/>
      <c r="O997" s="24"/>
      <c r="P997" s="2"/>
      <c r="Q997" s="26"/>
      <c r="R997" s="26"/>
      <c r="S997" s="26"/>
      <c r="T997" s="26"/>
      <c r="U997" s="24"/>
      <c r="V997" s="10" t="e">
        <f>_xlfn.XLOOKUP(U997,Таклифлар37[Таклифлар],Таклифлар37[TaklifID])</f>
        <v>#N/A</v>
      </c>
      <c r="W997" s="24"/>
      <c r="X997" s="23"/>
      <c r="Y997" s="7"/>
      <c r="Z997" s="26"/>
      <c r="AB997" s="23"/>
      <c r="AD997" s="2"/>
      <c r="AG997" s="23"/>
      <c r="AI997" s="26"/>
      <c r="AJ997" s="23"/>
      <c r="AM997" s="23"/>
      <c r="AO997" s="32"/>
      <c r="AP997" s="26"/>
      <c r="AR997" s="26"/>
      <c r="AS997" s="27"/>
      <c r="AT997" s="27"/>
      <c r="AU997" s="31"/>
      <c r="AV997" s="24"/>
      <c r="AW997"/>
      <c r="AX997"/>
      <c r="AY997"/>
      <c r="AZ997"/>
      <c r="BA997"/>
      <c r="BB997"/>
      <c r="BC997"/>
      <c r="BD997"/>
      <c r="BE997"/>
      <c r="BF997"/>
      <c r="BG997"/>
    </row>
    <row r="998" spans="2:59" x14ac:dyDescent="0.25">
      <c r="B998" s="22"/>
      <c r="C998" s="23"/>
      <c r="E998" s="23"/>
      <c r="F998" s="24"/>
      <c r="G998" s="2"/>
      <c r="H998" s="10" t="e">
        <f>_xlfn.XLOOKUP(F998,Viloyatlar24[RegionName],Viloyatlar24[RegionId])</f>
        <v>#N/A</v>
      </c>
      <c r="I998" s="10" t="e">
        <f>_xlfn.XLOOKUP('Кўчмас мулк объектлари'!G998,Tumanlar23[DistrictName],Tumanlar23[DistrictId])</f>
        <v>#N/A</v>
      </c>
      <c r="K998" s="24"/>
      <c r="L998" s="10" t="e">
        <f>_xlfn.XLOOKUP(K998,Ташкилотлар39[Ташкилотлар],Ташкилотлар39[TashklilotID])</f>
        <v>#N/A</v>
      </c>
      <c r="M998" s="26"/>
      <c r="N998" s="26"/>
      <c r="O998" s="24"/>
      <c r="P998" s="2"/>
      <c r="Q998" s="26"/>
      <c r="R998" s="26"/>
      <c r="S998" s="26"/>
      <c r="T998" s="26"/>
      <c r="U998" s="24"/>
      <c r="V998" s="10" t="e">
        <f>_xlfn.XLOOKUP(U998,Таклифлар37[Таклифлар],Таклифлар37[TaklifID])</f>
        <v>#N/A</v>
      </c>
      <c r="W998" s="24"/>
      <c r="X998" s="23"/>
      <c r="Y998" s="7"/>
      <c r="Z998" s="26"/>
      <c r="AB998" s="23"/>
      <c r="AD998" s="2"/>
      <c r="AG998" s="23"/>
      <c r="AI998" s="26"/>
      <c r="AJ998" s="23"/>
      <c r="AM998" s="23"/>
      <c r="AO998" s="32"/>
      <c r="AP998" s="26"/>
      <c r="AR998" s="26"/>
      <c r="AS998" s="27"/>
      <c r="AT998" s="27"/>
      <c r="AU998" s="31"/>
      <c r="AV998" s="24"/>
      <c r="AW998"/>
      <c r="AX998"/>
      <c r="AY998"/>
      <c r="AZ998"/>
      <c r="BA998"/>
      <c r="BB998"/>
      <c r="BC998"/>
      <c r="BD998"/>
      <c r="BE998"/>
      <c r="BF998"/>
      <c r="BG998"/>
    </row>
    <row r="999" spans="2:59" x14ac:dyDescent="0.25">
      <c r="B999" s="22"/>
      <c r="C999" s="23"/>
      <c r="E999" s="23"/>
      <c r="F999" s="24"/>
      <c r="G999" s="2"/>
      <c r="H999" s="10" t="e">
        <f>_xlfn.XLOOKUP(F999,Viloyatlar24[RegionName],Viloyatlar24[RegionId])</f>
        <v>#N/A</v>
      </c>
      <c r="I999" s="10" t="e">
        <f>_xlfn.XLOOKUP('Кўчмас мулк объектлари'!G999,Tumanlar23[DistrictName],Tumanlar23[DistrictId])</f>
        <v>#N/A</v>
      </c>
      <c r="K999" s="24"/>
      <c r="L999" s="10" t="e">
        <f>_xlfn.XLOOKUP(K999,Ташкилотлар39[Ташкилотлар],Ташкилотлар39[TashklilotID])</f>
        <v>#N/A</v>
      </c>
      <c r="M999" s="26"/>
      <c r="N999" s="26"/>
      <c r="O999" s="24"/>
      <c r="P999" s="2"/>
      <c r="Q999" s="26"/>
      <c r="R999" s="26"/>
      <c r="S999" s="26"/>
      <c r="T999" s="26"/>
      <c r="U999" s="24"/>
      <c r="V999" s="10" t="e">
        <f>_xlfn.XLOOKUP(U999,Таклифлар37[Таклифлар],Таклифлар37[TaklifID])</f>
        <v>#N/A</v>
      </c>
      <c r="W999" s="24"/>
      <c r="X999" s="23"/>
      <c r="Y999" s="7"/>
      <c r="Z999" s="26"/>
      <c r="AB999" s="23"/>
      <c r="AD999" s="2"/>
      <c r="AG999" s="23"/>
      <c r="AI999" s="26"/>
      <c r="AJ999" s="23"/>
      <c r="AM999" s="23"/>
      <c r="AO999" s="32"/>
      <c r="AP999" s="26"/>
      <c r="AR999" s="26"/>
      <c r="AS999" s="27"/>
      <c r="AT999" s="27"/>
      <c r="AU999" s="31"/>
      <c r="AV999" s="24"/>
      <c r="AW999"/>
      <c r="AX999"/>
      <c r="AY999"/>
      <c r="AZ999"/>
      <c r="BA999"/>
      <c r="BB999"/>
      <c r="BC999"/>
      <c r="BD999"/>
      <c r="BE999"/>
      <c r="BF999"/>
      <c r="BG999"/>
    </row>
    <row r="1000" spans="2:59" x14ac:dyDescent="0.25">
      <c r="B1000" s="22"/>
      <c r="C1000" s="23"/>
      <c r="E1000" s="23"/>
      <c r="F1000" s="24"/>
      <c r="G1000" s="2"/>
      <c r="H1000" s="10" t="e">
        <f>_xlfn.XLOOKUP(F1000,Viloyatlar24[RegionName],Viloyatlar24[RegionId])</f>
        <v>#N/A</v>
      </c>
      <c r="I1000" s="10" t="e">
        <f>_xlfn.XLOOKUP('Кўчмас мулк объектлари'!G1000,Tumanlar23[DistrictName],Tumanlar23[DistrictId])</f>
        <v>#N/A</v>
      </c>
      <c r="K1000" s="24"/>
      <c r="L1000" s="10" t="e">
        <f>_xlfn.XLOOKUP(K1000,Ташкилотлар39[Ташкилотлар],Ташкилотлар39[TashklilotID])</f>
        <v>#N/A</v>
      </c>
      <c r="M1000" s="26"/>
      <c r="N1000" s="26"/>
      <c r="O1000" s="24"/>
      <c r="P1000" s="2"/>
      <c r="Q1000" s="26"/>
      <c r="R1000" s="26"/>
      <c r="S1000" s="26"/>
      <c r="T1000" s="26"/>
      <c r="U1000" s="24"/>
      <c r="V1000" s="10" t="e">
        <f>_xlfn.XLOOKUP(U1000,Таклифлар37[Таклифлар],Таклифлар37[TaklifID])</f>
        <v>#N/A</v>
      </c>
      <c r="W1000" s="24"/>
      <c r="X1000" s="23"/>
      <c r="Y1000" s="7"/>
      <c r="Z1000" s="26"/>
      <c r="AB1000" s="23"/>
      <c r="AD1000" s="2"/>
      <c r="AG1000" s="23"/>
      <c r="AI1000" s="26"/>
      <c r="AJ1000" s="23"/>
      <c r="AM1000" s="23"/>
      <c r="AO1000" s="32"/>
      <c r="AP1000" s="26"/>
      <c r="AR1000" s="26"/>
      <c r="AS1000" s="27"/>
      <c r="AT1000" s="27"/>
      <c r="AU1000" s="31"/>
      <c r="AV1000" s="24"/>
      <c r="AW1000"/>
      <c r="AX1000"/>
      <c r="AY1000"/>
      <c r="AZ1000"/>
      <c r="BA1000"/>
      <c r="BB1000"/>
      <c r="BC1000"/>
      <c r="BD1000"/>
      <c r="BE1000"/>
      <c r="BF1000"/>
      <c r="BG1000"/>
    </row>
    <row r="1001" spans="2:59" x14ac:dyDescent="0.25">
      <c r="B1001" s="22"/>
      <c r="C1001" s="23"/>
      <c r="E1001" s="23"/>
      <c r="F1001" s="24"/>
      <c r="G1001" s="2"/>
      <c r="H1001" s="10" t="e">
        <f>_xlfn.XLOOKUP(F1001,Viloyatlar24[RegionName],Viloyatlar24[RegionId])</f>
        <v>#N/A</v>
      </c>
      <c r="I1001" s="10" t="e">
        <f>_xlfn.XLOOKUP('Кўчмас мулк объектлари'!G1001,Tumanlar23[DistrictName],Tumanlar23[DistrictId])</f>
        <v>#N/A</v>
      </c>
      <c r="K1001" s="24"/>
      <c r="L1001" s="10" t="e">
        <f>_xlfn.XLOOKUP(K1001,Ташкилотлар39[Ташкилотлар],Ташкилотлар39[TashklilotID])</f>
        <v>#N/A</v>
      </c>
      <c r="M1001" s="26"/>
      <c r="N1001" s="26"/>
      <c r="O1001" s="24"/>
      <c r="P1001" s="2"/>
      <c r="Q1001" s="26"/>
      <c r="R1001" s="26"/>
      <c r="S1001" s="26"/>
      <c r="T1001" s="26"/>
      <c r="U1001" s="24"/>
      <c r="V1001" s="10" t="e">
        <f>_xlfn.XLOOKUP(U1001,Таклифлар37[Таклифлар],Таклифлар37[TaklifID])</f>
        <v>#N/A</v>
      </c>
      <c r="W1001" s="24"/>
      <c r="X1001" s="23"/>
      <c r="Y1001" s="7"/>
      <c r="Z1001" s="26"/>
      <c r="AB1001" s="23"/>
      <c r="AD1001" s="2"/>
      <c r="AG1001" s="23"/>
      <c r="AI1001" s="26"/>
      <c r="AJ1001" s="23"/>
      <c r="AM1001" s="23"/>
      <c r="AO1001" s="32"/>
      <c r="AP1001" s="26"/>
      <c r="AR1001" s="26"/>
      <c r="AS1001" s="27"/>
      <c r="AT1001" s="27"/>
      <c r="AU1001" s="31"/>
      <c r="AV1001" s="24"/>
      <c r="AW1001"/>
      <c r="AX1001"/>
      <c r="AY1001"/>
      <c r="AZ1001"/>
      <c r="BA1001"/>
      <c r="BB1001"/>
      <c r="BC1001"/>
      <c r="BD1001"/>
      <c r="BE1001"/>
      <c r="BF1001"/>
      <c r="BG1001"/>
    </row>
    <row r="1002" spans="2:59" x14ac:dyDescent="0.25">
      <c r="B1002" s="22"/>
      <c r="C1002" s="23"/>
      <c r="E1002" s="23"/>
      <c r="F1002" s="24"/>
      <c r="G1002" s="2"/>
      <c r="H1002" s="10" t="e">
        <f>_xlfn.XLOOKUP(F1002,Viloyatlar24[RegionName],Viloyatlar24[RegionId])</f>
        <v>#N/A</v>
      </c>
      <c r="I1002" s="10" t="e">
        <f>_xlfn.XLOOKUP('Кўчмас мулк объектлари'!G1002,Tumanlar23[DistrictName],Tumanlar23[DistrictId])</f>
        <v>#N/A</v>
      </c>
      <c r="K1002" s="24"/>
      <c r="L1002" s="10" t="e">
        <f>_xlfn.XLOOKUP(K1002,Ташкилотлар39[Ташкилотлар],Ташкилотлар39[TashklilotID])</f>
        <v>#N/A</v>
      </c>
      <c r="M1002" s="26"/>
      <c r="N1002" s="26"/>
      <c r="O1002" s="24"/>
      <c r="P1002" s="2"/>
      <c r="Q1002" s="26"/>
      <c r="R1002" s="26"/>
      <c r="S1002" s="26"/>
      <c r="T1002" s="26"/>
      <c r="U1002" s="24"/>
      <c r="V1002" s="10" t="e">
        <f>_xlfn.XLOOKUP(U1002,Таклифлар37[Таклифлар],Таклифлар37[TaklifID])</f>
        <v>#N/A</v>
      </c>
      <c r="W1002" s="24"/>
      <c r="X1002" s="23"/>
      <c r="Y1002" s="7"/>
      <c r="Z1002" s="26"/>
      <c r="AB1002" s="23"/>
      <c r="AD1002" s="2"/>
      <c r="AG1002" s="23"/>
      <c r="AI1002" s="26"/>
      <c r="AJ1002" s="23"/>
      <c r="AM1002" s="23"/>
      <c r="AO1002" s="32"/>
      <c r="AP1002" s="26"/>
      <c r="AR1002" s="26"/>
      <c r="AS1002" s="27"/>
      <c r="AT1002" s="27"/>
      <c r="AU1002" s="31"/>
      <c r="AV1002" s="24"/>
      <c r="AW1002"/>
      <c r="AX1002"/>
      <c r="AY1002"/>
      <c r="AZ1002"/>
      <c r="BA1002"/>
      <c r="BB1002"/>
      <c r="BC1002"/>
      <c r="BD1002"/>
      <c r="BE1002"/>
      <c r="BF1002"/>
      <c r="BG1002"/>
    </row>
    <row r="1003" spans="2:59" x14ac:dyDescent="0.25">
      <c r="B1003" s="22"/>
      <c r="C1003" s="23"/>
      <c r="E1003" s="23"/>
      <c r="F1003" s="24"/>
      <c r="G1003" s="2"/>
      <c r="H1003" s="10" t="e">
        <f>_xlfn.XLOOKUP(F1003,Viloyatlar24[RegionName],Viloyatlar24[RegionId])</f>
        <v>#N/A</v>
      </c>
      <c r="I1003" s="10" t="e">
        <f>_xlfn.XLOOKUP('Кўчмас мулк объектлари'!G1003,Tumanlar23[DistrictName],Tumanlar23[DistrictId])</f>
        <v>#N/A</v>
      </c>
      <c r="K1003" s="24"/>
      <c r="L1003" s="10" t="e">
        <f>_xlfn.XLOOKUP(K1003,Ташкилотлар39[Ташкилотлар],Ташкилотлар39[TashklilotID])</f>
        <v>#N/A</v>
      </c>
      <c r="M1003" s="26"/>
      <c r="N1003" s="26"/>
      <c r="O1003" s="24"/>
      <c r="P1003" s="2"/>
      <c r="Q1003" s="26"/>
      <c r="R1003" s="26"/>
      <c r="S1003" s="26"/>
      <c r="T1003" s="26"/>
      <c r="U1003" s="24"/>
      <c r="V1003" s="10" t="e">
        <f>_xlfn.XLOOKUP(U1003,Таклифлар37[Таклифлар],Таклифлар37[TaklifID])</f>
        <v>#N/A</v>
      </c>
      <c r="W1003" s="24"/>
      <c r="X1003" s="23"/>
      <c r="Y1003" s="7"/>
      <c r="Z1003" s="26"/>
      <c r="AB1003" s="23"/>
      <c r="AD1003" s="2"/>
      <c r="AG1003" s="23"/>
      <c r="AI1003" s="26"/>
      <c r="AJ1003" s="23"/>
      <c r="AM1003" s="23"/>
      <c r="AO1003" s="32"/>
      <c r="AP1003" s="26"/>
      <c r="AR1003" s="26"/>
      <c r="AS1003" s="27"/>
      <c r="AT1003" s="27"/>
      <c r="AU1003" s="31"/>
      <c r="AV1003" s="24"/>
      <c r="AW1003"/>
      <c r="AX1003"/>
      <c r="AY1003"/>
      <c r="AZ1003"/>
      <c r="BA1003"/>
      <c r="BB1003"/>
      <c r="BC1003"/>
      <c r="BD1003"/>
      <c r="BE1003"/>
      <c r="BF1003"/>
      <c r="BG1003"/>
    </row>
    <row r="1004" spans="2:59" x14ac:dyDescent="0.25">
      <c r="B1004" s="22"/>
      <c r="C1004" s="23"/>
      <c r="E1004" s="23"/>
      <c r="F1004" s="24"/>
      <c r="G1004" s="2"/>
      <c r="H1004" s="10" t="e">
        <f>_xlfn.XLOOKUP(F1004,Viloyatlar24[RegionName],Viloyatlar24[RegionId])</f>
        <v>#N/A</v>
      </c>
      <c r="I1004" s="10" t="e">
        <f>_xlfn.XLOOKUP('Кўчмас мулк объектлари'!G1004,Tumanlar23[DistrictName],Tumanlar23[DistrictId])</f>
        <v>#N/A</v>
      </c>
      <c r="K1004" s="24"/>
      <c r="L1004" s="10" t="e">
        <f>_xlfn.XLOOKUP(K1004,Ташкилотлар39[Ташкилотлар],Ташкилотлар39[TashklilotID])</f>
        <v>#N/A</v>
      </c>
      <c r="M1004" s="26"/>
      <c r="N1004" s="26"/>
      <c r="O1004" s="24"/>
      <c r="P1004" s="2"/>
      <c r="Q1004" s="26"/>
      <c r="R1004" s="26"/>
      <c r="S1004" s="26"/>
      <c r="T1004" s="26"/>
      <c r="U1004" s="24"/>
      <c r="V1004" s="10" t="e">
        <f>_xlfn.XLOOKUP(U1004,Таклифлар37[Таклифлар],Таклифлар37[TaklifID])</f>
        <v>#N/A</v>
      </c>
      <c r="W1004" s="24"/>
      <c r="X1004" s="23"/>
      <c r="Y1004" s="7"/>
      <c r="Z1004" s="26"/>
      <c r="AB1004" s="23"/>
      <c r="AD1004" s="2"/>
      <c r="AG1004" s="23"/>
      <c r="AI1004" s="26"/>
      <c r="AJ1004" s="23"/>
      <c r="AM1004" s="23"/>
      <c r="AO1004" s="32"/>
      <c r="AP1004" s="26"/>
      <c r="AR1004" s="26"/>
      <c r="AS1004" s="27"/>
      <c r="AT1004" s="27"/>
      <c r="AU1004" s="31"/>
      <c r="AV1004" s="24"/>
      <c r="AW1004"/>
      <c r="AX1004"/>
      <c r="AY1004"/>
      <c r="AZ1004"/>
      <c r="BA1004"/>
      <c r="BB1004"/>
      <c r="BC1004"/>
      <c r="BD1004"/>
      <c r="BE1004"/>
      <c r="BF1004"/>
      <c r="BG1004"/>
    </row>
    <row r="1005" spans="2:59" x14ac:dyDescent="0.25">
      <c r="B1005" s="22"/>
      <c r="C1005" s="23"/>
      <c r="E1005" s="23"/>
      <c r="F1005" s="24"/>
      <c r="G1005" s="2"/>
      <c r="H1005" s="10" t="e">
        <f>_xlfn.XLOOKUP(F1005,Viloyatlar24[RegionName],Viloyatlar24[RegionId])</f>
        <v>#N/A</v>
      </c>
      <c r="I1005" s="10" t="e">
        <f>_xlfn.XLOOKUP('Кўчмас мулк объектлари'!G1005,Tumanlar23[DistrictName],Tumanlar23[DistrictId])</f>
        <v>#N/A</v>
      </c>
      <c r="K1005" s="24"/>
      <c r="L1005" s="10" t="e">
        <f>_xlfn.XLOOKUP(K1005,Ташкилотлар39[Ташкилотлар],Ташкилотлар39[TashklilotID])</f>
        <v>#N/A</v>
      </c>
      <c r="M1005" s="26"/>
      <c r="N1005" s="26"/>
      <c r="O1005" s="24"/>
      <c r="P1005" s="2"/>
      <c r="Q1005" s="26"/>
      <c r="R1005" s="26"/>
      <c r="S1005" s="26"/>
      <c r="T1005" s="26"/>
      <c r="U1005" s="24"/>
      <c r="V1005" s="10" t="e">
        <f>_xlfn.XLOOKUP(U1005,Таклифлар37[Таклифлар],Таклифлар37[TaklifID])</f>
        <v>#N/A</v>
      </c>
      <c r="W1005" s="24"/>
      <c r="X1005" s="23"/>
      <c r="Y1005" s="7"/>
      <c r="Z1005" s="26"/>
      <c r="AB1005" s="23"/>
      <c r="AD1005" s="2"/>
      <c r="AG1005" s="23"/>
      <c r="AI1005" s="26"/>
      <c r="AJ1005" s="23"/>
      <c r="AM1005" s="23"/>
      <c r="AO1005" s="32"/>
      <c r="AP1005" s="26"/>
      <c r="AR1005" s="26"/>
      <c r="AS1005" s="27"/>
      <c r="AT1005" s="27"/>
      <c r="AU1005" s="31"/>
      <c r="AV1005" s="24"/>
      <c r="AW1005"/>
      <c r="AX1005"/>
      <c r="AY1005"/>
      <c r="AZ1005"/>
      <c r="BA1005"/>
      <c r="BB1005"/>
      <c r="BC1005"/>
      <c r="BD1005"/>
      <c r="BE1005"/>
      <c r="BF1005"/>
      <c r="BG1005"/>
    </row>
    <row r="1006" spans="2:59" x14ac:dyDescent="0.25">
      <c r="B1006" s="22"/>
      <c r="C1006" s="23"/>
      <c r="E1006" s="23"/>
      <c r="F1006" s="24"/>
      <c r="G1006" s="2"/>
      <c r="H1006" s="10" t="e">
        <f>_xlfn.XLOOKUP(F1006,Viloyatlar24[RegionName],Viloyatlar24[RegionId])</f>
        <v>#N/A</v>
      </c>
      <c r="I1006" s="10" t="e">
        <f>_xlfn.XLOOKUP('Кўчмас мулк объектлари'!G1006,Tumanlar23[DistrictName],Tumanlar23[DistrictId])</f>
        <v>#N/A</v>
      </c>
      <c r="K1006" s="24"/>
      <c r="L1006" s="10" t="e">
        <f>_xlfn.XLOOKUP(K1006,Ташкилотлар39[Ташкилотлар],Ташкилотлар39[TashklilotID])</f>
        <v>#N/A</v>
      </c>
      <c r="M1006" s="26"/>
      <c r="N1006" s="26"/>
      <c r="O1006" s="24"/>
      <c r="P1006" s="2"/>
      <c r="Q1006" s="26"/>
      <c r="R1006" s="26"/>
      <c r="S1006" s="26"/>
      <c r="T1006" s="26"/>
      <c r="U1006" s="24"/>
      <c r="V1006" s="10" t="e">
        <f>_xlfn.XLOOKUP(U1006,Таклифлар37[Таклифлар],Таклифлар37[TaklifID])</f>
        <v>#N/A</v>
      </c>
      <c r="W1006" s="24"/>
      <c r="X1006" s="23"/>
      <c r="Y1006" s="7"/>
      <c r="Z1006" s="26"/>
      <c r="AB1006" s="23"/>
      <c r="AD1006" s="2"/>
      <c r="AG1006" s="23"/>
      <c r="AI1006" s="26"/>
      <c r="AJ1006" s="23"/>
      <c r="AM1006" s="23"/>
      <c r="AO1006" s="32"/>
      <c r="AP1006" s="26"/>
      <c r="AR1006" s="26"/>
      <c r="AS1006" s="27"/>
      <c r="AT1006" s="27"/>
      <c r="AU1006" s="31"/>
      <c r="AV1006" s="24"/>
      <c r="AW1006"/>
      <c r="AX1006"/>
      <c r="AY1006"/>
      <c r="AZ1006"/>
      <c r="BA1006"/>
      <c r="BB1006"/>
      <c r="BC1006"/>
      <c r="BD1006"/>
      <c r="BE1006"/>
      <c r="BF1006"/>
      <c r="BG1006"/>
    </row>
    <row r="1007" spans="2:59" x14ac:dyDescent="0.25">
      <c r="B1007" s="22"/>
      <c r="C1007" s="23"/>
      <c r="E1007" s="23"/>
      <c r="F1007" s="24"/>
      <c r="G1007" s="2"/>
      <c r="H1007" s="10" t="e">
        <f>_xlfn.XLOOKUP(F1007,Viloyatlar24[RegionName],Viloyatlar24[RegionId])</f>
        <v>#N/A</v>
      </c>
      <c r="I1007" s="10" t="e">
        <f>_xlfn.XLOOKUP('Кўчмас мулк объектлари'!G1007,Tumanlar23[DistrictName],Tumanlar23[DistrictId])</f>
        <v>#N/A</v>
      </c>
      <c r="K1007" s="24"/>
      <c r="L1007" s="10" t="e">
        <f>_xlfn.XLOOKUP(K1007,Ташкилотлар39[Ташкилотлар],Ташкилотлар39[TashklilotID])</f>
        <v>#N/A</v>
      </c>
      <c r="M1007" s="26"/>
      <c r="N1007" s="26"/>
      <c r="O1007" s="24"/>
      <c r="P1007" s="2"/>
      <c r="Q1007" s="26"/>
      <c r="R1007" s="26"/>
      <c r="S1007" s="26"/>
      <c r="T1007" s="26"/>
      <c r="U1007" s="24"/>
      <c r="V1007" s="10" t="e">
        <f>_xlfn.XLOOKUP(U1007,Таклифлар37[Таклифлар],Таклифлар37[TaklifID])</f>
        <v>#N/A</v>
      </c>
      <c r="W1007" s="24"/>
      <c r="X1007" s="23"/>
      <c r="Y1007" s="7"/>
      <c r="Z1007" s="26"/>
      <c r="AB1007" s="23"/>
      <c r="AD1007" s="2"/>
      <c r="AG1007" s="23"/>
      <c r="AI1007" s="26"/>
      <c r="AJ1007" s="23"/>
      <c r="AM1007" s="23"/>
      <c r="AO1007" s="32"/>
      <c r="AP1007" s="26"/>
      <c r="AR1007" s="26"/>
      <c r="AS1007" s="27"/>
      <c r="AT1007" s="27"/>
      <c r="AU1007" s="31"/>
      <c r="AV1007" s="24"/>
      <c r="AW1007"/>
      <c r="AX1007"/>
      <c r="AY1007"/>
      <c r="AZ1007"/>
      <c r="BA1007"/>
      <c r="BB1007"/>
      <c r="BC1007"/>
      <c r="BD1007"/>
      <c r="BE1007"/>
      <c r="BF1007"/>
      <c r="BG1007"/>
    </row>
    <row r="1008" spans="2:59" x14ac:dyDescent="0.25">
      <c r="B1008" s="22"/>
      <c r="C1008" s="23"/>
      <c r="E1008" s="23"/>
      <c r="F1008" s="24"/>
      <c r="G1008" s="2"/>
      <c r="H1008" s="10" t="e">
        <f>_xlfn.XLOOKUP(F1008,Viloyatlar24[RegionName],Viloyatlar24[RegionId])</f>
        <v>#N/A</v>
      </c>
      <c r="I1008" s="10" t="e">
        <f>_xlfn.XLOOKUP('Кўчмас мулк объектлари'!G1008,Tumanlar23[DistrictName],Tumanlar23[DistrictId])</f>
        <v>#N/A</v>
      </c>
      <c r="K1008" s="24"/>
      <c r="L1008" s="10" t="e">
        <f>_xlfn.XLOOKUP(K1008,Ташкилотлар39[Ташкилотлар],Ташкилотлар39[TashklilotID])</f>
        <v>#N/A</v>
      </c>
      <c r="M1008" s="26"/>
      <c r="N1008" s="26"/>
      <c r="O1008" s="24"/>
      <c r="P1008" s="2"/>
      <c r="Q1008" s="26"/>
      <c r="R1008" s="26"/>
      <c r="S1008" s="26"/>
      <c r="T1008" s="26"/>
      <c r="U1008" s="24"/>
      <c r="V1008" s="10" t="e">
        <f>_xlfn.XLOOKUP(U1008,Таклифлар37[Таклифлар],Таклифлар37[TaklifID])</f>
        <v>#N/A</v>
      </c>
      <c r="W1008" s="24"/>
      <c r="X1008" s="23"/>
      <c r="Y1008" s="7"/>
      <c r="Z1008" s="26"/>
      <c r="AB1008" s="23"/>
      <c r="AD1008" s="2"/>
      <c r="AG1008" s="23"/>
      <c r="AI1008" s="26"/>
      <c r="AJ1008" s="23"/>
      <c r="AM1008" s="23"/>
      <c r="AO1008" s="32"/>
      <c r="AP1008" s="26"/>
      <c r="AR1008" s="26"/>
      <c r="AS1008" s="27"/>
      <c r="AT1008" s="27"/>
      <c r="AU1008" s="31"/>
      <c r="AV1008" s="24"/>
      <c r="AW1008"/>
      <c r="AX1008"/>
      <c r="AY1008"/>
      <c r="AZ1008"/>
      <c r="BA1008"/>
      <c r="BB1008"/>
      <c r="BC1008"/>
      <c r="BD1008"/>
      <c r="BE1008"/>
      <c r="BF1008"/>
      <c r="BG1008"/>
    </row>
    <row r="1009" spans="2:59" x14ac:dyDescent="0.25">
      <c r="B1009" s="22"/>
      <c r="C1009" s="23"/>
      <c r="E1009" s="23"/>
      <c r="F1009" s="24"/>
      <c r="G1009" s="2"/>
      <c r="H1009" s="10" t="e">
        <f>_xlfn.XLOOKUP(F1009,Viloyatlar24[RegionName],Viloyatlar24[RegionId])</f>
        <v>#N/A</v>
      </c>
      <c r="I1009" s="10" t="e">
        <f>_xlfn.XLOOKUP('Кўчмас мулк объектлари'!G1009,Tumanlar23[DistrictName],Tumanlar23[DistrictId])</f>
        <v>#N/A</v>
      </c>
      <c r="K1009" s="24"/>
      <c r="L1009" s="10" t="e">
        <f>_xlfn.XLOOKUP(K1009,Ташкилотлар39[Ташкилотлар],Ташкилотлар39[TashklilotID])</f>
        <v>#N/A</v>
      </c>
      <c r="M1009" s="26"/>
      <c r="N1009" s="26"/>
      <c r="O1009" s="24"/>
      <c r="P1009" s="2"/>
      <c r="Q1009" s="26"/>
      <c r="R1009" s="26"/>
      <c r="S1009" s="26"/>
      <c r="T1009" s="26"/>
      <c r="U1009" s="24"/>
      <c r="V1009" s="10" t="e">
        <f>_xlfn.XLOOKUP(U1009,Таклифлар37[Таклифлар],Таклифлар37[TaklifID])</f>
        <v>#N/A</v>
      </c>
      <c r="W1009" s="24"/>
      <c r="X1009" s="23"/>
      <c r="Y1009" s="7"/>
      <c r="Z1009" s="26"/>
      <c r="AB1009" s="23"/>
      <c r="AD1009" s="2"/>
      <c r="AG1009" s="23"/>
      <c r="AI1009" s="26"/>
      <c r="AJ1009" s="23"/>
      <c r="AM1009" s="23"/>
      <c r="AO1009" s="32"/>
      <c r="AP1009" s="26"/>
      <c r="AR1009" s="26"/>
      <c r="AS1009" s="27"/>
      <c r="AT1009" s="27"/>
      <c r="AU1009" s="31"/>
      <c r="AV1009" s="24"/>
      <c r="AW1009"/>
      <c r="AX1009"/>
      <c r="AY1009"/>
      <c r="AZ1009"/>
      <c r="BA1009"/>
      <c r="BB1009"/>
      <c r="BC1009"/>
      <c r="BD1009"/>
      <c r="BE1009"/>
      <c r="BF1009"/>
      <c r="BG1009"/>
    </row>
    <row r="1010" spans="2:59" x14ac:dyDescent="0.25">
      <c r="B1010" s="22"/>
      <c r="C1010" s="23"/>
      <c r="E1010" s="23"/>
      <c r="F1010" s="24"/>
      <c r="G1010" s="2"/>
      <c r="H1010" s="10" t="e">
        <f>_xlfn.XLOOKUP(F1010,Viloyatlar24[RegionName],Viloyatlar24[RegionId])</f>
        <v>#N/A</v>
      </c>
      <c r="I1010" s="10" t="e">
        <f>_xlfn.XLOOKUP('Кўчмас мулк объектлари'!G1010,Tumanlar23[DistrictName],Tumanlar23[DistrictId])</f>
        <v>#N/A</v>
      </c>
      <c r="K1010" s="24"/>
      <c r="L1010" s="10" t="e">
        <f>_xlfn.XLOOKUP(K1010,Ташкилотлар39[Ташкилотлар],Ташкилотлар39[TashklilotID])</f>
        <v>#N/A</v>
      </c>
      <c r="M1010" s="26"/>
      <c r="N1010" s="26"/>
      <c r="O1010" s="24"/>
      <c r="P1010" s="2"/>
      <c r="Q1010" s="26"/>
      <c r="R1010" s="26"/>
      <c r="S1010" s="26"/>
      <c r="T1010" s="26"/>
      <c r="U1010" s="24"/>
      <c r="V1010" s="10" t="e">
        <f>_xlfn.XLOOKUP(U1010,Таклифлар37[Таклифлар],Таклифлар37[TaklifID])</f>
        <v>#N/A</v>
      </c>
      <c r="W1010" s="24"/>
      <c r="X1010" s="23"/>
      <c r="Y1010" s="7"/>
      <c r="Z1010" s="26"/>
      <c r="AB1010" s="23"/>
      <c r="AD1010" s="2"/>
      <c r="AG1010" s="23"/>
      <c r="AI1010" s="26"/>
      <c r="AJ1010" s="23"/>
      <c r="AM1010" s="23"/>
      <c r="AO1010" s="32"/>
      <c r="AP1010" s="26"/>
      <c r="AR1010" s="26"/>
      <c r="AS1010" s="27"/>
      <c r="AT1010" s="27"/>
      <c r="AU1010" s="31"/>
      <c r="AV1010" s="24"/>
      <c r="AW1010"/>
      <c r="AX1010"/>
      <c r="AY1010"/>
      <c r="AZ1010"/>
      <c r="BA1010"/>
      <c r="BB1010"/>
      <c r="BC1010"/>
      <c r="BD1010"/>
      <c r="BE1010"/>
      <c r="BF1010"/>
      <c r="BG1010"/>
    </row>
    <row r="1011" spans="2:59" x14ac:dyDescent="0.25">
      <c r="B1011" s="22"/>
      <c r="C1011" s="23"/>
      <c r="E1011" s="23"/>
      <c r="F1011" s="24"/>
      <c r="G1011" s="2"/>
      <c r="H1011" s="10" t="e">
        <f>_xlfn.XLOOKUP(F1011,Viloyatlar24[RegionName],Viloyatlar24[RegionId])</f>
        <v>#N/A</v>
      </c>
      <c r="I1011" s="10" t="e">
        <f>_xlfn.XLOOKUP('Кўчмас мулк объектлари'!G1011,Tumanlar23[DistrictName],Tumanlar23[DistrictId])</f>
        <v>#N/A</v>
      </c>
      <c r="K1011" s="24"/>
      <c r="L1011" s="10" t="e">
        <f>_xlfn.XLOOKUP(K1011,Ташкилотлар39[Ташкилотлар],Ташкилотлар39[TashklilotID])</f>
        <v>#N/A</v>
      </c>
      <c r="M1011" s="26"/>
      <c r="N1011" s="26"/>
      <c r="O1011" s="24"/>
      <c r="P1011" s="2"/>
      <c r="Q1011" s="26"/>
      <c r="R1011" s="26"/>
      <c r="S1011" s="26"/>
      <c r="T1011" s="26"/>
      <c r="U1011" s="24"/>
      <c r="V1011" s="10" t="e">
        <f>_xlfn.XLOOKUP(U1011,Таклифлар37[Таклифлар],Таклифлар37[TaklifID])</f>
        <v>#N/A</v>
      </c>
      <c r="W1011" s="24"/>
      <c r="X1011" s="23"/>
      <c r="Y1011" s="7"/>
      <c r="Z1011" s="26"/>
      <c r="AB1011" s="23"/>
      <c r="AD1011" s="2"/>
      <c r="AG1011" s="23"/>
      <c r="AI1011" s="26"/>
      <c r="AJ1011" s="23"/>
      <c r="AM1011" s="23"/>
      <c r="AO1011" s="32"/>
      <c r="AP1011" s="26"/>
      <c r="AR1011" s="26"/>
      <c r="AS1011" s="27"/>
      <c r="AT1011" s="27"/>
      <c r="AU1011" s="31"/>
      <c r="AV1011" s="24"/>
      <c r="AW1011"/>
      <c r="AX1011"/>
      <c r="AY1011"/>
      <c r="AZ1011"/>
      <c r="BA1011"/>
      <c r="BB1011"/>
      <c r="BC1011"/>
      <c r="BD1011"/>
      <c r="BE1011"/>
      <c r="BF1011"/>
      <c r="BG1011"/>
    </row>
    <row r="1012" spans="2:59" x14ac:dyDescent="0.25">
      <c r="B1012" s="22"/>
      <c r="C1012" s="23"/>
      <c r="E1012" s="23"/>
      <c r="F1012" s="24"/>
      <c r="G1012" s="2"/>
      <c r="H1012" s="10" t="e">
        <f>_xlfn.XLOOKUP(F1012,Viloyatlar24[RegionName],Viloyatlar24[RegionId])</f>
        <v>#N/A</v>
      </c>
      <c r="I1012" s="10" t="e">
        <f>_xlfn.XLOOKUP('Кўчмас мулк объектлари'!G1012,Tumanlar23[DistrictName],Tumanlar23[DistrictId])</f>
        <v>#N/A</v>
      </c>
      <c r="K1012" s="24"/>
      <c r="L1012" s="10" t="e">
        <f>_xlfn.XLOOKUP(K1012,Ташкилотлар39[Ташкилотлар],Ташкилотлар39[TashklilotID])</f>
        <v>#N/A</v>
      </c>
      <c r="M1012" s="26"/>
      <c r="N1012" s="26"/>
      <c r="O1012" s="24"/>
      <c r="P1012" s="2"/>
      <c r="Q1012" s="26"/>
      <c r="R1012" s="26"/>
      <c r="S1012" s="26"/>
      <c r="T1012" s="26"/>
      <c r="U1012" s="24"/>
      <c r="V1012" s="10" t="e">
        <f>_xlfn.XLOOKUP(U1012,Таклифлар37[Таклифлар],Таклифлар37[TaklifID])</f>
        <v>#N/A</v>
      </c>
      <c r="W1012" s="24"/>
      <c r="X1012" s="23"/>
      <c r="Y1012" s="7"/>
      <c r="Z1012" s="26"/>
      <c r="AB1012" s="23"/>
      <c r="AD1012" s="2"/>
      <c r="AG1012" s="23"/>
      <c r="AI1012" s="26"/>
      <c r="AJ1012" s="23"/>
      <c r="AM1012" s="23"/>
      <c r="AO1012" s="32"/>
      <c r="AP1012" s="26"/>
      <c r="AR1012" s="26"/>
      <c r="AS1012" s="27"/>
      <c r="AT1012" s="27"/>
      <c r="AU1012" s="31"/>
      <c r="AV1012" s="24"/>
      <c r="AW1012"/>
      <c r="AX1012"/>
      <c r="AY1012"/>
      <c r="AZ1012"/>
      <c r="BA1012"/>
      <c r="BB1012"/>
      <c r="BC1012"/>
      <c r="BD1012"/>
      <c r="BE1012"/>
      <c r="BF1012"/>
      <c r="BG1012"/>
    </row>
    <row r="1013" spans="2:59" x14ac:dyDescent="0.25">
      <c r="B1013" s="22"/>
      <c r="C1013" s="23"/>
      <c r="E1013" s="23"/>
      <c r="F1013" s="24"/>
      <c r="G1013" s="2"/>
      <c r="H1013" s="10" t="e">
        <f>_xlfn.XLOOKUP(F1013,Viloyatlar24[RegionName],Viloyatlar24[RegionId])</f>
        <v>#N/A</v>
      </c>
      <c r="I1013" s="10" t="e">
        <f>_xlfn.XLOOKUP('Кўчмас мулк объектлари'!G1013,Tumanlar23[DistrictName],Tumanlar23[DistrictId])</f>
        <v>#N/A</v>
      </c>
      <c r="K1013" s="24"/>
      <c r="L1013" s="10" t="e">
        <f>_xlfn.XLOOKUP(K1013,Ташкилотлар39[Ташкилотлар],Ташкилотлар39[TashklilotID])</f>
        <v>#N/A</v>
      </c>
      <c r="M1013" s="26"/>
      <c r="N1013" s="26"/>
      <c r="O1013" s="24"/>
      <c r="P1013" s="2"/>
      <c r="Q1013" s="26"/>
      <c r="R1013" s="26"/>
      <c r="S1013" s="26"/>
      <c r="T1013" s="26"/>
      <c r="U1013" s="24"/>
      <c r="V1013" s="10" t="e">
        <f>_xlfn.XLOOKUP(U1013,Таклифлар37[Таклифлар],Таклифлар37[TaklifID])</f>
        <v>#N/A</v>
      </c>
      <c r="W1013" s="24"/>
      <c r="X1013" s="23"/>
      <c r="Y1013" s="7"/>
      <c r="Z1013" s="26"/>
      <c r="AB1013" s="23"/>
      <c r="AD1013" s="2"/>
      <c r="AG1013" s="23"/>
      <c r="AI1013" s="26"/>
      <c r="AJ1013" s="23"/>
      <c r="AM1013" s="23"/>
      <c r="AO1013" s="32"/>
      <c r="AP1013" s="26"/>
      <c r="AR1013" s="26"/>
      <c r="AS1013" s="27"/>
      <c r="AT1013" s="27"/>
      <c r="AU1013" s="31"/>
      <c r="AV1013" s="24"/>
      <c r="AW1013"/>
      <c r="AX1013"/>
      <c r="AY1013"/>
      <c r="AZ1013"/>
      <c r="BA1013"/>
      <c r="BB1013"/>
      <c r="BC1013"/>
      <c r="BD1013"/>
      <c r="BE1013"/>
      <c r="BF1013"/>
      <c r="BG1013"/>
    </row>
    <row r="1014" spans="2:59" x14ac:dyDescent="0.25">
      <c r="B1014" s="22"/>
      <c r="C1014" s="23"/>
      <c r="E1014" s="23"/>
      <c r="F1014" s="24"/>
      <c r="G1014" s="2"/>
      <c r="H1014" s="10" t="e">
        <f>_xlfn.XLOOKUP(F1014,Viloyatlar24[RegionName],Viloyatlar24[RegionId])</f>
        <v>#N/A</v>
      </c>
      <c r="I1014" s="10" t="e">
        <f>_xlfn.XLOOKUP('Кўчмас мулк объектлари'!G1014,Tumanlar23[DistrictName],Tumanlar23[DistrictId])</f>
        <v>#N/A</v>
      </c>
      <c r="K1014" s="24"/>
      <c r="L1014" s="10" t="e">
        <f>_xlfn.XLOOKUP(K1014,Ташкилотлар39[Ташкилотлар],Ташкилотлар39[TashklilotID])</f>
        <v>#N/A</v>
      </c>
      <c r="M1014" s="26"/>
      <c r="N1014" s="26"/>
      <c r="O1014" s="24"/>
      <c r="P1014" s="2"/>
      <c r="Q1014" s="26"/>
      <c r="R1014" s="26"/>
      <c r="S1014" s="26"/>
      <c r="T1014" s="26"/>
      <c r="U1014" s="24"/>
      <c r="V1014" s="10" t="e">
        <f>_xlfn.XLOOKUP(U1014,Таклифлар37[Таклифлар],Таклифлар37[TaklifID])</f>
        <v>#N/A</v>
      </c>
      <c r="W1014" s="24"/>
      <c r="X1014" s="23"/>
      <c r="Y1014" s="7"/>
      <c r="Z1014" s="26"/>
      <c r="AB1014" s="23"/>
      <c r="AD1014" s="2"/>
      <c r="AG1014" s="23"/>
      <c r="AI1014" s="26"/>
      <c r="AJ1014" s="23"/>
      <c r="AM1014" s="23"/>
      <c r="AO1014" s="32"/>
      <c r="AP1014" s="26"/>
      <c r="AR1014" s="26"/>
      <c r="AS1014" s="27"/>
      <c r="AT1014" s="27"/>
      <c r="AU1014" s="31"/>
      <c r="AV1014" s="24"/>
      <c r="AW1014"/>
      <c r="AX1014"/>
      <c r="AY1014"/>
      <c r="AZ1014"/>
      <c r="BA1014"/>
      <c r="BB1014"/>
      <c r="BC1014"/>
      <c r="BD1014"/>
      <c r="BE1014"/>
      <c r="BF1014"/>
      <c r="BG1014"/>
    </row>
    <row r="1015" spans="2:59" x14ac:dyDescent="0.25">
      <c r="B1015" s="22"/>
      <c r="C1015" s="23"/>
      <c r="E1015" s="23"/>
      <c r="F1015" s="24"/>
      <c r="G1015" s="2"/>
      <c r="H1015" s="10" t="e">
        <f>_xlfn.XLOOKUP(F1015,Viloyatlar24[RegionName],Viloyatlar24[RegionId])</f>
        <v>#N/A</v>
      </c>
      <c r="I1015" s="10" t="e">
        <f>_xlfn.XLOOKUP('Кўчмас мулк объектлари'!G1015,Tumanlar23[DistrictName],Tumanlar23[DistrictId])</f>
        <v>#N/A</v>
      </c>
      <c r="K1015" s="24"/>
      <c r="L1015" s="10" t="e">
        <f>_xlfn.XLOOKUP(K1015,Ташкилотлар39[Ташкилотлар],Ташкилотлар39[TashklilotID])</f>
        <v>#N/A</v>
      </c>
      <c r="M1015" s="26"/>
      <c r="N1015" s="26"/>
      <c r="O1015" s="24"/>
      <c r="P1015" s="2"/>
      <c r="Q1015" s="26"/>
      <c r="R1015" s="26"/>
      <c r="S1015" s="26"/>
      <c r="T1015" s="26"/>
      <c r="U1015" s="24"/>
      <c r="V1015" s="10" t="e">
        <f>_xlfn.XLOOKUP(U1015,Таклифлар37[Таклифлар],Таклифлар37[TaklifID])</f>
        <v>#N/A</v>
      </c>
      <c r="W1015" s="24"/>
      <c r="X1015" s="23"/>
      <c r="Y1015" s="7"/>
      <c r="Z1015" s="26"/>
      <c r="AB1015" s="23"/>
      <c r="AD1015" s="2"/>
      <c r="AG1015" s="23"/>
      <c r="AI1015" s="26"/>
      <c r="AJ1015" s="23"/>
      <c r="AM1015" s="23"/>
      <c r="AO1015" s="32"/>
      <c r="AP1015" s="26"/>
      <c r="AR1015" s="26"/>
      <c r="AS1015" s="27"/>
      <c r="AT1015" s="27"/>
      <c r="AU1015" s="31"/>
      <c r="AV1015" s="24"/>
      <c r="AW1015"/>
      <c r="AX1015"/>
      <c r="AY1015"/>
      <c r="AZ1015"/>
      <c r="BA1015"/>
      <c r="BB1015"/>
      <c r="BC1015"/>
      <c r="BD1015"/>
      <c r="BE1015"/>
      <c r="BF1015"/>
      <c r="BG1015"/>
    </row>
    <row r="1016" spans="2:59" x14ac:dyDescent="0.25">
      <c r="B1016" s="22"/>
      <c r="C1016" s="23"/>
      <c r="E1016" s="23"/>
      <c r="F1016" s="24"/>
      <c r="G1016" s="2"/>
      <c r="H1016" s="10" t="e">
        <f>_xlfn.XLOOKUP(F1016,Viloyatlar24[RegionName],Viloyatlar24[RegionId])</f>
        <v>#N/A</v>
      </c>
      <c r="I1016" s="10" t="e">
        <f>_xlfn.XLOOKUP('Кўчмас мулк объектлари'!G1016,Tumanlar23[DistrictName],Tumanlar23[DistrictId])</f>
        <v>#N/A</v>
      </c>
      <c r="K1016" s="24"/>
      <c r="L1016" s="10" t="e">
        <f>_xlfn.XLOOKUP(K1016,Ташкилотлар39[Ташкилотлар],Ташкилотлар39[TashklilotID])</f>
        <v>#N/A</v>
      </c>
      <c r="M1016" s="26"/>
      <c r="N1016" s="26"/>
      <c r="O1016" s="24"/>
      <c r="P1016" s="2"/>
      <c r="Q1016" s="26"/>
      <c r="R1016" s="26"/>
      <c r="S1016" s="26"/>
      <c r="T1016" s="26"/>
      <c r="U1016" s="24"/>
      <c r="V1016" s="10" t="e">
        <f>_xlfn.XLOOKUP(U1016,Таклифлар37[Таклифлар],Таклифлар37[TaklifID])</f>
        <v>#N/A</v>
      </c>
      <c r="W1016" s="24"/>
      <c r="X1016" s="23"/>
      <c r="Y1016" s="7"/>
      <c r="Z1016" s="26"/>
      <c r="AB1016" s="23"/>
      <c r="AD1016" s="2"/>
      <c r="AG1016" s="23"/>
      <c r="AI1016" s="26"/>
      <c r="AJ1016" s="23"/>
      <c r="AM1016" s="23"/>
      <c r="AO1016" s="32"/>
      <c r="AP1016" s="26"/>
      <c r="AR1016" s="26"/>
      <c r="AS1016" s="27"/>
      <c r="AT1016" s="27"/>
      <c r="AU1016" s="31"/>
      <c r="AV1016" s="24"/>
      <c r="AW1016"/>
      <c r="AX1016"/>
      <c r="AY1016"/>
      <c r="AZ1016"/>
      <c r="BA1016"/>
      <c r="BB1016"/>
      <c r="BC1016"/>
      <c r="BD1016"/>
      <c r="BE1016"/>
      <c r="BF1016"/>
      <c r="BG1016"/>
    </row>
    <row r="1017" spans="2:59" x14ac:dyDescent="0.25">
      <c r="B1017" s="22"/>
      <c r="C1017" s="23"/>
      <c r="E1017" s="23"/>
      <c r="F1017" s="24"/>
      <c r="G1017" s="2"/>
      <c r="H1017" s="10" t="e">
        <f>_xlfn.XLOOKUP(F1017,Viloyatlar24[RegionName],Viloyatlar24[RegionId])</f>
        <v>#N/A</v>
      </c>
      <c r="I1017" s="10" t="e">
        <f>_xlfn.XLOOKUP('Кўчмас мулк объектлари'!G1017,Tumanlar23[DistrictName],Tumanlar23[DistrictId])</f>
        <v>#N/A</v>
      </c>
      <c r="K1017" s="24"/>
      <c r="L1017" s="10" t="e">
        <f>_xlfn.XLOOKUP(K1017,Ташкилотлар39[Ташкилотлар],Ташкилотлар39[TashklilotID])</f>
        <v>#N/A</v>
      </c>
      <c r="M1017" s="26"/>
      <c r="N1017" s="26"/>
      <c r="O1017" s="24"/>
      <c r="P1017" s="2"/>
      <c r="Q1017" s="26"/>
      <c r="R1017" s="26"/>
      <c r="S1017" s="26"/>
      <c r="T1017" s="26"/>
      <c r="U1017" s="24"/>
      <c r="V1017" s="10" t="e">
        <f>_xlfn.XLOOKUP(U1017,Таклифлар37[Таклифлар],Таклифлар37[TaklifID])</f>
        <v>#N/A</v>
      </c>
      <c r="W1017" s="24"/>
      <c r="X1017" s="23"/>
      <c r="Y1017" s="7"/>
      <c r="Z1017" s="26"/>
      <c r="AB1017" s="23"/>
      <c r="AD1017" s="2"/>
      <c r="AG1017" s="23"/>
      <c r="AI1017" s="26"/>
      <c r="AJ1017" s="23"/>
      <c r="AM1017" s="23"/>
      <c r="AO1017" s="32"/>
      <c r="AP1017" s="26"/>
      <c r="AR1017" s="26"/>
      <c r="AS1017" s="27"/>
      <c r="AT1017" s="27"/>
      <c r="AU1017" s="31"/>
      <c r="AV1017" s="24"/>
      <c r="AW1017"/>
      <c r="AX1017"/>
      <c r="AY1017"/>
      <c r="AZ1017"/>
      <c r="BA1017"/>
      <c r="BB1017"/>
      <c r="BC1017"/>
      <c r="BD1017"/>
      <c r="BE1017"/>
      <c r="BF1017"/>
      <c r="BG1017"/>
    </row>
    <row r="1018" spans="2:59" x14ac:dyDescent="0.25">
      <c r="B1018" s="22"/>
      <c r="C1018" s="23"/>
      <c r="E1018" s="23"/>
      <c r="F1018" s="24"/>
      <c r="G1018" s="2"/>
      <c r="H1018" s="10" t="e">
        <f>_xlfn.XLOOKUP(F1018,Viloyatlar24[RegionName],Viloyatlar24[RegionId])</f>
        <v>#N/A</v>
      </c>
      <c r="I1018" s="10" t="e">
        <f>_xlfn.XLOOKUP('Кўчмас мулк объектлари'!G1018,Tumanlar23[DistrictName],Tumanlar23[DistrictId])</f>
        <v>#N/A</v>
      </c>
      <c r="K1018" s="24"/>
      <c r="L1018" s="10" t="e">
        <f>_xlfn.XLOOKUP(K1018,Ташкилотлар39[Ташкилотлар],Ташкилотлар39[TashklilotID])</f>
        <v>#N/A</v>
      </c>
      <c r="M1018" s="26"/>
      <c r="N1018" s="26"/>
      <c r="O1018" s="24"/>
      <c r="P1018" s="2"/>
      <c r="Q1018" s="26"/>
      <c r="R1018" s="26"/>
      <c r="S1018" s="26"/>
      <c r="T1018" s="26"/>
      <c r="U1018" s="24"/>
      <c r="V1018" s="10" t="e">
        <f>_xlfn.XLOOKUP(U1018,Таклифлар37[Таклифлар],Таклифлар37[TaklifID])</f>
        <v>#N/A</v>
      </c>
      <c r="W1018" s="24"/>
      <c r="X1018" s="23"/>
      <c r="Y1018" s="7"/>
      <c r="Z1018" s="26"/>
      <c r="AB1018" s="23"/>
      <c r="AD1018" s="2"/>
      <c r="AG1018" s="23"/>
      <c r="AI1018" s="26"/>
      <c r="AJ1018" s="23"/>
      <c r="AM1018" s="23"/>
      <c r="AO1018" s="32"/>
      <c r="AP1018" s="26"/>
      <c r="AR1018" s="26"/>
      <c r="AS1018" s="27"/>
      <c r="AT1018" s="27"/>
      <c r="AU1018" s="31"/>
      <c r="AV1018" s="24"/>
      <c r="AW1018"/>
      <c r="AX1018"/>
      <c r="AY1018"/>
      <c r="AZ1018"/>
      <c r="BA1018"/>
      <c r="BB1018"/>
      <c r="BC1018"/>
      <c r="BD1018"/>
      <c r="BE1018"/>
      <c r="BF1018"/>
      <c r="BG1018"/>
    </row>
    <row r="1019" spans="2:59" x14ac:dyDescent="0.25">
      <c r="B1019" s="22"/>
      <c r="C1019" s="23"/>
      <c r="E1019" s="23"/>
      <c r="F1019" s="24"/>
      <c r="G1019" s="2"/>
      <c r="H1019" s="10" t="e">
        <f>_xlfn.XLOOKUP(F1019,Viloyatlar24[RegionName],Viloyatlar24[RegionId])</f>
        <v>#N/A</v>
      </c>
      <c r="I1019" s="10" t="e">
        <f>_xlfn.XLOOKUP('Кўчмас мулк объектлари'!G1019,Tumanlar23[DistrictName],Tumanlar23[DistrictId])</f>
        <v>#N/A</v>
      </c>
      <c r="K1019" s="24"/>
      <c r="L1019" s="10" t="e">
        <f>_xlfn.XLOOKUP(K1019,Ташкилотлар39[Ташкилотлар],Ташкилотлар39[TashklilotID])</f>
        <v>#N/A</v>
      </c>
      <c r="M1019" s="26"/>
      <c r="N1019" s="26"/>
      <c r="O1019" s="24"/>
      <c r="P1019" s="2"/>
      <c r="Q1019" s="26"/>
      <c r="R1019" s="26"/>
      <c r="S1019" s="26"/>
      <c r="T1019" s="26"/>
      <c r="U1019" s="24"/>
      <c r="V1019" s="10" t="e">
        <f>_xlfn.XLOOKUP(U1019,Таклифлар37[Таклифлар],Таклифлар37[TaklifID])</f>
        <v>#N/A</v>
      </c>
      <c r="W1019" s="24"/>
      <c r="X1019" s="23"/>
      <c r="Y1019" s="7"/>
      <c r="Z1019" s="26"/>
      <c r="AB1019" s="23"/>
      <c r="AD1019" s="2"/>
      <c r="AG1019" s="23"/>
      <c r="AI1019" s="26"/>
      <c r="AJ1019" s="23"/>
      <c r="AM1019" s="23"/>
      <c r="AO1019" s="32"/>
      <c r="AP1019" s="26"/>
      <c r="AR1019" s="26"/>
      <c r="AS1019" s="27"/>
      <c r="AT1019" s="27"/>
      <c r="AU1019" s="31"/>
      <c r="AV1019" s="24"/>
      <c r="AW1019"/>
      <c r="AX1019"/>
      <c r="AY1019"/>
      <c r="AZ1019"/>
      <c r="BA1019"/>
      <c r="BB1019"/>
      <c r="BC1019"/>
      <c r="BD1019"/>
      <c r="BE1019"/>
      <c r="BF1019"/>
      <c r="BG1019"/>
    </row>
    <row r="1020" spans="2:59" x14ac:dyDescent="0.25">
      <c r="B1020" s="22"/>
      <c r="C1020" s="23"/>
      <c r="E1020" s="23"/>
      <c r="F1020" s="24"/>
      <c r="G1020" s="2"/>
      <c r="H1020" s="10" t="e">
        <f>_xlfn.XLOOKUP(F1020,Viloyatlar24[RegionName],Viloyatlar24[RegionId])</f>
        <v>#N/A</v>
      </c>
      <c r="I1020" s="10" t="e">
        <f>_xlfn.XLOOKUP('Кўчмас мулк объектлари'!G1020,Tumanlar23[DistrictName],Tumanlar23[DistrictId])</f>
        <v>#N/A</v>
      </c>
      <c r="K1020" s="24"/>
      <c r="L1020" s="10" t="e">
        <f>_xlfn.XLOOKUP(K1020,Ташкилотлар39[Ташкилотлар],Ташкилотлар39[TashklilotID])</f>
        <v>#N/A</v>
      </c>
      <c r="M1020" s="26"/>
      <c r="N1020" s="26"/>
      <c r="O1020" s="24"/>
      <c r="P1020" s="2"/>
      <c r="Q1020" s="26"/>
      <c r="R1020" s="26"/>
      <c r="S1020" s="26"/>
      <c r="T1020" s="26"/>
      <c r="U1020" s="24"/>
      <c r="V1020" s="10" t="e">
        <f>_xlfn.XLOOKUP(U1020,Таклифлар37[Таклифлар],Таклифлар37[TaklifID])</f>
        <v>#N/A</v>
      </c>
      <c r="W1020" s="24"/>
      <c r="X1020" s="23"/>
      <c r="Y1020" s="7"/>
      <c r="Z1020" s="26"/>
      <c r="AB1020" s="23"/>
      <c r="AD1020" s="2"/>
      <c r="AG1020" s="23"/>
      <c r="AI1020" s="26"/>
      <c r="AJ1020" s="23"/>
      <c r="AM1020" s="23"/>
      <c r="AO1020" s="32"/>
      <c r="AP1020" s="26"/>
      <c r="AR1020" s="26"/>
      <c r="AS1020" s="27"/>
      <c r="AT1020" s="27"/>
      <c r="AU1020" s="31"/>
      <c r="AV1020" s="24"/>
      <c r="AW1020"/>
      <c r="AX1020"/>
      <c r="AY1020"/>
      <c r="AZ1020"/>
      <c r="BA1020"/>
      <c r="BB1020"/>
      <c r="BC1020"/>
      <c r="BD1020"/>
      <c r="BE1020"/>
      <c r="BF1020"/>
      <c r="BG1020"/>
    </row>
    <row r="1021" spans="2:59" x14ac:dyDescent="0.25">
      <c r="B1021" s="22"/>
      <c r="C1021" s="23"/>
      <c r="E1021" s="23"/>
      <c r="F1021" s="24"/>
      <c r="G1021" s="2"/>
      <c r="H1021" s="10" t="e">
        <f>_xlfn.XLOOKUP(F1021,Viloyatlar24[RegionName],Viloyatlar24[RegionId])</f>
        <v>#N/A</v>
      </c>
      <c r="I1021" s="10" t="e">
        <f>_xlfn.XLOOKUP('Кўчмас мулк объектлари'!G1021,Tumanlar23[DistrictName],Tumanlar23[DistrictId])</f>
        <v>#N/A</v>
      </c>
      <c r="K1021" s="24"/>
      <c r="L1021" s="10" t="e">
        <f>_xlfn.XLOOKUP(K1021,Ташкилотлар39[Ташкилотлар],Ташкилотлар39[TashklilotID])</f>
        <v>#N/A</v>
      </c>
      <c r="M1021" s="26"/>
      <c r="N1021" s="26"/>
      <c r="O1021" s="24"/>
      <c r="P1021" s="2"/>
      <c r="Q1021" s="26"/>
      <c r="R1021" s="26"/>
      <c r="S1021" s="26"/>
      <c r="T1021" s="26"/>
      <c r="U1021" s="24"/>
      <c r="V1021" s="10" t="e">
        <f>_xlfn.XLOOKUP(U1021,Таклифлар37[Таклифлар],Таклифлар37[TaklifID])</f>
        <v>#N/A</v>
      </c>
      <c r="W1021" s="24"/>
      <c r="X1021" s="23"/>
      <c r="Y1021" s="7"/>
      <c r="Z1021" s="26"/>
      <c r="AB1021" s="23"/>
      <c r="AD1021" s="2"/>
      <c r="AG1021" s="23"/>
      <c r="AI1021" s="26"/>
      <c r="AJ1021" s="23"/>
      <c r="AM1021" s="23"/>
      <c r="AO1021" s="32"/>
      <c r="AP1021" s="26"/>
      <c r="AR1021" s="26"/>
      <c r="AS1021" s="27"/>
      <c r="AT1021" s="27"/>
      <c r="AU1021" s="31"/>
      <c r="AV1021" s="24"/>
      <c r="AW1021"/>
      <c r="AX1021"/>
      <c r="AY1021"/>
      <c r="AZ1021"/>
      <c r="BA1021"/>
      <c r="BB1021"/>
      <c r="BC1021"/>
      <c r="BD1021"/>
      <c r="BE1021"/>
      <c r="BF1021"/>
      <c r="BG1021"/>
    </row>
    <row r="1022" spans="2:59" x14ac:dyDescent="0.25">
      <c r="B1022" s="22"/>
      <c r="C1022" s="23"/>
      <c r="E1022" s="23"/>
      <c r="F1022" s="24"/>
      <c r="G1022" s="2"/>
      <c r="H1022" s="10" t="e">
        <f>_xlfn.XLOOKUP(F1022,Viloyatlar24[RegionName],Viloyatlar24[RegionId])</f>
        <v>#N/A</v>
      </c>
      <c r="I1022" s="10" t="e">
        <f>_xlfn.XLOOKUP('Кўчмас мулк объектлари'!G1022,Tumanlar23[DistrictName],Tumanlar23[DistrictId])</f>
        <v>#N/A</v>
      </c>
      <c r="K1022" s="24"/>
      <c r="L1022" s="10" t="e">
        <f>_xlfn.XLOOKUP(K1022,Ташкилотлар39[Ташкилотлар],Ташкилотлар39[TashklilotID])</f>
        <v>#N/A</v>
      </c>
      <c r="M1022" s="26"/>
      <c r="N1022" s="26"/>
      <c r="O1022" s="24"/>
      <c r="P1022" s="2"/>
      <c r="Q1022" s="26"/>
      <c r="R1022" s="26"/>
      <c r="S1022" s="26"/>
      <c r="T1022" s="26"/>
      <c r="U1022" s="24"/>
      <c r="V1022" s="10" t="e">
        <f>_xlfn.XLOOKUP(U1022,Таклифлар37[Таклифлар],Таклифлар37[TaklifID])</f>
        <v>#N/A</v>
      </c>
      <c r="W1022" s="24"/>
      <c r="X1022" s="23"/>
      <c r="Y1022" s="7"/>
      <c r="Z1022" s="26"/>
      <c r="AB1022" s="23"/>
      <c r="AD1022" s="2"/>
      <c r="AG1022" s="23"/>
      <c r="AI1022" s="26"/>
      <c r="AJ1022" s="23"/>
      <c r="AM1022" s="23"/>
      <c r="AO1022" s="32"/>
      <c r="AP1022" s="26"/>
      <c r="AR1022" s="26"/>
      <c r="AS1022" s="27"/>
      <c r="AT1022" s="27"/>
      <c r="AU1022" s="31"/>
      <c r="AV1022" s="24"/>
      <c r="AW1022"/>
      <c r="AX1022"/>
      <c r="AY1022"/>
      <c r="AZ1022"/>
      <c r="BA1022"/>
      <c r="BB1022"/>
      <c r="BC1022"/>
      <c r="BD1022"/>
      <c r="BE1022"/>
      <c r="BF1022"/>
      <c r="BG1022"/>
    </row>
    <row r="1023" spans="2:59" x14ac:dyDescent="0.25">
      <c r="B1023" s="22"/>
      <c r="C1023" s="23"/>
      <c r="E1023" s="23"/>
      <c r="F1023" s="24"/>
      <c r="G1023" s="2"/>
      <c r="H1023" s="10" t="e">
        <f>_xlfn.XLOOKUP(F1023,Viloyatlar24[RegionName],Viloyatlar24[RegionId])</f>
        <v>#N/A</v>
      </c>
      <c r="I1023" s="10" t="e">
        <f>_xlfn.XLOOKUP('Кўчмас мулк объектлари'!G1023,Tumanlar23[DistrictName],Tumanlar23[DistrictId])</f>
        <v>#N/A</v>
      </c>
      <c r="K1023" s="24"/>
      <c r="L1023" s="10" t="e">
        <f>_xlfn.XLOOKUP(K1023,Ташкилотлар39[Ташкилотлар],Ташкилотлар39[TashklilotID])</f>
        <v>#N/A</v>
      </c>
      <c r="M1023" s="26"/>
      <c r="N1023" s="26"/>
      <c r="O1023" s="24"/>
      <c r="P1023" s="2"/>
      <c r="Q1023" s="26"/>
      <c r="R1023" s="26"/>
      <c r="S1023" s="26"/>
      <c r="T1023" s="26"/>
      <c r="U1023" s="24"/>
      <c r="V1023" s="10" t="e">
        <f>_xlfn.XLOOKUP(U1023,Таклифлар37[Таклифлар],Таклифлар37[TaklifID])</f>
        <v>#N/A</v>
      </c>
      <c r="W1023" s="24"/>
      <c r="X1023" s="23"/>
      <c r="Y1023" s="7"/>
      <c r="Z1023" s="26"/>
      <c r="AB1023" s="23"/>
      <c r="AD1023" s="2"/>
      <c r="AG1023" s="23"/>
      <c r="AI1023" s="26"/>
      <c r="AJ1023" s="23"/>
      <c r="AM1023" s="23"/>
      <c r="AO1023" s="32"/>
      <c r="AP1023" s="26"/>
      <c r="AR1023" s="26"/>
      <c r="AS1023" s="27"/>
      <c r="AT1023" s="27"/>
      <c r="AU1023" s="31"/>
      <c r="AV1023" s="24"/>
      <c r="AW1023"/>
      <c r="AX1023"/>
      <c r="AY1023"/>
      <c r="AZ1023"/>
      <c r="BA1023"/>
      <c r="BB1023"/>
      <c r="BC1023"/>
      <c r="BD1023"/>
      <c r="BE1023"/>
      <c r="BF1023"/>
      <c r="BG1023"/>
    </row>
    <row r="1024" spans="2:59" x14ac:dyDescent="0.25">
      <c r="B1024" s="22"/>
      <c r="C1024" s="23"/>
      <c r="E1024" s="23"/>
      <c r="F1024" s="24"/>
      <c r="G1024" s="2"/>
      <c r="H1024" s="10" t="e">
        <f>_xlfn.XLOOKUP(F1024,Viloyatlar24[RegionName],Viloyatlar24[RegionId])</f>
        <v>#N/A</v>
      </c>
      <c r="I1024" s="10" t="e">
        <f>_xlfn.XLOOKUP('Кўчмас мулк объектлари'!G1024,Tumanlar23[DistrictName],Tumanlar23[DistrictId])</f>
        <v>#N/A</v>
      </c>
      <c r="K1024" s="24"/>
      <c r="L1024" s="10" t="e">
        <f>_xlfn.XLOOKUP(K1024,Ташкилотлар39[Ташкилотлар],Ташкилотлар39[TashklilotID])</f>
        <v>#N/A</v>
      </c>
      <c r="M1024" s="26"/>
      <c r="N1024" s="26"/>
      <c r="O1024" s="24"/>
      <c r="P1024" s="2"/>
      <c r="Q1024" s="26"/>
      <c r="R1024" s="26"/>
      <c r="S1024" s="26"/>
      <c r="T1024" s="26"/>
      <c r="U1024" s="24"/>
      <c r="V1024" s="10" t="e">
        <f>_xlfn.XLOOKUP(U1024,Таклифлар37[Таклифлар],Таклифлар37[TaklifID])</f>
        <v>#N/A</v>
      </c>
      <c r="W1024" s="24"/>
      <c r="X1024" s="23"/>
      <c r="Y1024" s="7"/>
      <c r="Z1024" s="26"/>
      <c r="AB1024" s="23"/>
      <c r="AD1024" s="2"/>
      <c r="AG1024" s="23"/>
      <c r="AI1024" s="26"/>
      <c r="AJ1024" s="23"/>
      <c r="AM1024" s="23"/>
      <c r="AO1024" s="32"/>
      <c r="AP1024" s="26"/>
      <c r="AR1024" s="26"/>
      <c r="AS1024" s="27"/>
      <c r="AT1024" s="27"/>
      <c r="AU1024" s="31"/>
      <c r="AV1024" s="24"/>
      <c r="AW1024"/>
      <c r="AX1024"/>
      <c r="AY1024"/>
      <c r="AZ1024"/>
      <c r="BA1024"/>
      <c r="BB1024"/>
      <c r="BC1024"/>
      <c r="BD1024"/>
      <c r="BE1024"/>
      <c r="BF1024"/>
      <c r="BG1024"/>
    </row>
    <row r="1025" spans="2:59" x14ac:dyDescent="0.25">
      <c r="B1025" s="22"/>
      <c r="C1025" s="23"/>
      <c r="E1025" s="23"/>
      <c r="F1025" s="24"/>
      <c r="G1025" s="2"/>
      <c r="H1025" s="10" t="e">
        <f>_xlfn.XLOOKUP(F1025,Viloyatlar24[RegionName],Viloyatlar24[RegionId])</f>
        <v>#N/A</v>
      </c>
      <c r="I1025" s="10" t="e">
        <f>_xlfn.XLOOKUP('Кўчмас мулк объектлари'!G1025,Tumanlar23[DistrictName],Tumanlar23[DistrictId])</f>
        <v>#N/A</v>
      </c>
      <c r="K1025" s="24"/>
      <c r="L1025" s="10" t="e">
        <f>_xlfn.XLOOKUP(K1025,Ташкилотлар39[Ташкилотлар],Ташкилотлар39[TashklilotID])</f>
        <v>#N/A</v>
      </c>
      <c r="M1025" s="26"/>
      <c r="N1025" s="26"/>
      <c r="O1025" s="24"/>
      <c r="P1025" s="2"/>
      <c r="Q1025" s="26"/>
      <c r="R1025" s="26"/>
      <c r="S1025" s="26"/>
      <c r="T1025" s="26"/>
      <c r="U1025" s="24"/>
      <c r="V1025" s="10" t="e">
        <f>_xlfn.XLOOKUP(U1025,Таклифлар37[Таклифлар],Таклифлар37[TaklifID])</f>
        <v>#N/A</v>
      </c>
      <c r="W1025" s="24"/>
      <c r="X1025" s="23"/>
      <c r="Y1025" s="7"/>
      <c r="Z1025" s="26"/>
      <c r="AB1025" s="23"/>
      <c r="AD1025" s="2"/>
      <c r="AG1025" s="23"/>
      <c r="AI1025" s="26"/>
      <c r="AJ1025" s="23"/>
      <c r="AM1025" s="23"/>
      <c r="AO1025" s="32"/>
      <c r="AP1025" s="26"/>
      <c r="AR1025" s="26"/>
      <c r="AS1025" s="27"/>
      <c r="AT1025" s="27"/>
      <c r="AU1025" s="31"/>
      <c r="AV1025" s="24"/>
      <c r="AW1025"/>
      <c r="AX1025"/>
      <c r="AY1025"/>
      <c r="AZ1025"/>
      <c r="BA1025"/>
      <c r="BB1025"/>
      <c r="BC1025"/>
      <c r="BD1025"/>
      <c r="BE1025"/>
      <c r="BF1025"/>
      <c r="BG1025"/>
    </row>
    <row r="1026" spans="2:59" x14ac:dyDescent="0.25">
      <c r="B1026" s="22"/>
      <c r="C1026" s="23"/>
      <c r="E1026" s="23"/>
      <c r="F1026" s="24"/>
      <c r="G1026" s="2"/>
      <c r="H1026" s="10" t="e">
        <f>_xlfn.XLOOKUP(F1026,Viloyatlar24[RegionName],Viloyatlar24[RegionId])</f>
        <v>#N/A</v>
      </c>
      <c r="I1026" s="10" t="e">
        <f>_xlfn.XLOOKUP('Кўчмас мулк объектлари'!G1026,Tumanlar23[DistrictName],Tumanlar23[DistrictId])</f>
        <v>#N/A</v>
      </c>
      <c r="K1026" s="24"/>
      <c r="L1026" s="10" t="e">
        <f>_xlfn.XLOOKUP(K1026,Ташкилотлар39[Ташкилотлар],Ташкилотлар39[TashklilotID])</f>
        <v>#N/A</v>
      </c>
      <c r="M1026" s="26"/>
      <c r="N1026" s="26"/>
      <c r="O1026" s="24"/>
      <c r="P1026" s="2"/>
      <c r="Q1026" s="26"/>
      <c r="R1026" s="26"/>
      <c r="S1026" s="26"/>
      <c r="T1026" s="26"/>
      <c r="U1026" s="24"/>
      <c r="V1026" s="10" t="e">
        <f>_xlfn.XLOOKUP(U1026,Таклифлар37[Таклифлар],Таклифлар37[TaklifID])</f>
        <v>#N/A</v>
      </c>
      <c r="W1026" s="24"/>
      <c r="X1026" s="23"/>
      <c r="Y1026" s="7"/>
      <c r="Z1026" s="26"/>
      <c r="AB1026" s="23"/>
      <c r="AD1026" s="2"/>
      <c r="AG1026" s="23"/>
      <c r="AI1026" s="26"/>
      <c r="AJ1026" s="23"/>
      <c r="AM1026" s="23"/>
      <c r="AO1026" s="32"/>
      <c r="AP1026" s="26"/>
      <c r="AR1026" s="26"/>
      <c r="AS1026" s="27"/>
      <c r="AT1026" s="27"/>
      <c r="AU1026" s="31"/>
      <c r="AV1026" s="24"/>
      <c r="AW1026"/>
      <c r="AX1026"/>
      <c r="AY1026"/>
      <c r="AZ1026"/>
      <c r="BA1026"/>
      <c r="BB1026"/>
      <c r="BC1026"/>
      <c r="BD1026"/>
      <c r="BE1026"/>
      <c r="BF1026"/>
      <c r="BG1026"/>
    </row>
    <row r="1027" spans="2:59" x14ac:dyDescent="0.25">
      <c r="B1027" s="22"/>
      <c r="C1027" s="23"/>
      <c r="E1027" s="23"/>
      <c r="F1027" s="24"/>
      <c r="G1027" s="2"/>
      <c r="H1027" s="10" t="e">
        <f>_xlfn.XLOOKUP(F1027,Viloyatlar24[RegionName],Viloyatlar24[RegionId])</f>
        <v>#N/A</v>
      </c>
      <c r="I1027" s="10" t="e">
        <f>_xlfn.XLOOKUP('Кўчмас мулк объектлари'!G1027,Tumanlar23[DistrictName],Tumanlar23[DistrictId])</f>
        <v>#N/A</v>
      </c>
      <c r="K1027" s="24"/>
      <c r="L1027" s="10" t="e">
        <f>_xlfn.XLOOKUP(K1027,Ташкилотлар39[Ташкилотлар],Ташкилотлар39[TashklilotID])</f>
        <v>#N/A</v>
      </c>
      <c r="M1027" s="26"/>
      <c r="N1027" s="26"/>
      <c r="O1027" s="24"/>
      <c r="P1027" s="2"/>
      <c r="Q1027" s="26"/>
      <c r="R1027" s="26"/>
      <c r="S1027" s="26"/>
      <c r="T1027" s="26"/>
      <c r="U1027" s="24"/>
      <c r="V1027" s="10" t="e">
        <f>_xlfn.XLOOKUP(U1027,Таклифлар37[Таклифлар],Таклифлар37[TaklifID])</f>
        <v>#N/A</v>
      </c>
      <c r="W1027" s="24"/>
      <c r="X1027" s="23"/>
      <c r="Y1027" s="7"/>
      <c r="Z1027" s="26"/>
      <c r="AB1027" s="23"/>
      <c r="AD1027" s="2"/>
      <c r="AG1027" s="23"/>
      <c r="AI1027" s="26"/>
      <c r="AJ1027" s="23"/>
      <c r="AM1027" s="23"/>
      <c r="AO1027" s="32"/>
      <c r="AP1027" s="26"/>
      <c r="AR1027" s="26"/>
      <c r="AS1027" s="27"/>
      <c r="AT1027" s="27"/>
      <c r="AU1027" s="31"/>
      <c r="AV1027" s="24"/>
      <c r="AW1027"/>
      <c r="AX1027"/>
      <c r="AY1027"/>
      <c r="AZ1027"/>
      <c r="BA1027"/>
      <c r="BB1027"/>
      <c r="BC1027"/>
      <c r="BD1027"/>
      <c r="BE1027"/>
      <c r="BF1027"/>
      <c r="BG1027"/>
    </row>
    <row r="1028" spans="2:59" x14ac:dyDescent="0.25">
      <c r="B1028" s="22"/>
      <c r="C1028" s="23"/>
      <c r="E1028" s="23"/>
      <c r="F1028" s="24"/>
      <c r="G1028" s="2"/>
      <c r="H1028" s="10" t="e">
        <f>_xlfn.XLOOKUP(F1028,Viloyatlar24[RegionName],Viloyatlar24[RegionId])</f>
        <v>#N/A</v>
      </c>
      <c r="I1028" s="10" t="e">
        <f>_xlfn.XLOOKUP('Кўчмас мулк объектлари'!G1028,Tumanlar23[DistrictName],Tumanlar23[DistrictId])</f>
        <v>#N/A</v>
      </c>
      <c r="K1028" s="24"/>
      <c r="L1028" s="10" t="e">
        <f>_xlfn.XLOOKUP(K1028,Ташкилотлар39[Ташкилотлар],Ташкилотлар39[TashklilotID])</f>
        <v>#N/A</v>
      </c>
      <c r="M1028" s="26"/>
      <c r="N1028" s="26"/>
      <c r="O1028" s="24"/>
      <c r="P1028" s="2"/>
      <c r="Q1028" s="26"/>
      <c r="R1028" s="26"/>
      <c r="S1028" s="26"/>
      <c r="T1028" s="26"/>
      <c r="U1028" s="24"/>
      <c r="V1028" s="10" t="e">
        <f>_xlfn.XLOOKUP(U1028,Таклифлар37[Таклифлар],Таклифлар37[TaklifID])</f>
        <v>#N/A</v>
      </c>
      <c r="W1028" s="24"/>
      <c r="X1028" s="23"/>
      <c r="Y1028" s="7"/>
      <c r="Z1028" s="26"/>
      <c r="AB1028" s="23"/>
      <c r="AD1028" s="2"/>
      <c r="AG1028" s="23"/>
      <c r="AI1028" s="26"/>
      <c r="AJ1028" s="23"/>
      <c r="AM1028" s="23"/>
      <c r="AO1028" s="32"/>
      <c r="AP1028" s="26"/>
      <c r="AR1028" s="26"/>
      <c r="AS1028" s="27"/>
      <c r="AT1028" s="27"/>
      <c r="AU1028" s="31"/>
      <c r="AV1028" s="24"/>
      <c r="AW1028"/>
      <c r="AX1028"/>
      <c r="AY1028"/>
      <c r="AZ1028"/>
      <c r="BA1028"/>
      <c r="BB1028"/>
      <c r="BC1028"/>
      <c r="BD1028"/>
      <c r="BE1028"/>
      <c r="BF1028"/>
      <c r="BG1028"/>
    </row>
    <row r="1029" spans="2:59" x14ac:dyDescent="0.25">
      <c r="B1029" s="22"/>
      <c r="C1029" s="23"/>
      <c r="E1029" s="23"/>
      <c r="F1029" s="24"/>
      <c r="G1029" s="2"/>
      <c r="H1029" s="10" t="e">
        <f>_xlfn.XLOOKUP(F1029,Viloyatlar24[RegionName],Viloyatlar24[RegionId])</f>
        <v>#N/A</v>
      </c>
      <c r="I1029" s="10" t="e">
        <f>_xlfn.XLOOKUP('Кўчмас мулк объектлари'!G1029,Tumanlar23[DistrictName],Tumanlar23[DistrictId])</f>
        <v>#N/A</v>
      </c>
      <c r="K1029" s="24"/>
      <c r="L1029" s="10" t="e">
        <f>_xlfn.XLOOKUP(K1029,Ташкилотлар39[Ташкилотлар],Ташкилотлар39[TashklilotID])</f>
        <v>#N/A</v>
      </c>
      <c r="M1029" s="26"/>
      <c r="N1029" s="26"/>
      <c r="O1029" s="24"/>
      <c r="P1029" s="2"/>
      <c r="Q1029" s="26"/>
      <c r="R1029" s="26"/>
      <c r="S1029" s="26"/>
      <c r="T1029" s="26"/>
      <c r="U1029" s="24"/>
      <c r="V1029" s="10" t="e">
        <f>_xlfn.XLOOKUP(U1029,Таклифлар37[Таклифлар],Таклифлар37[TaklifID])</f>
        <v>#N/A</v>
      </c>
      <c r="W1029" s="24"/>
      <c r="X1029" s="23"/>
      <c r="Y1029" s="7"/>
      <c r="Z1029" s="26"/>
      <c r="AB1029" s="23"/>
      <c r="AD1029" s="2"/>
      <c r="AG1029" s="23"/>
      <c r="AI1029" s="26"/>
      <c r="AJ1029" s="23"/>
      <c r="AM1029" s="23"/>
      <c r="AO1029" s="32"/>
      <c r="AP1029" s="26"/>
      <c r="AR1029" s="26"/>
      <c r="AS1029" s="27"/>
      <c r="AT1029" s="27"/>
      <c r="AU1029" s="31"/>
      <c r="AV1029" s="24"/>
      <c r="AW1029"/>
      <c r="AX1029"/>
      <c r="AY1029"/>
      <c r="AZ1029"/>
      <c r="BA1029"/>
      <c r="BB1029"/>
      <c r="BC1029"/>
      <c r="BD1029"/>
      <c r="BE1029"/>
      <c r="BF1029"/>
      <c r="BG1029"/>
    </row>
    <row r="1030" spans="2:59" x14ac:dyDescent="0.25">
      <c r="B1030" s="22"/>
      <c r="C1030" s="23"/>
      <c r="E1030" s="23"/>
      <c r="F1030" s="24"/>
      <c r="G1030" s="2"/>
      <c r="H1030" s="10" t="e">
        <f>_xlfn.XLOOKUP(F1030,Viloyatlar24[RegionName],Viloyatlar24[RegionId])</f>
        <v>#N/A</v>
      </c>
      <c r="I1030" s="10" t="e">
        <f>_xlfn.XLOOKUP('Кўчмас мулк объектлари'!G1030,Tumanlar23[DistrictName],Tumanlar23[DistrictId])</f>
        <v>#N/A</v>
      </c>
      <c r="K1030" s="24"/>
      <c r="L1030" s="10" t="e">
        <f>_xlfn.XLOOKUP(K1030,Ташкилотлар39[Ташкилотлар],Ташкилотлар39[TashklilotID])</f>
        <v>#N/A</v>
      </c>
      <c r="M1030" s="26"/>
      <c r="N1030" s="26"/>
      <c r="O1030" s="24"/>
      <c r="P1030" s="2"/>
      <c r="Q1030" s="26"/>
      <c r="R1030" s="26"/>
      <c r="S1030" s="26"/>
      <c r="T1030" s="26"/>
      <c r="U1030" s="24"/>
      <c r="V1030" s="10" t="e">
        <f>_xlfn.XLOOKUP(U1030,Таклифлар37[Таклифлар],Таклифлар37[TaklifID])</f>
        <v>#N/A</v>
      </c>
      <c r="W1030" s="24"/>
      <c r="X1030" s="23"/>
      <c r="Y1030" s="7"/>
      <c r="Z1030" s="26"/>
      <c r="AB1030" s="23"/>
      <c r="AD1030" s="2"/>
      <c r="AG1030" s="23"/>
      <c r="AI1030" s="26"/>
      <c r="AJ1030" s="23"/>
      <c r="AM1030" s="23"/>
      <c r="AO1030" s="32"/>
      <c r="AP1030" s="26"/>
      <c r="AR1030" s="26"/>
      <c r="AS1030" s="27"/>
      <c r="AT1030" s="27"/>
      <c r="AU1030" s="31"/>
      <c r="AV1030" s="24"/>
      <c r="AW1030"/>
      <c r="AX1030"/>
      <c r="AY1030"/>
      <c r="AZ1030"/>
      <c r="BA1030"/>
      <c r="BB1030"/>
      <c r="BC1030"/>
      <c r="BD1030"/>
      <c r="BE1030"/>
      <c r="BF1030"/>
      <c r="BG1030"/>
    </row>
    <row r="1031" spans="2:59" x14ac:dyDescent="0.25">
      <c r="B1031" s="22"/>
      <c r="C1031" s="23"/>
      <c r="E1031" s="23"/>
      <c r="F1031" s="24"/>
      <c r="G1031" s="2"/>
      <c r="H1031" s="10" t="e">
        <f>_xlfn.XLOOKUP(F1031,Viloyatlar24[RegionName],Viloyatlar24[RegionId])</f>
        <v>#N/A</v>
      </c>
      <c r="I1031" s="10" t="e">
        <f>_xlfn.XLOOKUP('Кўчмас мулк объектлари'!G1031,Tumanlar23[DistrictName],Tumanlar23[DistrictId])</f>
        <v>#N/A</v>
      </c>
      <c r="K1031" s="24"/>
      <c r="L1031" s="10" t="e">
        <f>_xlfn.XLOOKUP(K1031,Ташкилотлар39[Ташкилотлар],Ташкилотлар39[TashklilotID])</f>
        <v>#N/A</v>
      </c>
      <c r="M1031" s="26"/>
      <c r="N1031" s="26"/>
      <c r="O1031" s="24"/>
      <c r="P1031" s="2"/>
      <c r="Q1031" s="26"/>
      <c r="R1031" s="26"/>
      <c r="S1031" s="26"/>
      <c r="T1031" s="26"/>
      <c r="U1031" s="24"/>
      <c r="V1031" s="10" t="e">
        <f>_xlfn.XLOOKUP(U1031,Таклифлар37[Таклифлар],Таклифлар37[TaklifID])</f>
        <v>#N/A</v>
      </c>
      <c r="W1031" s="24"/>
      <c r="X1031" s="23"/>
      <c r="Y1031" s="7"/>
      <c r="Z1031" s="26"/>
      <c r="AB1031" s="23"/>
      <c r="AD1031" s="2"/>
      <c r="AG1031" s="23"/>
      <c r="AI1031" s="26"/>
      <c r="AJ1031" s="23"/>
      <c r="AM1031" s="23"/>
      <c r="AO1031" s="32"/>
      <c r="AP1031" s="26"/>
      <c r="AR1031" s="26"/>
      <c r="AS1031" s="27"/>
      <c r="AT1031" s="27"/>
      <c r="AU1031" s="31"/>
      <c r="AV1031" s="24"/>
      <c r="AW1031"/>
      <c r="AX1031"/>
      <c r="AY1031"/>
      <c r="AZ1031"/>
      <c r="BA1031"/>
      <c r="BB1031"/>
      <c r="BC1031"/>
      <c r="BD1031"/>
      <c r="BE1031"/>
      <c r="BF1031"/>
      <c r="BG1031"/>
    </row>
    <row r="1032" spans="2:59" x14ac:dyDescent="0.25">
      <c r="B1032" s="22"/>
      <c r="C1032" s="23"/>
      <c r="E1032" s="23"/>
      <c r="F1032" s="24"/>
      <c r="G1032" s="2"/>
      <c r="H1032" s="10" t="e">
        <f>_xlfn.XLOOKUP(F1032,Viloyatlar24[RegionName],Viloyatlar24[RegionId])</f>
        <v>#N/A</v>
      </c>
      <c r="I1032" s="10" t="e">
        <f>_xlfn.XLOOKUP('Кўчмас мулк объектлари'!G1032,Tumanlar23[DistrictName],Tumanlar23[DistrictId])</f>
        <v>#N/A</v>
      </c>
      <c r="K1032" s="24"/>
      <c r="L1032" s="10" t="e">
        <f>_xlfn.XLOOKUP(K1032,Ташкилотлар39[Ташкилотлар],Ташкилотлар39[TashklilotID])</f>
        <v>#N/A</v>
      </c>
      <c r="M1032" s="26"/>
      <c r="N1032" s="26"/>
      <c r="O1032" s="24"/>
      <c r="P1032" s="2"/>
      <c r="Q1032" s="26"/>
      <c r="R1032" s="26"/>
      <c r="S1032" s="26"/>
      <c r="T1032" s="26"/>
      <c r="U1032" s="24"/>
      <c r="V1032" s="10" t="e">
        <f>_xlfn.XLOOKUP(U1032,Таклифлар37[Таклифлар],Таклифлар37[TaklifID])</f>
        <v>#N/A</v>
      </c>
      <c r="W1032" s="24"/>
      <c r="X1032" s="23"/>
      <c r="Y1032" s="7"/>
      <c r="Z1032" s="26"/>
      <c r="AB1032" s="23"/>
      <c r="AD1032" s="2"/>
      <c r="AG1032" s="23"/>
      <c r="AI1032" s="26"/>
      <c r="AJ1032" s="23"/>
      <c r="AM1032" s="23"/>
      <c r="AO1032" s="32"/>
      <c r="AP1032" s="26"/>
      <c r="AR1032" s="26"/>
      <c r="AS1032" s="27"/>
      <c r="AT1032" s="27"/>
      <c r="AU1032" s="31"/>
      <c r="AV1032" s="24"/>
      <c r="AW1032"/>
      <c r="AX1032"/>
      <c r="AY1032"/>
      <c r="AZ1032"/>
      <c r="BA1032"/>
      <c r="BB1032"/>
      <c r="BC1032"/>
      <c r="BD1032"/>
      <c r="BE1032"/>
      <c r="BF1032"/>
      <c r="BG1032"/>
    </row>
    <row r="1033" spans="2:59" x14ac:dyDescent="0.25">
      <c r="B1033" s="22"/>
      <c r="C1033" s="23"/>
      <c r="E1033" s="23"/>
      <c r="F1033" s="24"/>
      <c r="G1033" s="2"/>
      <c r="H1033" s="10" t="e">
        <f>_xlfn.XLOOKUP(F1033,Viloyatlar24[RegionName],Viloyatlar24[RegionId])</f>
        <v>#N/A</v>
      </c>
      <c r="I1033" s="10" t="e">
        <f>_xlfn.XLOOKUP('Кўчмас мулк объектлари'!G1033,Tumanlar23[DistrictName],Tumanlar23[DistrictId])</f>
        <v>#N/A</v>
      </c>
      <c r="K1033" s="24"/>
      <c r="L1033" s="10" t="e">
        <f>_xlfn.XLOOKUP(K1033,Ташкилотлар39[Ташкилотлар],Ташкилотлар39[TashklilotID])</f>
        <v>#N/A</v>
      </c>
      <c r="M1033" s="26"/>
      <c r="N1033" s="26"/>
      <c r="O1033" s="24"/>
      <c r="P1033" s="2"/>
      <c r="Q1033" s="26"/>
      <c r="R1033" s="26"/>
      <c r="S1033" s="26"/>
      <c r="T1033" s="26"/>
      <c r="U1033" s="24"/>
      <c r="V1033" s="10" t="e">
        <f>_xlfn.XLOOKUP(U1033,Таклифлар37[Таклифлар],Таклифлар37[TaklifID])</f>
        <v>#N/A</v>
      </c>
      <c r="W1033" s="24"/>
      <c r="X1033" s="23"/>
      <c r="Y1033" s="7"/>
      <c r="Z1033" s="26"/>
      <c r="AB1033" s="23"/>
      <c r="AD1033" s="2"/>
      <c r="AG1033" s="23"/>
      <c r="AI1033" s="26"/>
      <c r="AJ1033" s="23"/>
      <c r="AM1033" s="23"/>
      <c r="AO1033" s="32"/>
      <c r="AP1033" s="26"/>
      <c r="AR1033" s="26"/>
      <c r="AS1033" s="27"/>
      <c r="AT1033" s="27"/>
      <c r="AU1033" s="31"/>
      <c r="AV1033" s="24"/>
      <c r="AW1033"/>
      <c r="AX1033"/>
      <c r="AY1033"/>
      <c r="AZ1033"/>
      <c r="BA1033"/>
      <c r="BB1033"/>
      <c r="BC1033"/>
      <c r="BD1033"/>
      <c r="BE1033"/>
      <c r="BF1033"/>
      <c r="BG1033"/>
    </row>
    <row r="1034" spans="2:59" x14ac:dyDescent="0.25">
      <c r="B1034" s="22"/>
      <c r="C1034" s="23"/>
      <c r="E1034" s="23"/>
      <c r="F1034" s="24"/>
      <c r="G1034" s="2"/>
      <c r="H1034" s="10" t="e">
        <f>_xlfn.XLOOKUP(F1034,Viloyatlar24[RegionName],Viloyatlar24[RegionId])</f>
        <v>#N/A</v>
      </c>
      <c r="I1034" s="10" t="e">
        <f>_xlfn.XLOOKUP('Кўчмас мулк объектлари'!G1034,Tumanlar23[DistrictName],Tumanlar23[DistrictId])</f>
        <v>#N/A</v>
      </c>
      <c r="K1034" s="24"/>
      <c r="L1034" s="10" t="e">
        <f>_xlfn.XLOOKUP(K1034,Ташкилотлар39[Ташкилотлар],Ташкилотлар39[TashklilotID])</f>
        <v>#N/A</v>
      </c>
      <c r="M1034" s="26"/>
      <c r="N1034" s="26"/>
      <c r="O1034" s="24"/>
      <c r="P1034" s="2"/>
      <c r="Q1034" s="26"/>
      <c r="R1034" s="26"/>
      <c r="S1034" s="26"/>
      <c r="T1034" s="26"/>
      <c r="U1034" s="24"/>
      <c r="V1034" s="10" t="e">
        <f>_xlfn.XLOOKUP(U1034,Таклифлар37[Таклифлар],Таклифлар37[TaklifID])</f>
        <v>#N/A</v>
      </c>
      <c r="W1034" s="24"/>
      <c r="X1034" s="23"/>
      <c r="Y1034" s="7"/>
      <c r="Z1034" s="26"/>
      <c r="AB1034" s="23"/>
      <c r="AD1034" s="2"/>
      <c r="AG1034" s="23"/>
      <c r="AI1034" s="26"/>
      <c r="AJ1034" s="23"/>
      <c r="AM1034" s="23"/>
      <c r="AO1034" s="32"/>
      <c r="AP1034" s="26"/>
      <c r="AR1034" s="26"/>
      <c r="AS1034" s="27"/>
      <c r="AT1034" s="27"/>
      <c r="AU1034" s="31"/>
      <c r="AV1034" s="24"/>
      <c r="AW1034"/>
      <c r="AX1034"/>
      <c r="AY1034"/>
      <c r="AZ1034"/>
      <c r="BA1034"/>
      <c r="BB1034"/>
      <c r="BC1034"/>
      <c r="BD1034"/>
      <c r="BE1034"/>
      <c r="BF1034"/>
      <c r="BG1034"/>
    </row>
    <row r="1035" spans="2:59" x14ac:dyDescent="0.25">
      <c r="B1035" s="22"/>
      <c r="C1035" s="23"/>
      <c r="E1035" s="23"/>
      <c r="F1035" s="24"/>
      <c r="G1035" s="2"/>
      <c r="H1035" s="10" t="e">
        <f>_xlfn.XLOOKUP(F1035,Viloyatlar24[RegionName],Viloyatlar24[RegionId])</f>
        <v>#N/A</v>
      </c>
      <c r="I1035" s="10" t="e">
        <f>_xlfn.XLOOKUP('Кўчмас мулк объектлари'!G1035,Tumanlar23[DistrictName],Tumanlar23[DistrictId])</f>
        <v>#N/A</v>
      </c>
      <c r="K1035" s="24"/>
      <c r="L1035" s="10" t="e">
        <f>_xlfn.XLOOKUP(K1035,Ташкилотлар39[Ташкилотлар],Ташкилотлар39[TashklilotID])</f>
        <v>#N/A</v>
      </c>
      <c r="M1035" s="26"/>
      <c r="N1035" s="26"/>
      <c r="O1035" s="24"/>
      <c r="P1035" s="2"/>
      <c r="Q1035" s="26"/>
      <c r="R1035" s="26"/>
      <c r="S1035" s="26"/>
      <c r="T1035" s="26"/>
      <c r="U1035" s="24"/>
      <c r="V1035" s="10" t="e">
        <f>_xlfn.XLOOKUP(U1035,Таклифлар37[Таклифлар],Таклифлар37[TaklifID])</f>
        <v>#N/A</v>
      </c>
      <c r="W1035" s="24"/>
      <c r="X1035" s="23"/>
      <c r="Y1035" s="7"/>
      <c r="Z1035" s="26"/>
      <c r="AB1035" s="23"/>
      <c r="AD1035" s="2"/>
      <c r="AG1035" s="23"/>
      <c r="AI1035" s="26"/>
      <c r="AJ1035" s="23"/>
      <c r="AM1035" s="23"/>
      <c r="AO1035" s="32"/>
      <c r="AP1035" s="26"/>
      <c r="AR1035" s="26"/>
      <c r="AS1035" s="27"/>
      <c r="AT1035" s="27"/>
      <c r="AU1035" s="31"/>
      <c r="AV1035" s="24"/>
      <c r="AW1035"/>
      <c r="AX1035"/>
      <c r="AY1035"/>
      <c r="AZ1035"/>
      <c r="BA1035"/>
      <c r="BB1035"/>
      <c r="BC1035"/>
      <c r="BD1035"/>
      <c r="BE1035"/>
      <c r="BF1035"/>
      <c r="BG1035"/>
    </row>
    <row r="1036" spans="2:59" x14ac:dyDescent="0.25">
      <c r="B1036" s="22"/>
      <c r="C1036" s="23"/>
      <c r="E1036" s="23"/>
      <c r="F1036" s="24"/>
      <c r="G1036" s="2"/>
      <c r="H1036" s="10" t="e">
        <f>_xlfn.XLOOKUP(F1036,Viloyatlar24[RegionName],Viloyatlar24[RegionId])</f>
        <v>#N/A</v>
      </c>
      <c r="I1036" s="10" t="e">
        <f>_xlfn.XLOOKUP('Кўчмас мулк объектлари'!G1036,Tumanlar23[DistrictName],Tumanlar23[DistrictId])</f>
        <v>#N/A</v>
      </c>
      <c r="K1036" s="24"/>
      <c r="L1036" s="10" t="e">
        <f>_xlfn.XLOOKUP(K1036,Ташкилотлар39[Ташкилотлар],Ташкилотлар39[TashklilotID])</f>
        <v>#N/A</v>
      </c>
      <c r="M1036" s="26"/>
      <c r="N1036" s="26"/>
      <c r="O1036" s="24"/>
      <c r="P1036" s="2"/>
      <c r="Q1036" s="26"/>
      <c r="R1036" s="26"/>
      <c r="S1036" s="26"/>
      <c r="T1036" s="26"/>
      <c r="U1036" s="24"/>
      <c r="V1036" s="10" t="e">
        <f>_xlfn.XLOOKUP(U1036,Таклифлар37[Таклифлар],Таклифлар37[TaklifID])</f>
        <v>#N/A</v>
      </c>
      <c r="W1036" s="24"/>
      <c r="X1036" s="23"/>
      <c r="Y1036" s="7"/>
      <c r="Z1036" s="26"/>
      <c r="AB1036" s="23"/>
      <c r="AD1036" s="2"/>
      <c r="AG1036" s="23"/>
      <c r="AI1036" s="26"/>
      <c r="AJ1036" s="23"/>
      <c r="AM1036" s="23"/>
      <c r="AO1036" s="32"/>
      <c r="AP1036" s="26"/>
      <c r="AR1036" s="26"/>
      <c r="AS1036" s="27"/>
      <c r="AT1036" s="27"/>
      <c r="AU1036" s="31"/>
      <c r="AV1036" s="24"/>
      <c r="AW1036"/>
      <c r="AX1036"/>
      <c r="AY1036"/>
      <c r="AZ1036"/>
      <c r="BA1036"/>
      <c r="BB1036"/>
      <c r="BC1036"/>
      <c r="BD1036"/>
      <c r="BE1036"/>
      <c r="BF1036"/>
      <c r="BG1036"/>
    </row>
    <row r="1037" spans="2:59" x14ac:dyDescent="0.25">
      <c r="B1037" s="22"/>
      <c r="C1037" s="23"/>
      <c r="E1037" s="23"/>
      <c r="F1037" s="24"/>
      <c r="G1037" s="2"/>
      <c r="H1037" s="10" t="e">
        <f>_xlfn.XLOOKUP(F1037,Viloyatlar24[RegionName],Viloyatlar24[RegionId])</f>
        <v>#N/A</v>
      </c>
      <c r="I1037" s="10" t="e">
        <f>_xlfn.XLOOKUP('Кўчмас мулк объектлари'!G1037,Tumanlar23[DistrictName],Tumanlar23[DistrictId])</f>
        <v>#N/A</v>
      </c>
      <c r="K1037" s="24"/>
      <c r="L1037" s="10" t="e">
        <f>_xlfn.XLOOKUP(K1037,Ташкилотлар39[Ташкилотлар],Ташкилотлар39[TashklilotID])</f>
        <v>#N/A</v>
      </c>
      <c r="M1037" s="26"/>
      <c r="N1037" s="26"/>
      <c r="O1037" s="24"/>
      <c r="P1037" s="2"/>
      <c r="Q1037" s="26"/>
      <c r="R1037" s="26"/>
      <c r="S1037" s="26"/>
      <c r="T1037" s="26"/>
      <c r="U1037" s="24"/>
      <c r="V1037" s="10" t="e">
        <f>_xlfn.XLOOKUP(U1037,Таклифлар37[Таклифлар],Таклифлар37[TaklifID])</f>
        <v>#N/A</v>
      </c>
      <c r="W1037" s="24"/>
      <c r="X1037" s="23"/>
      <c r="Y1037" s="7"/>
      <c r="Z1037" s="26"/>
      <c r="AB1037" s="23"/>
      <c r="AD1037" s="2"/>
      <c r="AG1037" s="23"/>
      <c r="AI1037" s="26"/>
      <c r="AJ1037" s="23"/>
      <c r="AM1037" s="23"/>
      <c r="AO1037" s="32"/>
      <c r="AP1037" s="26"/>
      <c r="AR1037" s="26"/>
      <c r="AS1037" s="27"/>
      <c r="AT1037" s="27"/>
      <c r="AU1037" s="31"/>
      <c r="AV1037" s="24"/>
      <c r="AW1037"/>
      <c r="AX1037"/>
      <c r="AY1037"/>
      <c r="AZ1037"/>
      <c r="BA1037"/>
      <c r="BB1037"/>
      <c r="BC1037"/>
      <c r="BD1037"/>
      <c r="BE1037"/>
      <c r="BF1037"/>
      <c r="BG1037"/>
    </row>
    <row r="1038" spans="2:59" x14ac:dyDescent="0.25">
      <c r="B1038" s="22"/>
      <c r="C1038" s="23"/>
      <c r="E1038" s="23"/>
      <c r="F1038" s="24"/>
      <c r="G1038" s="2"/>
      <c r="H1038" s="10" t="e">
        <f>_xlfn.XLOOKUP(F1038,Viloyatlar24[RegionName],Viloyatlar24[RegionId])</f>
        <v>#N/A</v>
      </c>
      <c r="I1038" s="10" t="e">
        <f>_xlfn.XLOOKUP('Кўчмас мулк объектлари'!G1038,Tumanlar23[DistrictName],Tumanlar23[DistrictId])</f>
        <v>#N/A</v>
      </c>
      <c r="K1038" s="24"/>
      <c r="L1038" s="10" t="e">
        <f>_xlfn.XLOOKUP(K1038,Ташкилотлар39[Ташкилотлар],Ташкилотлар39[TashklilotID])</f>
        <v>#N/A</v>
      </c>
      <c r="M1038" s="26"/>
      <c r="N1038" s="26"/>
      <c r="O1038" s="24"/>
      <c r="P1038" s="2"/>
      <c r="Q1038" s="26"/>
      <c r="R1038" s="26"/>
      <c r="S1038" s="26"/>
      <c r="T1038" s="26"/>
      <c r="U1038" s="24"/>
      <c r="V1038" s="10" t="e">
        <f>_xlfn.XLOOKUP(U1038,Таклифлар37[Таклифлар],Таклифлар37[TaklifID])</f>
        <v>#N/A</v>
      </c>
      <c r="W1038" s="24"/>
      <c r="X1038" s="23"/>
      <c r="Y1038" s="7"/>
      <c r="Z1038" s="26"/>
      <c r="AB1038" s="23"/>
      <c r="AD1038" s="2"/>
      <c r="AG1038" s="23"/>
      <c r="AI1038" s="26"/>
      <c r="AJ1038" s="23"/>
      <c r="AM1038" s="23"/>
      <c r="AO1038" s="32"/>
      <c r="AP1038" s="26"/>
      <c r="AR1038" s="26"/>
      <c r="AS1038" s="27"/>
      <c r="AT1038" s="27"/>
      <c r="AU1038" s="31"/>
      <c r="AV1038" s="24"/>
      <c r="AW1038"/>
      <c r="AX1038"/>
      <c r="AY1038"/>
      <c r="AZ1038"/>
      <c r="BA1038"/>
      <c r="BB1038"/>
      <c r="BC1038"/>
      <c r="BD1038"/>
      <c r="BE1038"/>
      <c r="BF1038"/>
      <c r="BG1038"/>
    </row>
    <row r="1039" spans="2:59" x14ac:dyDescent="0.25">
      <c r="B1039" s="22"/>
      <c r="C1039" s="23"/>
      <c r="E1039" s="23"/>
      <c r="F1039" s="24"/>
      <c r="G1039" s="2"/>
      <c r="H1039" s="10" t="e">
        <f>_xlfn.XLOOKUP(F1039,Viloyatlar24[RegionName],Viloyatlar24[RegionId])</f>
        <v>#N/A</v>
      </c>
      <c r="I1039" s="10" t="e">
        <f>_xlfn.XLOOKUP('Кўчмас мулк объектлари'!G1039,Tumanlar23[DistrictName],Tumanlar23[DistrictId])</f>
        <v>#N/A</v>
      </c>
      <c r="K1039" s="24"/>
      <c r="L1039" s="10" t="e">
        <f>_xlfn.XLOOKUP(K1039,Ташкилотлар39[Ташкилотлар],Ташкилотлар39[TashklilotID])</f>
        <v>#N/A</v>
      </c>
      <c r="M1039" s="26"/>
      <c r="N1039" s="26"/>
      <c r="O1039" s="24"/>
      <c r="P1039" s="2"/>
      <c r="Q1039" s="26"/>
      <c r="R1039" s="26"/>
      <c r="S1039" s="26"/>
      <c r="T1039" s="26"/>
      <c r="U1039" s="24"/>
      <c r="V1039" s="10" t="e">
        <f>_xlfn.XLOOKUP(U1039,Таклифлар37[Таклифлар],Таклифлар37[TaklifID])</f>
        <v>#N/A</v>
      </c>
      <c r="W1039" s="24"/>
      <c r="X1039" s="23"/>
      <c r="Y1039" s="7"/>
      <c r="Z1039" s="26"/>
      <c r="AB1039" s="23"/>
      <c r="AD1039" s="2"/>
      <c r="AG1039" s="23"/>
      <c r="AI1039" s="26"/>
      <c r="AJ1039" s="23"/>
      <c r="AM1039" s="23"/>
      <c r="AO1039" s="32"/>
      <c r="AP1039" s="26"/>
      <c r="AR1039" s="26"/>
      <c r="AS1039" s="27"/>
      <c r="AT1039" s="27"/>
      <c r="AU1039" s="31"/>
      <c r="AV1039" s="24"/>
      <c r="AW1039"/>
      <c r="AX1039"/>
      <c r="AY1039"/>
      <c r="AZ1039"/>
      <c r="BA1039"/>
      <c r="BB1039"/>
      <c r="BC1039"/>
      <c r="BD1039"/>
      <c r="BE1039"/>
      <c r="BF1039"/>
      <c r="BG1039"/>
    </row>
    <row r="1040" spans="2:59" x14ac:dyDescent="0.25">
      <c r="B1040" s="22"/>
      <c r="C1040" s="23"/>
      <c r="E1040" s="23"/>
      <c r="F1040" s="24"/>
      <c r="G1040" s="2"/>
      <c r="H1040" s="10" t="e">
        <f>_xlfn.XLOOKUP(F1040,Viloyatlar24[RegionName],Viloyatlar24[RegionId])</f>
        <v>#N/A</v>
      </c>
      <c r="I1040" s="10" t="e">
        <f>_xlfn.XLOOKUP('Кўчмас мулк объектлари'!G1040,Tumanlar23[DistrictName],Tumanlar23[DistrictId])</f>
        <v>#N/A</v>
      </c>
      <c r="K1040" s="24"/>
      <c r="L1040" s="10" t="e">
        <f>_xlfn.XLOOKUP(K1040,Ташкилотлар39[Ташкилотлар],Ташкилотлар39[TashklilotID])</f>
        <v>#N/A</v>
      </c>
      <c r="M1040" s="26"/>
      <c r="N1040" s="26"/>
      <c r="O1040" s="24"/>
      <c r="P1040" s="2"/>
      <c r="Q1040" s="26"/>
      <c r="R1040" s="26"/>
      <c r="S1040" s="26"/>
      <c r="T1040" s="26"/>
      <c r="U1040" s="24"/>
      <c r="V1040" s="10" t="e">
        <f>_xlfn.XLOOKUP(U1040,Таклифлар37[Таклифлар],Таклифлар37[TaklifID])</f>
        <v>#N/A</v>
      </c>
      <c r="W1040" s="24"/>
      <c r="X1040" s="23"/>
      <c r="Y1040" s="7"/>
      <c r="Z1040" s="26"/>
      <c r="AB1040" s="23"/>
      <c r="AD1040" s="2"/>
      <c r="AG1040" s="23"/>
      <c r="AI1040" s="26"/>
      <c r="AJ1040" s="23"/>
      <c r="AM1040" s="23"/>
      <c r="AO1040" s="32"/>
      <c r="AP1040" s="26"/>
      <c r="AR1040" s="26"/>
      <c r="AS1040" s="27"/>
      <c r="AT1040" s="27"/>
      <c r="AU1040" s="31"/>
      <c r="AV1040" s="24"/>
      <c r="AW1040"/>
      <c r="AX1040"/>
      <c r="AY1040"/>
      <c r="AZ1040"/>
      <c r="BA1040"/>
      <c r="BB1040"/>
      <c r="BC1040"/>
      <c r="BD1040"/>
      <c r="BE1040"/>
      <c r="BF1040"/>
      <c r="BG1040"/>
    </row>
    <row r="1041" spans="2:59" x14ac:dyDescent="0.25">
      <c r="B1041" s="22"/>
      <c r="C1041" s="23"/>
      <c r="E1041" s="23"/>
      <c r="F1041" s="24"/>
      <c r="G1041" s="2"/>
      <c r="H1041" s="10" t="e">
        <f>_xlfn.XLOOKUP(F1041,Viloyatlar24[RegionName],Viloyatlar24[RegionId])</f>
        <v>#N/A</v>
      </c>
      <c r="I1041" s="10" t="e">
        <f>_xlfn.XLOOKUP('Кўчмас мулк объектлари'!G1041,Tumanlar23[DistrictName],Tumanlar23[DistrictId])</f>
        <v>#N/A</v>
      </c>
      <c r="K1041" s="24"/>
      <c r="L1041" s="10" t="e">
        <f>_xlfn.XLOOKUP(K1041,Ташкилотлар39[Ташкилотлар],Ташкилотлар39[TashklilotID])</f>
        <v>#N/A</v>
      </c>
      <c r="M1041" s="26"/>
      <c r="N1041" s="26"/>
      <c r="O1041" s="24"/>
      <c r="P1041" s="2"/>
      <c r="Q1041" s="26"/>
      <c r="R1041" s="26"/>
      <c r="S1041" s="26"/>
      <c r="T1041" s="26"/>
      <c r="U1041" s="24"/>
      <c r="V1041" s="10" t="e">
        <f>_xlfn.XLOOKUP(U1041,Таклифлар37[Таклифлар],Таклифлар37[TaklifID])</f>
        <v>#N/A</v>
      </c>
      <c r="W1041" s="24"/>
      <c r="X1041" s="23"/>
      <c r="Y1041" s="7"/>
      <c r="Z1041" s="26"/>
      <c r="AB1041" s="23"/>
      <c r="AD1041" s="2"/>
      <c r="AG1041" s="23"/>
      <c r="AI1041" s="26"/>
      <c r="AJ1041" s="23"/>
      <c r="AM1041" s="23"/>
      <c r="AO1041" s="32"/>
      <c r="AP1041" s="26"/>
      <c r="AR1041" s="26"/>
      <c r="AS1041" s="27"/>
      <c r="AT1041" s="27"/>
      <c r="AU1041" s="31"/>
      <c r="AV1041" s="24"/>
      <c r="AW1041"/>
      <c r="AX1041"/>
      <c r="AY1041"/>
      <c r="AZ1041"/>
      <c r="BA1041"/>
      <c r="BB1041"/>
      <c r="BC1041"/>
      <c r="BD1041"/>
      <c r="BE1041"/>
      <c r="BF1041"/>
      <c r="BG1041"/>
    </row>
    <row r="1042" spans="2:59" x14ac:dyDescent="0.25">
      <c r="B1042" s="22"/>
      <c r="C1042" s="23"/>
      <c r="E1042" s="23"/>
      <c r="F1042" s="24"/>
      <c r="G1042" s="2"/>
      <c r="H1042" s="10" t="e">
        <f>_xlfn.XLOOKUP(F1042,Viloyatlar24[RegionName],Viloyatlar24[RegionId])</f>
        <v>#N/A</v>
      </c>
      <c r="I1042" s="10" t="e">
        <f>_xlfn.XLOOKUP('Кўчмас мулк объектлари'!G1042,Tumanlar23[DistrictName],Tumanlar23[DistrictId])</f>
        <v>#N/A</v>
      </c>
      <c r="K1042" s="24"/>
      <c r="L1042" s="10" t="e">
        <f>_xlfn.XLOOKUP(K1042,Ташкилотлар39[Ташкилотлар],Ташкилотлар39[TashklilotID])</f>
        <v>#N/A</v>
      </c>
      <c r="M1042" s="26"/>
      <c r="N1042" s="26"/>
      <c r="O1042" s="24"/>
      <c r="P1042" s="2"/>
      <c r="Q1042" s="26"/>
      <c r="R1042" s="26"/>
      <c r="S1042" s="26"/>
      <c r="T1042" s="26"/>
      <c r="U1042" s="24"/>
      <c r="V1042" s="10" t="e">
        <f>_xlfn.XLOOKUP(U1042,Таклифлар37[Таклифлар],Таклифлар37[TaklifID])</f>
        <v>#N/A</v>
      </c>
      <c r="W1042" s="24"/>
      <c r="X1042" s="23"/>
      <c r="Y1042" s="7"/>
      <c r="Z1042" s="26"/>
      <c r="AB1042" s="23"/>
      <c r="AD1042" s="2"/>
      <c r="AG1042" s="23"/>
      <c r="AI1042" s="26"/>
      <c r="AJ1042" s="23"/>
      <c r="AM1042" s="23"/>
      <c r="AO1042" s="32"/>
      <c r="AP1042" s="26"/>
      <c r="AR1042" s="26"/>
      <c r="AS1042" s="27"/>
      <c r="AT1042" s="27"/>
      <c r="AU1042" s="31"/>
      <c r="AV1042" s="24"/>
      <c r="AW1042"/>
      <c r="AX1042"/>
      <c r="AY1042"/>
      <c r="AZ1042"/>
      <c r="BA1042"/>
      <c r="BB1042"/>
      <c r="BC1042"/>
      <c r="BD1042"/>
      <c r="BE1042"/>
      <c r="BF1042"/>
      <c r="BG1042"/>
    </row>
    <row r="1043" spans="2:59" x14ac:dyDescent="0.25">
      <c r="B1043" s="22"/>
      <c r="C1043" s="23"/>
      <c r="E1043" s="23"/>
      <c r="F1043" s="24"/>
      <c r="G1043" s="2"/>
      <c r="H1043" s="10" t="e">
        <f>_xlfn.XLOOKUP(F1043,Viloyatlar24[RegionName],Viloyatlar24[RegionId])</f>
        <v>#N/A</v>
      </c>
      <c r="I1043" s="10" t="e">
        <f>_xlfn.XLOOKUP('Кўчмас мулк объектлари'!G1043,Tumanlar23[DistrictName],Tumanlar23[DistrictId])</f>
        <v>#N/A</v>
      </c>
      <c r="K1043" s="24"/>
      <c r="L1043" s="10" t="e">
        <f>_xlfn.XLOOKUP(K1043,Ташкилотлар39[Ташкилотлар],Ташкилотлар39[TashklilotID])</f>
        <v>#N/A</v>
      </c>
      <c r="M1043" s="26"/>
      <c r="N1043" s="26"/>
      <c r="O1043" s="24"/>
      <c r="P1043" s="2"/>
      <c r="Q1043" s="26"/>
      <c r="R1043" s="26"/>
      <c r="S1043" s="26"/>
      <c r="T1043" s="26"/>
      <c r="U1043" s="24"/>
      <c r="V1043" s="10" t="e">
        <f>_xlfn.XLOOKUP(U1043,Таклифлар37[Таклифлар],Таклифлар37[TaklifID])</f>
        <v>#N/A</v>
      </c>
      <c r="W1043" s="24"/>
      <c r="X1043" s="23"/>
      <c r="Y1043" s="7"/>
      <c r="Z1043" s="26"/>
      <c r="AB1043" s="23"/>
      <c r="AD1043" s="2"/>
      <c r="AG1043" s="23"/>
      <c r="AI1043" s="26"/>
      <c r="AJ1043" s="23"/>
      <c r="AM1043" s="23"/>
      <c r="AO1043" s="32"/>
      <c r="AP1043" s="26"/>
      <c r="AR1043" s="26"/>
      <c r="AS1043" s="27"/>
      <c r="AT1043" s="27"/>
      <c r="AU1043" s="31"/>
      <c r="AV1043" s="24"/>
      <c r="AW1043"/>
      <c r="AX1043"/>
      <c r="AY1043"/>
      <c r="AZ1043"/>
      <c r="BA1043"/>
      <c r="BB1043"/>
      <c r="BC1043"/>
      <c r="BD1043"/>
      <c r="BE1043"/>
      <c r="BF1043"/>
      <c r="BG1043"/>
    </row>
    <row r="1044" spans="2:59" x14ac:dyDescent="0.25">
      <c r="B1044" s="22"/>
      <c r="C1044" s="23"/>
      <c r="E1044" s="23"/>
      <c r="F1044" s="24"/>
      <c r="G1044" s="2"/>
      <c r="H1044" s="10" t="e">
        <f>_xlfn.XLOOKUP(F1044,Viloyatlar24[RegionName],Viloyatlar24[RegionId])</f>
        <v>#N/A</v>
      </c>
      <c r="I1044" s="10" t="e">
        <f>_xlfn.XLOOKUP('Кўчмас мулк объектлари'!G1044,Tumanlar23[DistrictName],Tumanlar23[DistrictId])</f>
        <v>#N/A</v>
      </c>
      <c r="K1044" s="24"/>
      <c r="L1044" s="10" t="e">
        <f>_xlfn.XLOOKUP(K1044,Ташкилотлар39[Ташкилотлар],Ташкилотлар39[TashklilotID])</f>
        <v>#N/A</v>
      </c>
      <c r="M1044" s="26"/>
      <c r="N1044" s="26"/>
      <c r="O1044" s="24"/>
      <c r="P1044" s="2"/>
      <c r="Q1044" s="26"/>
      <c r="R1044" s="26"/>
      <c r="S1044" s="26"/>
      <c r="T1044" s="26"/>
      <c r="U1044" s="24"/>
      <c r="V1044" s="10" t="e">
        <f>_xlfn.XLOOKUP(U1044,Таклифлар37[Таклифлар],Таклифлар37[TaklifID])</f>
        <v>#N/A</v>
      </c>
      <c r="W1044" s="24"/>
      <c r="X1044" s="23"/>
      <c r="Y1044" s="7"/>
      <c r="Z1044" s="26"/>
      <c r="AB1044" s="23"/>
      <c r="AD1044" s="2"/>
      <c r="AG1044" s="23"/>
      <c r="AI1044" s="26"/>
      <c r="AJ1044" s="23"/>
      <c r="AM1044" s="23"/>
      <c r="AO1044" s="32"/>
      <c r="AP1044" s="26"/>
      <c r="AR1044" s="26"/>
      <c r="AS1044" s="27"/>
      <c r="AT1044" s="27"/>
      <c r="AU1044" s="31"/>
      <c r="AV1044" s="24"/>
      <c r="AW1044"/>
      <c r="AX1044"/>
      <c r="AY1044"/>
      <c r="AZ1044"/>
      <c r="BA1044"/>
      <c r="BB1044"/>
      <c r="BC1044"/>
      <c r="BD1044"/>
      <c r="BE1044"/>
      <c r="BF1044"/>
      <c r="BG1044"/>
    </row>
    <row r="1045" spans="2:59" x14ac:dyDescent="0.25">
      <c r="B1045" s="22"/>
      <c r="C1045" s="23"/>
      <c r="E1045" s="23"/>
      <c r="F1045" s="24"/>
      <c r="G1045" s="2"/>
      <c r="H1045" s="10" t="e">
        <f>_xlfn.XLOOKUP(F1045,Viloyatlar24[RegionName],Viloyatlar24[RegionId])</f>
        <v>#N/A</v>
      </c>
      <c r="I1045" s="10" t="e">
        <f>_xlfn.XLOOKUP('Кўчмас мулк объектлари'!G1045,Tumanlar23[DistrictName],Tumanlar23[DistrictId])</f>
        <v>#N/A</v>
      </c>
      <c r="K1045" s="24"/>
      <c r="L1045" s="10" t="e">
        <f>_xlfn.XLOOKUP(K1045,Ташкилотлар39[Ташкилотлар],Ташкилотлар39[TashklilotID])</f>
        <v>#N/A</v>
      </c>
      <c r="M1045" s="26"/>
      <c r="N1045" s="26"/>
      <c r="O1045" s="24"/>
      <c r="P1045" s="2"/>
      <c r="Q1045" s="26"/>
      <c r="R1045" s="26"/>
      <c r="S1045" s="26"/>
      <c r="T1045" s="26"/>
      <c r="U1045" s="24"/>
      <c r="V1045" s="10" t="e">
        <f>_xlfn.XLOOKUP(U1045,Таклифлар37[Таклифлар],Таклифлар37[TaklifID])</f>
        <v>#N/A</v>
      </c>
      <c r="W1045" s="24"/>
      <c r="X1045" s="23"/>
      <c r="Y1045" s="7"/>
      <c r="Z1045" s="26"/>
      <c r="AB1045" s="23"/>
      <c r="AD1045" s="2"/>
      <c r="AG1045" s="23"/>
      <c r="AI1045" s="26"/>
      <c r="AJ1045" s="23"/>
      <c r="AM1045" s="23"/>
      <c r="AO1045" s="32"/>
      <c r="AP1045" s="26"/>
      <c r="AR1045" s="26"/>
      <c r="AS1045" s="27"/>
      <c r="AT1045" s="27"/>
      <c r="AU1045" s="31"/>
      <c r="AV1045" s="24"/>
      <c r="AW1045"/>
      <c r="AX1045"/>
      <c r="AY1045"/>
      <c r="AZ1045"/>
      <c r="BA1045"/>
      <c r="BB1045"/>
      <c r="BC1045"/>
      <c r="BD1045"/>
      <c r="BE1045"/>
      <c r="BF1045"/>
      <c r="BG1045"/>
    </row>
    <row r="1046" spans="2:59" x14ac:dyDescent="0.25">
      <c r="B1046" s="22"/>
      <c r="C1046" s="23"/>
      <c r="E1046" s="23"/>
      <c r="F1046" s="24"/>
      <c r="G1046" s="2"/>
      <c r="H1046" s="10" t="e">
        <f>_xlfn.XLOOKUP(F1046,Viloyatlar24[RegionName],Viloyatlar24[RegionId])</f>
        <v>#N/A</v>
      </c>
      <c r="I1046" s="10" t="e">
        <f>_xlfn.XLOOKUP('Кўчмас мулк объектлари'!G1046,Tumanlar23[DistrictName],Tumanlar23[DistrictId])</f>
        <v>#N/A</v>
      </c>
      <c r="K1046" s="24"/>
      <c r="L1046" s="10" t="e">
        <f>_xlfn.XLOOKUP(K1046,Ташкилотлар39[Ташкилотлар],Ташкилотлар39[TashklilotID])</f>
        <v>#N/A</v>
      </c>
      <c r="M1046" s="26"/>
      <c r="N1046" s="26"/>
      <c r="O1046" s="24"/>
      <c r="P1046" s="2"/>
      <c r="Q1046" s="26"/>
      <c r="R1046" s="26"/>
      <c r="S1046" s="26"/>
      <c r="T1046" s="26"/>
      <c r="U1046" s="24"/>
      <c r="V1046" s="10" t="e">
        <f>_xlfn.XLOOKUP(U1046,Таклифлар37[Таклифлар],Таклифлар37[TaklifID])</f>
        <v>#N/A</v>
      </c>
      <c r="W1046" s="24"/>
      <c r="X1046" s="23"/>
      <c r="Y1046" s="7"/>
      <c r="Z1046" s="26"/>
      <c r="AB1046" s="23"/>
      <c r="AD1046" s="2"/>
      <c r="AG1046" s="23"/>
      <c r="AI1046" s="26"/>
      <c r="AJ1046" s="23"/>
      <c r="AM1046" s="23"/>
      <c r="AO1046" s="32"/>
      <c r="AP1046" s="26"/>
      <c r="AR1046" s="26"/>
      <c r="AS1046" s="27"/>
      <c r="AT1046" s="27"/>
      <c r="AU1046" s="31"/>
      <c r="AV1046" s="24"/>
      <c r="AW1046"/>
      <c r="AX1046"/>
      <c r="AY1046"/>
      <c r="AZ1046"/>
      <c r="BA1046"/>
      <c r="BB1046"/>
      <c r="BC1046"/>
      <c r="BD1046"/>
      <c r="BE1046"/>
      <c r="BF1046"/>
      <c r="BG1046"/>
    </row>
    <row r="1047" spans="2:59" x14ac:dyDescent="0.25">
      <c r="B1047" s="22"/>
      <c r="C1047" s="23"/>
      <c r="E1047" s="23"/>
      <c r="F1047" s="24"/>
      <c r="G1047" s="2"/>
      <c r="H1047" s="10" t="e">
        <f>_xlfn.XLOOKUP(F1047,Viloyatlar24[RegionName],Viloyatlar24[RegionId])</f>
        <v>#N/A</v>
      </c>
      <c r="I1047" s="10" t="e">
        <f>_xlfn.XLOOKUP('Кўчмас мулк объектлари'!G1047,Tumanlar23[DistrictName],Tumanlar23[DistrictId])</f>
        <v>#N/A</v>
      </c>
      <c r="K1047" s="24"/>
      <c r="L1047" s="10" t="e">
        <f>_xlfn.XLOOKUP(K1047,Ташкилотлар39[Ташкилотлар],Ташкилотлар39[TashklilotID])</f>
        <v>#N/A</v>
      </c>
      <c r="M1047" s="26"/>
      <c r="N1047" s="26"/>
      <c r="O1047" s="24"/>
      <c r="P1047" s="2"/>
      <c r="Q1047" s="26"/>
      <c r="R1047" s="26"/>
      <c r="S1047" s="26"/>
      <c r="T1047" s="26"/>
      <c r="U1047" s="24"/>
      <c r="V1047" s="10" t="e">
        <f>_xlfn.XLOOKUP(U1047,Таклифлар37[Таклифлар],Таклифлар37[TaklifID])</f>
        <v>#N/A</v>
      </c>
      <c r="W1047" s="24"/>
      <c r="X1047" s="23"/>
      <c r="Y1047" s="7"/>
      <c r="Z1047" s="26"/>
      <c r="AB1047" s="23"/>
      <c r="AD1047" s="2"/>
      <c r="AG1047" s="23"/>
      <c r="AI1047" s="26"/>
      <c r="AJ1047" s="23"/>
      <c r="AM1047" s="23"/>
      <c r="AO1047" s="32"/>
      <c r="AP1047" s="26"/>
      <c r="AR1047" s="26"/>
      <c r="AS1047" s="27"/>
      <c r="AT1047" s="27"/>
      <c r="AU1047" s="31"/>
      <c r="AV1047" s="24"/>
      <c r="AW1047"/>
      <c r="AX1047"/>
      <c r="AY1047"/>
      <c r="AZ1047"/>
      <c r="BA1047"/>
      <c r="BB1047"/>
      <c r="BC1047"/>
      <c r="BD1047"/>
      <c r="BE1047"/>
      <c r="BF1047"/>
      <c r="BG1047"/>
    </row>
    <row r="1048" spans="2:59" x14ac:dyDescent="0.25">
      <c r="B1048" s="22"/>
      <c r="C1048" s="23"/>
      <c r="E1048" s="23"/>
      <c r="F1048" s="24"/>
      <c r="G1048" s="2"/>
      <c r="H1048" s="10" t="e">
        <f>_xlfn.XLOOKUP(F1048,Viloyatlar24[RegionName],Viloyatlar24[RegionId])</f>
        <v>#N/A</v>
      </c>
      <c r="I1048" s="10" t="e">
        <f>_xlfn.XLOOKUP('Кўчмас мулк объектлари'!G1048,Tumanlar23[DistrictName],Tumanlar23[DistrictId])</f>
        <v>#N/A</v>
      </c>
      <c r="K1048" s="24"/>
      <c r="L1048" s="10" t="e">
        <f>_xlfn.XLOOKUP(K1048,Ташкилотлар39[Ташкилотлар],Ташкилотлар39[TashklilotID])</f>
        <v>#N/A</v>
      </c>
      <c r="M1048" s="26"/>
      <c r="N1048" s="26"/>
      <c r="O1048" s="24"/>
      <c r="P1048" s="2"/>
      <c r="Q1048" s="26"/>
      <c r="R1048" s="26"/>
      <c r="S1048" s="26"/>
      <c r="T1048" s="26"/>
      <c r="U1048" s="24"/>
      <c r="V1048" s="10" t="e">
        <f>_xlfn.XLOOKUP(U1048,Таклифлар37[Таклифлар],Таклифлар37[TaklifID])</f>
        <v>#N/A</v>
      </c>
      <c r="W1048" s="24"/>
      <c r="X1048" s="23"/>
      <c r="Y1048" s="7"/>
      <c r="Z1048" s="26"/>
      <c r="AB1048" s="23"/>
      <c r="AD1048" s="2"/>
      <c r="AG1048" s="23"/>
      <c r="AI1048" s="26"/>
      <c r="AJ1048" s="23"/>
      <c r="AM1048" s="23"/>
      <c r="AO1048" s="32"/>
      <c r="AP1048" s="26"/>
      <c r="AR1048" s="26"/>
      <c r="AS1048" s="27"/>
      <c r="AT1048" s="27"/>
      <c r="AU1048" s="31"/>
      <c r="AV1048" s="24"/>
      <c r="AW1048"/>
      <c r="AX1048"/>
      <c r="AY1048"/>
      <c r="AZ1048"/>
      <c r="BA1048"/>
      <c r="BB1048"/>
      <c r="BC1048"/>
      <c r="BD1048"/>
      <c r="BE1048"/>
      <c r="BF1048"/>
      <c r="BG1048"/>
    </row>
    <row r="1049" spans="2:59" x14ac:dyDescent="0.25">
      <c r="B1049" s="22"/>
      <c r="C1049" s="23"/>
      <c r="E1049" s="23"/>
      <c r="F1049" s="24"/>
      <c r="G1049" s="2"/>
      <c r="H1049" s="10" t="e">
        <f>_xlfn.XLOOKUP(F1049,Viloyatlar24[RegionName],Viloyatlar24[RegionId])</f>
        <v>#N/A</v>
      </c>
      <c r="I1049" s="10" t="e">
        <f>_xlfn.XLOOKUP('Кўчмас мулк объектлари'!G1049,Tumanlar23[DistrictName],Tumanlar23[DistrictId])</f>
        <v>#N/A</v>
      </c>
      <c r="K1049" s="24"/>
      <c r="L1049" s="10" t="e">
        <f>_xlfn.XLOOKUP(K1049,Ташкилотлар39[Ташкилотлар],Ташкилотлар39[TashklilotID])</f>
        <v>#N/A</v>
      </c>
      <c r="M1049" s="26"/>
      <c r="N1049" s="26"/>
      <c r="O1049" s="24"/>
      <c r="P1049" s="2"/>
      <c r="Q1049" s="26"/>
      <c r="R1049" s="26"/>
      <c r="S1049" s="26"/>
      <c r="T1049" s="26"/>
      <c r="U1049" s="24"/>
      <c r="V1049" s="10" t="e">
        <f>_xlfn.XLOOKUP(U1049,Таклифлар37[Таклифлар],Таклифлар37[TaklifID])</f>
        <v>#N/A</v>
      </c>
      <c r="W1049" s="24"/>
      <c r="X1049" s="23"/>
      <c r="Y1049" s="7"/>
      <c r="Z1049" s="26"/>
      <c r="AB1049" s="23"/>
      <c r="AD1049" s="2"/>
      <c r="AG1049" s="23"/>
      <c r="AI1049" s="26"/>
      <c r="AJ1049" s="23"/>
      <c r="AM1049" s="23"/>
      <c r="AO1049" s="32"/>
      <c r="AP1049" s="26"/>
      <c r="AR1049" s="26"/>
      <c r="AS1049" s="27"/>
      <c r="AT1049" s="27"/>
      <c r="AU1049" s="31"/>
      <c r="AV1049" s="24"/>
      <c r="AW1049"/>
      <c r="AX1049"/>
      <c r="AY1049"/>
      <c r="AZ1049"/>
      <c r="BA1049"/>
      <c r="BB1049"/>
      <c r="BC1049"/>
      <c r="BD1049"/>
      <c r="BE1049"/>
      <c r="BF1049"/>
      <c r="BG1049"/>
    </row>
    <row r="1050" spans="2:59" x14ac:dyDescent="0.25">
      <c r="B1050" s="22"/>
      <c r="C1050" s="23"/>
      <c r="E1050" s="23"/>
      <c r="F1050" s="24"/>
      <c r="G1050" s="2"/>
      <c r="H1050" s="10" t="e">
        <f>_xlfn.XLOOKUP(F1050,Viloyatlar24[RegionName],Viloyatlar24[RegionId])</f>
        <v>#N/A</v>
      </c>
      <c r="I1050" s="10" t="e">
        <f>_xlfn.XLOOKUP('Кўчмас мулк объектлари'!G1050,Tumanlar23[DistrictName],Tumanlar23[DistrictId])</f>
        <v>#N/A</v>
      </c>
      <c r="K1050" s="24"/>
      <c r="L1050" s="10" t="e">
        <f>_xlfn.XLOOKUP(K1050,Ташкилотлар39[Ташкилотлар],Ташкилотлар39[TashklilotID])</f>
        <v>#N/A</v>
      </c>
      <c r="M1050" s="26"/>
      <c r="N1050" s="26"/>
      <c r="O1050" s="24"/>
      <c r="P1050" s="2"/>
      <c r="Q1050" s="26"/>
      <c r="R1050" s="26"/>
      <c r="S1050" s="26"/>
      <c r="T1050" s="26"/>
      <c r="U1050" s="24"/>
      <c r="V1050" s="10" t="e">
        <f>_xlfn.XLOOKUP(U1050,Таклифлар37[Таклифлар],Таклифлар37[TaklifID])</f>
        <v>#N/A</v>
      </c>
      <c r="W1050" s="24"/>
      <c r="X1050" s="23"/>
      <c r="Y1050" s="7"/>
      <c r="Z1050" s="26"/>
      <c r="AB1050" s="23"/>
      <c r="AD1050" s="2"/>
      <c r="AG1050" s="23"/>
      <c r="AI1050" s="26"/>
      <c r="AJ1050" s="23"/>
      <c r="AM1050" s="23"/>
      <c r="AO1050" s="32"/>
      <c r="AP1050" s="26"/>
      <c r="AR1050" s="26"/>
      <c r="AS1050" s="27"/>
      <c r="AT1050" s="27"/>
      <c r="AU1050" s="31"/>
      <c r="AV1050" s="24"/>
      <c r="AW1050"/>
      <c r="AX1050"/>
      <c r="AY1050"/>
      <c r="AZ1050"/>
      <c r="BA1050"/>
      <c r="BB1050"/>
      <c r="BC1050"/>
      <c r="BD1050"/>
      <c r="BE1050"/>
      <c r="BF1050"/>
      <c r="BG1050"/>
    </row>
    <row r="1051" spans="2:59" x14ac:dyDescent="0.25">
      <c r="B1051" s="22"/>
      <c r="C1051" s="23"/>
      <c r="E1051" s="23"/>
      <c r="F1051" s="24"/>
      <c r="G1051" s="2"/>
      <c r="H1051" s="10" t="e">
        <f>_xlfn.XLOOKUP(F1051,Viloyatlar24[RegionName],Viloyatlar24[RegionId])</f>
        <v>#N/A</v>
      </c>
      <c r="I1051" s="10" t="e">
        <f>_xlfn.XLOOKUP('Кўчмас мулк объектлари'!G1051,Tumanlar23[DistrictName],Tumanlar23[DistrictId])</f>
        <v>#N/A</v>
      </c>
      <c r="K1051" s="24"/>
      <c r="L1051" s="10" t="e">
        <f>_xlfn.XLOOKUP(K1051,Ташкилотлар39[Ташкилотлар],Ташкилотлар39[TashklilotID])</f>
        <v>#N/A</v>
      </c>
      <c r="M1051" s="26"/>
      <c r="N1051" s="26"/>
      <c r="O1051" s="24"/>
      <c r="P1051" s="2"/>
      <c r="Q1051" s="26"/>
      <c r="R1051" s="26"/>
      <c r="S1051" s="26"/>
      <c r="T1051" s="26"/>
      <c r="U1051" s="24"/>
      <c r="V1051" s="10" t="e">
        <f>_xlfn.XLOOKUP(U1051,Таклифлар37[Таклифлар],Таклифлар37[TaklifID])</f>
        <v>#N/A</v>
      </c>
      <c r="W1051" s="24"/>
      <c r="X1051" s="23"/>
      <c r="Y1051" s="7"/>
      <c r="Z1051" s="26"/>
      <c r="AB1051" s="23"/>
      <c r="AD1051" s="2"/>
      <c r="AG1051" s="23"/>
      <c r="AI1051" s="26"/>
      <c r="AJ1051" s="23"/>
      <c r="AM1051" s="23"/>
      <c r="AO1051" s="32"/>
      <c r="AP1051" s="26"/>
      <c r="AR1051" s="26"/>
      <c r="AS1051" s="27"/>
      <c r="AT1051" s="27"/>
      <c r="AU1051" s="31"/>
      <c r="AV1051" s="24"/>
      <c r="AW1051"/>
      <c r="AX1051"/>
      <c r="AY1051"/>
      <c r="AZ1051"/>
      <c r="BA1051"/>
      <c r="BB1051"/>
      <c r="BC1051"/>
      <c r="BD1051"/>
      <c r="BE1051"/>
      <c r="BF1051"/>
      <c r="BG1051"/>
    </row>
    <row r="1052" spans="2:59" x14ac:dyDescent="0.25">
      <c r="B1052" s="22"/>
      <c r="C1052" s="23"/>
      <c r="E1052" s="23"/>
      <c r="F1052" s="24"/>
      <c r="G1052" s="2"/>
      <c r="H1052" s="10" t="e">
        <f>_xlfn.XLOOKUP(F1052,Viloyatlar24[RegionName],Viloyatlar24[RegionId])</f>
        <v>#N/A</v>
      </c>
      <c r="I1052" s="10" t="e">
        <f>_xlfn.XLOOKUP('Кўчмас мулк объектлари'!G1052,Tumanlar23[DistrictName],Tumanlar23[DistrictId])</f>
        <v>#N/A</v>
      </c>
      <c r="K1052" s="24"/>
      <c r="L1052" s="10" t="e">
        <f>_xlfn.XLOOKUP(K1052,Ташкилотлар39[Ташкилотлар],Ташкилотлар39[TashklilotID])</f>
        <v>#N/A</v>
      </c>
      <c r="M1052" s="26"/>
      <c r="N1052" s="26"/>
      <c r="O1052" s="24"/>
      <c r="P1052" s="2"/>
      <c r="Q1052" s="26"/>
      <c r="R1052" s="26"/>
      <c r="S1052" s="26"/>
      <c r="T1052" s="26"/>
      <c r="U1052" s="24"/>
      <c r="V1052" s="10" t="e">
        <f>_xlfn.XLOOKUP(U1052,Таклифлар37[Таклифлар],Таклифлар37[TaklifID])</f>
        <v>#N/A</v>
      </c>
      <c r="W1052" s="24"/>
      <c r="X1052" s="23"/>
      <c r="Y1052" s="7"/>
      <c r="Z1052" s="26"/>
      <c r="AB1052" s="23"/>
      <c r="AD1052" s="2"/>
      <c r="AG1052" s="23"/>
      <c r="AI1052" s="26"/>
      <c r="AJ1052" s="23"/>
      <c r="AM1052" s="23"/>
      <c r="AO1052" s="32"/>
      <c r="AP1052" s="26"/>
      <c r="AR1052" s="26"/>
      <c r="AS1052" s="27"/>
      <c r="AT1052" s="27"/>
      <c r="AU1052" s="31"/>
      <c r="AV1052" s="24"/>
      <c r="AW1052"/>
      <c r="AX1052"/>
      <c r="AY1052"/>
      <c r="AZ1052"/>
      <c r="BA1052"/>
      <c r="BB1052"/>
      <c r="BC1052"/>
      <c r="BD1052"/>
      <c r="BE1052"/>
      <c r="BF1052"/>
      <c r="BG1052"/>
    </row>
    <row r="1053" spans="2:59" x14ac:dyDescent="0.25">
      <c r="B1053" s="22"/>
      <c r="C1053" s="23"/>
      <c r="E1053" s="23"/>
      <c r="F1053" s="24"/>
      <c r="G1053" s="2"/>
      <c r="H1053" s="10" t="e">
        <f>_xlfn.XLOOKUP(F1053,Viloyatlar24[RegionName],Viloyatlar24[RegionId])</f>
        <v>#N/A</v>
      </c>
      <c r="I1053" s="10" t="e">
        <f>_xlfn.XLOOKUP('Кўчмас мулк объектлари'!G1053,Tumanlar23[DistrictName],Tumanlar23[DistrictId])</f>
        <v>#N/A</v>
      </c>
      <c r="K1053" s="24"/>
      <c r="L1053" s="10" t="e">
        <f>_xlfn.XLOOKUP(K1053,Ташкилотлар39[Ташкилотлар],Ташкилотлар39[TashklilotID])</f>
        <v>#N/A</v>
      </c>
      <c r="M1053" s="26"/>
      <c r="N1053" s="26"/>
      <c r="O1053" s="24"/>
      <c r="P1053" s="2"/>
      <c r="Q1053" s="26"/>
      <c r="R1053" s="26"/>
      <c r="S1053" s="26"/>
      <c r="T1053" s="26"/>
      <c r="U1053" s="24"/>
      <c r="V1053" s="10" t="e">
        <f>_xlfn.XLOOKUP(U1053,Таклифлар37[Таклифлар],Таклифлар37[TaklifID])</f>
        <v>#N/A</v>
      </c>
      <c r="W1053" s="24"/>
      <c r="X1053" s="23"/>
      <c r="Y1053" s="7"/>
      <c r="Z1053" s="26"/>
      <c r="AB1053" s="23"/>
      <c r="AD1053" s="2"/>
      <c r="AG1053" s="23"/>
      <c r="AI1053" s="26"/>
      <c r="AJ1053" s="23"/>
      <c r="AM1053" s="23"/>
      <c r="AO1053" s="32"/>
      <c r="AP1053" s="26"/>
      <c r="AR1053" s="26"/>
      <c r="AS1053" s="27"/>
      <c r="AT1053" s="27"/>
      <c r="AU1053" s="31"/>
      <c r="AV1053" s="24"/>
      <c r="AW1053"/>
      <c r="AX1053"/>
      <c r="AY1053"/>
      <c r="AZ1053"/>
      <c r="BA1053"/>
      <c r="BB1053"/>
      <c r="BC1053"/>
      <c r="BD1053"/>
      <c r="BE1053"/>
      <c r="BF1053"/>
      <c r="BG1053"/>
    </row>
    <row r="1054" spans="2:59" x14ac:dyDescent="0.25">
      <c r="B1054" s="22"/>
      <c r="C1054" s="23"/>
      <c r="E1054" s="23"/>
      <c r="F1054" s="24"/>
      <c r="G1054" s="2"/>
      <c r="H1054" s="10" t="e">
        <f>_xlfn.XLOOKUP(F1054,Viloyatlar24[RegionName],Viloyatlar24[RegionId])</f>
        <v>#N/A</v>
      </c>
      <c r="I1054" s="10" t="e">
        <f>_xlfn.XLOOKUP('Кўчмас мулк объектлари'!G1054,Tumanlar23[DistrictName],Tumanlar23[DistrictId])</f>
        <v>#N/A</v>
      </c>
      <c r="K1054" s="24"/>
      <c r="L1054" s="10" t="e">
        <f>_xlfn.XLOOKUP(K1054,Ташкилотлар39[Ташкилотлар],Ташкилотлар39[TashklilotID])</f>
        <v>#N/A</v>
      </c>
      <c r="M1054" s="26"/>
      <c r="N1054" s="26"/>
      <c r="O1054" s="24"/>
      <c r="P1054" s="2"/>
      <c r="Q1054" s="26"/>
      <c r="R1054" s="26"/>
      <c r="S1054" s="26"/>
      <c r="T1054" s="26"/>
      <c r="U1054" s="24"/>
      <c r="V1054" s="10" t="e">
        <f>_xlfn.XLOOKUP(U1054,Таклифлар37[Таклифлар],Таклифлар37[TaklifID])</f>
        <v>#N/A</v>
      </c>
      <c r="W1054" s="24"/>
      <c r="X1054" s="23"/>
      <c r="Y1054" s="7"/>
      <c r="Z1054" s="26"/>
      <c r="AB1054" s="23"/>
      <c r="AD1054" s="2"/>
      <c r="AG1054" s="23"/>
      <c r="AI1054" s="26"/>
      <c r="AJ1054" s="23"/>
      <c r="AM1054" s="23"/>
      <c r="AO1054" s="32"/>
      <c r="AP1054" s="26"/>
      <c r="AR1054" s="26"/>
      <c r="AS1054" s="27"/>
      <c r="AT1054" s="27"/>
      <c r="AU1054" s="31"/>
      <c r="AV1054" s="24"/>
      <c r="AW1054"/>
      <c r="AX1054"/>
      <c r="AY1054"/>
      <c r="AZ1054"/>
      <c r="BA1054"/>
      <c r="BB1054"/>
      <c r="BC1054"/>
      <c r="BD1054"/>
      <c r="BE1054"/>
      <c r="BF1054"/>
      <c r="BG1054"/>
    </row>
    <row r="1055" spans="2:59" x14ac:dyDescent="0.25">
      <c r="B1055" s="22"/>
      <c r="C1055" s="23"/>
      <c r="E1055" s="23"/>
      <c r="F1055" s="24"/>
      <c r="G1055" s="2"/>
      <c r="H1055" s="10" t="e">
        <f>_xlfn.XLOOKUP(F1055,Viloyatlar24[RegionName],Viloyatlar24[RegionId])</f>
        <v>#N/A</v>
      </c>
      <c r="I1055" s="10" t="e">
        <f>_xlfn.XLOOKUP('Кўчмас мулк объектлари'!G1055,Tumanlar23[DistrictName],Tumanlar23[DistrictId])</f>
        <v>#N/A</v>
      </c>
      <c r="K1055" s="24"/>
      <c r="L1055" s="10" t="e">
        <f>_xlfn.XLOOKUP(K1055,Ташкилотлар39[Ташкилотлар],Ташкилотлар39[TashklilotID])</f>
        <v>#N/A</v>
      </c>
      <c r="M1055" s="26"/>
      <c r="N1055" s="26"/>
      <c r="O1055" s="24"/>
      <c r="P1055" s="2"/>
      <c r="Q1055" s="26"/>
      <c r="R1055" s="26"/>
      <c r="S1055" s="26"/>
      <c r="T1055" s="26"/>
      <c r="U1055" s="24"/>
      <c r="V1055" s="10" t="e">
        <f>_xlfn.XLOOKUP(U1055,Таклифлар37[Таклифлар],Таклифлар37[TaklifID])</f>
        <v>#N/A</v>
      </c>
      <c r="W1055" s="24"/>
      <c r="X1055" s="23"/>
      <c r="Y1055" s="7"/>
      <c r="Z1055" s="26"/>
      <c r="AB1055" s="23"/>
      <c r="AD1055" s="2"/>
      <c r="AG1055" s="23"/>
      <c r="AI1055" s="26"/>
      <c r="AJ1055" s="23"/>
      <c r="AM1055" s="23"/>
      <c r="AO1055" s="32"/>
      <c r="AP1055" s="26"/>
      <c r="AR1055" s="26"/>
      <c r="AS1055" s="27"/>
      <c r="AT1055" s="27"/>
      <c r="AU1055" s="31"/>
      <c r="AV1055" s="24"/>
      <c r="AW1055"/>
      <c r="AX1055"/>
      <c r="AY1055"/>
      <c r="AZ1055"/>
      <c r="BA1055"/>
      <c r="BB1055"/>
      <c r="BC1055"/>
      <c r="BD1055"/>
      <c r="BE1055"/>
      <c r="BF1055"/>
      <c r="BG1055"/>
    </row>
    <row r="1056" spans="2:59" x14ac:dyDescent="0.25">
      <c r="B1056" s="22"/>
      <c r="C1056" s="23"/>
      <c r="E1056" s="23"/>
      <c r="F1056" s="24"/>
      <c r="G1056" s="2"/>
      <c r="H1056" s="10" t="e">
        <f>_xlfn.XLOOKUP(F1056,Viloyatlar24[RegionName],Viloyatlar24[RegionId])</f>
        <v>#N/A</v>
      </c>
      <c r="I1056" s="10" t="e">
        <f>_xlfn.XLOOKUP('Кўчмас мулк объектлари'!G1056,Tumanlar23[DistrictName],Tumanlar23[DistrictId])</f>
        <v>#N/A</v>
      </c>
      <c r="K1056" s="24"/>
      <c r="L1056" s="10" t="e">
        <f>_xlfn.XLOOKUP(K1056,Ташкилотлар39[Ташкилотлар],Ташкилотлар39[TashklilotID])</f>
        <v>#N/A</v>
      </c>
      <c r="M1056" s="26"/>
      <c r="N1056" s="26"/>
      <c r="O1056" s="24"/>
      <c r="P1056" s="2"/>
      <c r="Q1056" s="26"/>
      <c r="R1056" s="26"/>
      <c r="S1056" s="26"/>
      <c r="T1056" s="26"/>
      <c r="U1056" s="24"/>
      <c r="V1056" s="10" t="e">
        <f>_xlfn.XLOOKUP(U1056,Таклифлар37[Таклифлар],Таклифлар37[TaklifID])</f>
        <v>#N/A</v>
      </c>
      <c r="W1056" s="24"/>
      <c r="X1056" s="23"/>
      <c r="Y1056" s="7"/>
      <c r="Z1056" s="26"/>
      <c r="AB1056" s="23"/>
      <c r="AD1056" s="2"/>
      <c r="AG1056" s="23"/>
      <c r="AI1056" s="26"/>
      <c r="AJ1056" s="23"/>
      <c r="AM1056" s="23"/>
      <c r="AO1056" s="32"/>
      <c r="AP1056" s="26"/>
      <c r="AR1056" s="26"/>
      <c r="AS1056" s="27"/>
      <c r="AT1056" s="27"/>
      <c r="AU1056" s="31"/>
      <c r="AV1056" s="24"/>
      <c r="AW1056"/>
      <c r="AX1056"/>
      <c r="AY1056"/>
      <c r="AZ1056"/>
      <c r="BA1056"/>
      <c r="BB1056"/>
      <c r="BC1056"/>
      <c r="BD1056"/>
      <c r="BE1056"/>
      <c r="BF1056"/>
      <c r="BG1056"/>
    </row>
    <row r="1057" spans="2:59" x14ac:dyDescent="0.25">
      <c r="B1057" s="22"/>
      <c r="C1057" s="23"/>
      <c r="E1057" s="23"/>
      <c r="F1057" s="24"/>
      <c r="G1057" s="2"/>
      <c r="H1057" s="10" t="e">
        <f>_xlfn.XLOOKUP(F1057,Viloyatlar24[RegionName],Viloyatlar24[RegionId])</f>
        <v>#N/A</v>
      </c>
      <c r="I1057" s="10" t="e">
        <f>_xlfn.XLOOKUP('Кўчмас мулк объектлари'!G1057,Tumanlar23[DistrictName],Tumanlar23[DistrictId])</f>
        <v>#N/A</v>
      </c>
      <c r="K1057" s="24"/>
      <c r="L1057" s="10" t="e">
        <f>_xlfn.XLOOKUP(K1057,Ташкилотлар39[Ташкилотлар],Ташкилотлар39[TashklilotID])</f>
        <v>#N/A</v>
      </c>
      <c r="M1057" s="26"/>
      <c r="N1057" s="26"/>
      <c r="O1057" s="24"/>
      <c r="P1057" s="2"/>
      <c r="Q1057" s="26"/>
      <c r="R1057" s="26"/>
      <c r="S1057" s="26"/>
      <c r="T1057" s="26"/>
      <c r="U1057" s="24"/>
      <c r="V1057" s="10" t="e">
        <f>_xlfn.XLOOKUP(U1057,Таклифлар37[Таклифлар],Таклифлар37[TaklifID])</f>
        <v>#N/A</v>
      </c>
      <c r="W1057" s="24"/>
      <c r="X1057" s="23"/>
      <c r="Y1057" s="7"/>
      <c r="Z1057" s="26"/>
      <c r="AB1057" s="23"/>
      <c r="AD1057" s="2"/>
      <c r="AG1057" s="23"/>
      <c r="AI1057" s="26"/>
      <c r="AJ1057" s="23"/>
      <c r="AM1057" s="23"/>
      <c r="AO1057" s="32"/>
      <c r="AP1057" s="26"/>
      <c r="AR1057" s="26"/>
      <c r="AS1057" s="27"/>
      <c r="AT1057" s="27"/>
      <c r="AU1057" s="31"/>
      <c r="AV1057" s="24"/>
      <c r="AW1057"/>
      <c r="AX1057"/>
      <c r="AY1057"/>
      <c r="AZ1057"/>
      <c r="BA1057"/>
      <c r="BB1057"/>
      <c r="BC1057"/>
      <c r="BD1057"/>
      <c r="BE1057"/>
      <c r="BF1057"/>
      <c r="BG1057"/>
    </row>
    <row r="1058" spans="2:59" x14ac:dyDescent="0.25">
      <c r="B1058" s="22"/>
      <c r="C1058" s="23"/>
      <c r="E1058" s="23"/>
      <c r="F1058" s="24"/>
      <c r="G1058" s="2"/>
      <c r="H1058" s="10" t="e">
        <f>_xlfn.XLOOKUP(F1058,Viloyatlar24[RegionName],Viloyatlar24[RegionId])</f>
        <v>#N/A</v>
      </c>
      <c r="I1058" s="10" t="e">
        <f>_xlfn.XLOOKUP('Кўчмас мулк объектлари'!G1058,Tumanlar23[DistrictName],Tumanlar23[DistrictId])</f>
        <v>#N/A</v>
      </c>
      <c r="K1058" s="24"/>
      <c r="L1058" s="10" t="e">
        <f>_xlfn.XLOOKUP(K1058,Ташкилотлар39[Ташкилотлар],Ташкилотлар39[TashklilotID])</f>
        <v>#N/A</v>
      </c>
      <c r="M1058" s="26"/>
      <c r="N1058" s="26"/>
      <c r="O1058" s="24"/>
      <c r="P1058" s="2"/>
      <c r="Q1058" s="26"/>
      <c r="R1058" s="26"/>
      <c r="S1058" s="26"/>
      <c r="T1058" s="26"/>
      <c r="U1058" s="24"/>
      <c r="V1058" s="10" t="e">
        <f>_xlfn.XLOOKUP(U1058,Таклифлар37[Таклифлар],Таклифлар37[TaklifID])</f>
        <v>#N/A</v>
      </c>
      <c r="W1058" s="24"/>
      <c r="X1058" s="23"/>
      <c r="Y1058" s="7"/>
      <c r="Z1058" s="26"/>
      <c r="AB1058" s="23"/>
      <c r="AD1058" s="2"/>
      <c r="AG1058" s="23"/>
      <c r="AI1058" s="26"/>
      <c r="AJ1058" s="23"/>
      <c r="AM1058" s="23"/>
      <c r="AO1058" s="32"/>
      <c r="AP1058" s="26"/>
      <c r="AR1058" s="26"/>
      <c r="AS1058" s="27"/>
      <c r="AT1058" s="27"/>
      <c r="AU1058" s="31"/>
      <c r="AV1058" s="24"/>
      <c r="AW1058"/>
      <c r="AX1058"/>
      <c r="AY1058"/>
      <c r="AZ1058"/>
      <c r="BA1058"/>
      <c r="BB1058"/>
      <c r="BC1058"/>
      <c r="BD1058"/>
      <c r="BE1058"/>
      <c r="BF1058"/>
      <c r="BG1058"/>
    </row>
    <row r="1059" spans="2:59" x14ac:dyDescent="0.25">
      <c r="B1059" s="22"/>
      <c r="C1059" s="23"/>
      <c r="E1059" s="23"/>
      <c r="F1059" s="24"/>
      <c r="G1059" s="2"/>
      <c r="H1059" s="10" t="e">
        <f>_xlfn.XLOOKUP(F1059,Viloyatlar24[RegionName],Viloyatlar24[RegionId])</f>
        <v>#N/A</v>
      </c>
      <c r="I1059" s="10" t="e">
        <f>_xlfn.XLOOKUP('Кўчмас мулк объектлари'!G1059,Tumanlar23[DistrictName],Tumanlar23[DistrictId])</f>
        <v>#N/A</v>
      </c>
      <c r="K1059" s="24"/>
      <c r="L1059" s="10" t="e">
        <f>_xlfn.XLOOKUP(K1059,Ташкилотлар39[Ташкилотлар],Ташкилотлар39[TashklilotID])</f>
        <v>#N/A</v>
      </c>
      <c r="M1059" s="26"/>
      <c r="N1059" s="26"/>
      <c r="O1059" s="24"/>
      <c r="P1059" s="2"/>
      <c r="Q1059" s="26"/>
      <c r="R1059" s="26"/>
      <c r="S1059" s="26"/>
      <c r="T1059" s="26"/>
      <c r="U1059" s="24"/>
      <c r="V1059" s="10" t="e">
        <f>_xlfn.XLOOKUP(U1059,Таклифлар37[Таклифлар],Таклифлар37[TaklifID])</f>
        <v>#N/A</v>
      </c>
      <c r="W1059" s="24"/>
      <c r="X1059" s="23"/>
      <c r="Y1059" s="7"/>
      <c r="Z1059" s="26"/>
      <c r="AB1059" s="23"/>
      <c r="AD1059" s="2"/>
      <c r="AG1059" s="23"/>
      <c r="AI1059" s="26"/>
      <c r="AJ1059" s="23"/>
      <c r="AM1059" s="23"/>
      <c r="AO1059" s="32"/>
      <c r="AP1059" s="26"/>
      <c r="AR1059" s="26"/>
      <c r="AS1059" s="27"/>
      <c r="AT1059" s="27"/>
      <c r="AU1059" s="31"/>
      <c r="AV1059" s="24"/>
      <c r="AW1059"/>
      <c r="AX1059"/>
      <c r="AY1059"/>
      <c r="AZ1059"/>
      <c r="BA1059"/>
      <c r="BB1059"/>
      <c r="BC1059"/>
      <c r="BD1059"/>
      <c r="BE1059"/>
      <c r="BF1059"/>
      <c r="BG1059"/>
    </row>
    <row r="1060" spans="2:59" x14ac:dyDescent="0.25">
      <c r="B1060" s="22"/>
      <c r="C1060" s="23"/>
      <c r="E1060" s="23"/>
      <c r="F1060" s="24"/>
      <c r="G1060" s="2"/>
      <c r="H1060" s="10" t="e">
        <f>_xlfn.XLOOKUP(F1060,Viloyatlar24[RegionName],Viloyatlar24[RegionId])</f>
        <v>#N/A</v>
      </c>
      <c r="I1060" s="10" t="e">
        <f>_xlfn.XLOOKUP('Кўчмас мулк объектлари'!G1060,Tumanlar23[DistrictName],Tumanlar23[DistrictId])</f>
        <v>#N/A</v>
      </c>
      <c r="K1060" s="24"/>
      <c r="L1060" s="10" t="e">
        <f>_xlfn.XLOOKUP(K1060,Ташкилотлар39[Ташкилотлар],Ташкилотлар39[TashklilotID])</f>
        <v>#N/A</v>
      </c>
      <c r="M1060" s="26"/>
      <c r="N1060" s="26"/>
      <c r="O1060" s="24"/>
      <c r="P1060" s="2"/>
      <c r="Q1060" s="26"/>
      <c r="R1060" s="26"/>
      <c r="S1060" s="26"/>
      <c r="T1060" s="26"/>
      <c r="U1060" s="24"/>
      <c r="V1060" s="10" t="e">
        <f>_xlfn.XLOOKUP(U1060,Таклифлар37[Таклифлар],Таклифлар37[TaklifID])</f>
        <v>#N/A</v>
      </c>
      <c r="W1060" s="24"/>
      <c r="X1060" s="23"/>
      <c r="Y1060" s="7"/>
      <c r="Z1060" s="26"/>
      <c r="AB1060" s="23"/>
      <c r="AD1060" s="2"/>
      <c r="AG1060" s="23"/>
      <c r="AI1060" s="26"/>
      <c r="AJ1060" s="23"/>
      <c r="AM1060" s="23"/>
      <c r="AO1060" s="32"/>
      <c r="AP1060" s="26"/>
      <c r="AR1060" s="26"/>
      <c r="AS1060" s="27"/>
      <c r="AT1060" s="27"/>
      <c r="AU1060" s="31"/>
      <c r="AV1060" s="24"/>
      <c r="AW1060"/>
      <c r="AX1060"/>
      <c r="AY1060"/>
      <c r="AZ1060"/>
      <c r="BA1060"/>
      <c r="BB1060"/>
      <c r="BC1060"/>
      <c r="BD1060"/>
      <c r="BE1060"/>
      <c r="BF1060"/>
      <c r="BG1060"/>
    </row>
    <row r="1061" spans="2:59" x14ac:dyDescent="0.25">
      <c r="B1061" s="22"/>
      <c r="C1061" s="23"/>
      <c r="E1061" s="23"/>
      <c r="F1061" s="24"/>
      <c r="G1061" s="2"/>
      <c r="H1061" s="10" t="e">
        <f>_xlfn.XLOOKUP(F1061,Viloyatlar24[RegionName],Viloyatlar24[RegionId])</f>
        <v>#N/A</v>
      </c>
      <c r="I1061" s="10" t="e">
        <f>_xlfn.XLOOKUP('Кўчмас мулк объектлари'!G1061,Tumanlar23[DistrictName],Tumanlar23[DistrictId])</f>
        <v>#N/A</v>
      </c>
      <c r="K1061" s="24"/>
      <c r="L1061" s="10" t="e">
        <f>_xlfn.XLOOKUP(K1061,Ташкилотлар39[Ташкилотлар],Ташкилотлар39[TashklilotID])</f>
        <v>#N/A</v>
      </c>
      <c r="M1061" s="26"/>
      <c r="N1061" s="26"/>
      <c r="O1061" s="24"/>
      <c r="P1061" s="2"/>
      <c r="Q1061" s="26"/>
      <c r="R1061" s="26"/>
      <c r="S1061" s="26"/>
      <c r="T1061" s="26"/>
      <c r="U1061" s="24"/>
      <c r="V1061" s="10" t="e">
        <f>_xlfn.XLOOKUP(U1061,Таклифлар37[Таклифлар],Таклифлар37[TaklifID])</f>
        <v>#N/A</v>
      </c>
      <c r="W1061" s="24"/>
      <c r="X1061" s="23"/>
      <c r="Y1061" s="7"/>
      <c r="Z1061" s="26"/>
      <c r="AB1061" s="23"/>
      <c r="AD1061" s="2"/>
      <c r="AG1061" s="23"/>
      <c r="AI1061" s="26"/>
      <c r="AJ1061" s="23"/>
      <c r="AM1061" s="23"/>
      <c r="AO1061" s="32"/>
      <c r="AP1061" s="26"/>
      <c r="AR1061" s="26"/>
      <c r="AS1061" s="27"/>
      <c r="AT1061" s="27"/>
      <c r="AU1061" s="31"/>
      <c r="AV1061" s="24"/>
      <c r="AW1061"/>
      <c r="AX1061"/>
      <c r="AY1061"/>
      <c r="AZ1061"/>
      <c r="BA1061"/>
      <c r="BB1061"/>
      <c r="BC1061"/>
      <c r="BD1061"/>
      <c r="BE1061"/>
      <c r="BF1061"/>
      <c r="BG1061"/>
    </row>
    <row r="1062" spans="2:59" x14ac:dyDescent="0.25">
      <c r="B1062" s="22"/>
      <c r="C1062" s="23"/>
      <c r="E1062" s="23"/>
      <c r="F1062" s="24"/>
      <c r="G1062" s="2"/>
      <c r="H1062" s="10" t="e">
        <f>_xlfn.XLOOKUP(F1062,Viloyatlar24[RegionName],Viloyatlar24[RegionId])</f>
        <v>#N/A</v>
      </c>
      <c r="I1062" s="10" t="e">
        <f>_xlfn.XLOOKUP('Кўчмас мулк объектлари'!G1062,Tumanlar23[DistrictName],Tumanlar23[DistrictId])</f>
        <v>#N/A</v>
      </c>
      <c r="K1062" s="24"/>
      <c r="L1062" s="10" t="e">
        <f>_xlfn.XLOOKUP(K1062,Ташкилотлар39[Ташкилотлар],Ташкилотлар39[TashklilotID])</f>
        <v>#N/A</v>
      </c>
      <c r="M1062" s="26"/>
      <c r="N1062" s="26"/>
      <c r="O1062" s="24"/>
      <c r="P1062" s="2"/>
      <c r="Q1062" s="26"/>
      <c r="R1062" s="26"/>
      <c r="S1062" s="26"/>
      <c r="T1062" s="26"/>
      <c r="U1062" s="24"/>
      <c r="V1062" s="10" t="e">
        <f>_xlfn.XLOOKUP(U1062,Таклифлар37[Таклифлар],Таклифлар37[TaklifID])</f>
        <v>#N/A</v>
      </c>
      <c r="W1062" s="24"/>
      <c r="X1062" s="23"/>
      <c r="Y1062" s="7"/>
      <c r="Z1062" s="26"/>
      <c r="AB1062" s="23"/>
      <c r="AD1062" s="2"/>
      <c r="AG1062" s="23"/>
      <c r="AI1062" s="26"/>
      <c r="AJ1062" s="23"/>
      <c r="AM1062" s="23"/>
      <c r="AO1062" s="32"/>
      <c r="AP1062" s="26"/>
      <c r="AR1062" s="26"/>
      <c r="AS1062" s="27"/>
      <c r="AT1062" s="27"/>
      <c r="AU1062" s="31"/>
      <c r="AV1062" s="24"/>
      <c r="AW1062"/>
      <c r="AX1062"/>
      <c r="AY1062"/>
      <c r="AZ1062"/>
      <c r="BA1062"/>
      <c r="BB1062"/>
      <c r="BC1062"/>
      <c r="BD1062"/>
      <c r="BE1062"/>
      <c r="BF1062"/>
      <c r="BG1062"/>
    </row>
    <row r="1063" spans="2:59" x14ac:dyDescent="0.25">
      <c r="B1063" s="22"/>
      <c r="C1063" s="23"/>
      <c r="E1063" s="23"/>
      <c r="F1063" s="24"/>
      <c r="G1063" s="2"/>
      <c r="H1063" s="10" t="e">
        <f>_xlfn.XLOOKUP(F1063,Viloyatlar24[RegionName],Viloyatlar24[RegionId])</f>
        <v>#N/A</v>
      </c>
      <c r="I1063" s="10" t="e">
        <f>_xlfn.XLOOKUP('Кўчмас мулк объектлари'!G1063,Tumanlar23[DistrictName],Tumanlar23[DistrictId])</f>
        <v>#N/A</v>
      </c>
      <c r="K1063" s="24"/>
      <c r="L1063" s="10" t="e">
        <f>_xlfn.XLOOKUP(K1063,Ташкилотлар39[Ташкилотлар],Ташкилотлар39[TashklilotID])</f>
        <v>#N/A</v>
      </c>
      <c r="M1063" s="26"/>
      <c r="N1063" s="26"/>
      <c r="O1063" s="24"/>
      <c r="P1063" s="2"/>
      <c r="Q1063" s="26"/>
      <c r="R1063" s="26"/>
      <c r="S1063" s="26"/>
      <c r="T1063" s="26"/>
      <c r="U1063" s="24"/>
      <c r="V1063" s="10" t="e">
        <f>_xlfn.XLOOKUP(U1063,Таклифлар37[Таклифлар],Таклифлар37[TaklifID])</f>
        <v>#N/A</v>
      </c>
      <c r="W1063" s="24"/>
      <c r="X1063" s="23"/>
      <c r="Y1063" s="7"/>
      <c r="Z1063" s="26"/>
      <c r="AB1063" s="23"/>
      <c r="AD1063" s="2"/>
      <c r="AG1063" s="23"/>
      <c r="AI1063" s="26"/>
      <c r="AJ1063" s="23"/>
      <c r="AM1063" s="23"/>
      <c r="AO1063" s="32"/>
      <c r="AP1063" s="26"/>
      <c r="AR1063" s="26"/>
      <c r="AS1063" s="27"/>
      <c r="AT1063" s="27"/>
      <c r="AU1063" s="31"/>
      <c r="AV1063" s="24"/>
      <c r="AW1063"/>
      <c r="AX1063"/>
      <c r="AY1063"/>
      <c r="AZ1063"/>
      <c r="BA1063"/>
      <c r="BB1063"/>
      <c r="BC1063"/>
      <c r="BD1063"/>
      <c r="BE1063"/>
      <c r="BF1063"/>
      <c r="BG1063"/>
    </row>
    <row r="1064" spans="2:59" x14ac:dyDescent="0.25">
      <c r="B1064" s="22"/>
      <c r="C1064" s="23"/>
      <c r="E1064" s="23"/>
      <c r="F1064" s="24"/>
      <c r="G1064" s="2"/>
      <c r="H1064" s="10" t="e">
        <f>_xlfn.XLOOKUP(F1064,Viloyatlar24[RegionName],Viloyatlar24[RegionId])</f>
        <v>#N/A</v>
      </c>
      <c r="I1064" s="10" t="e">
        <f>_xlfn.XLOOKUP('Кўчмас мулк объектлари'!G1064,Tumanlar23[DistrictName],Tumanlar23[DistrictId])</f>
        <v>#N/A</v>
      </c>
      <c r="K1064" s="24"/>
      <c r="L1064" s="10" t="e">
        <f>_xlfn.XLOOKUP(K1064,Ташкилотлар39[Ташкилотлар],Ташкилотлар39[TashklilotID])</f>
        <v>#N/A</v>
      </c>
      <c r="M1064" s="26"/>
      <c r="N1064" s="26"/>
      <c r="O1064" s="24"/>
      <c r="P1064" s="2"/>
      <c r="Q1064" s="26"/>
      <c r="R1064" s="26"/>
      <c r="S1064" s="26"/>
      <c r="T1064" s="26"/>
      <c r="U1064" s="24"/>
      <c r="V1064" s="10" t="e">
        <f>_xlfn.XLOOKUP(U1064,Таклифлар37[Таклифлар],Таклифлар37[TaklifID])</f>
        <v>#N/A</v>
      </c>
      <c r="W1064" s="24"/>
      <c r="X1064" s="23"/>
      <c r="Y1064" s="7"/>
      <c r="Z1064" s="26"/>
      <c r="AB1064" s="23"/>
      <c r="AD1064" s="2"/>
      <c r="AG1064" s="23"/>
      <c r="AI1064" s="26"/>
      <c r="AJ1064" s="23"/>
      <c r="AM1064" s="23"/>
      <c r="AO1064" s="32"/>
      <c r="AP1064" s="26"/>
      <c r="AR1064" s="26"/>
      <c r="AS1064" s="27"/>
      <c r="AT1064" s="27"/>
      <c r="AU1064" s="31"/>
      <c r="AV1064" s="24"/>
      <c r="AW1064"/>
      <c r="AX1064"/>
      <c r="AY1064"/>
      <c r="AZ1064"/>
      <c r="BA1064"/>
      <c r="BB1064"/>
      <c r="BC1064"/>
      <c r="BD1064"/>
      <c r="BE1064"/>
      <c r="BF1064"/>
      <c r="BG1064"/>
    </row>
    <row r="1065" spans="2:59" x14ac:dyDescent="0.25">
      <c r="B1065" s="22"/>
      <c r="C1065" s="23"/>
      <c r="E1065" s="23"/>
      <c r="F1065" s="24"/>
      <c r="G1065" s="2"/>
      <c r="H1065" s="10" t="e">
        <f>_xlfn.XLOOKUP(F1065,Viloyatlar24[RegionName],Viloyatlar24[RegionId])</f>
        <v>#N/A</v>
      </c>
      <c r="I1065" s="10" t="e">
        <f>_xlfn.XLOOKUP('Кўчмас мулк объектлари'!G1065,Tumanlar23[DistrictName],Tumanlar23[DistrictId])</f>
        <v>#N/A</v>
      </c>
      <c r="K1065" s="24"/>
      <c r="L1065" s="10" t="e">
        <f>_xlfn.XLOOKUP(K1065,Ташкилотлар39[Ташкилотлар],Ташкилотлар39[TashklilotID])</f>
        <v>#N/A</v>
      </c>
      <c r="M1065" s="26"/>
      <c r="N1065" s="26"/>
      <c r="O1065" s="24"/>
      <c r="P1065" s="2"/>
      <c r="Q1065" s="26"/>
      <c r="R1065" s="26"/>
      <c r="S1065" s="26"/>
      <c r="T1065" s="26"/>
      <c r="U1065" s="24"/>
      <c r="V1065" s="10" t="e">
        <f>_xlfn.XLOOKUP(U1065,Таклифлар37[Таклифлар],Таклифлар37[TaklifID])</f>
        <v>#N/A</v>
      </c>
      <c r="W1065" s="24"/>
      <c r="X1065" s="23"/>
      <c r="Y1065" s="7"/>
      <c r="Z1065" s="26"/>
      <c r="AB1065" s="23"/>
      <c r="AD1065" s="2"/>
      <c r="AG1065" s="23"/>
      <c r="AI1065" s="26"/>
      <c r="AJ1065" s="23"/>
      <c r="AM1065" s="23"/>
      <c r="AO1065" s="32"/>
      <c r="AP1065" s="26"/>
      <c r="AR1065" s="26"/>
      <c r="AS1065" s="27"/>
      <c r="AT1065" s="27"/>
      <c r="AU1065" s="31"/>
      <c r="AV1065" s="24"/>
      <c r="AW1065"/>
      <c r="AX1065"/>
      <c r="AY1065"/>
      <c r="AZ1065"/>
      <c r="BA1065"/>
      <c r="BB1065"/>
      <c r="BC1065"/>
      <c r="BD1065"/>
      <c r="BE1065"/>
      <c r="BF1065"/>
      <c r="BG1065"/>
    </row>
    <row r="1066" spans="2:59" x14ac:dyDescent="0.25">
      <c r="B1066" s="22"/>
      <c r="C1066" s="23"/>
      <c r="E1066" s="23"/>
      <c r="F1066" s="24"/>
      <c r="G1066" s="2"/>
      <c r="H1066" s="10" t="e">
        <f>_xlfn.XLOOKUP(F1066,Viloyatlar24[RegionName],Viloyatlar24[RegionId])</f>
        <v>#N/A</v>
      </c>
      <c r="I1066" s="10" t="e">
        <f>_xlfn.XLOOKUP('Кўчмас мулк объектлари'!G1066,Tumanlar23[DistrictName],Tumanlar23[DistrictId])</f>
        <v>#N/A</v>
      </c>
      <c r="K1066" s="24"/>
      <c r="L1066" s="10" t="e">
        <f>_xlfn.XLOOKUP(K1066,Ташкилотлар39[Ташкилотлар],Ташкилотлар39[TashklilotID])</f>
        <v>#N/A</v>
      </c>
      <c r="M1066" s="26"/>
      <c r="N1066" s="26"/>
      <c r="O1066" s="24"/>
      <c r="P1066" s="2"/>
      <c r="Q1066" s="26"/>
      <c r="R1066" s="26"/>
      <c r="S1066" s="26"/>
      <c r="T1066" s="26"/>
      <c r="U1066" s="24"/>
      <c r="V1066" s="10" t="e">
        <f>_xlfn.XLOOKUP(U1066,Таклифлар37[Таклифлар],Таклифлар37[TaklifID])</f>
        <v>#N/A</v>
      </c>
      <c r="W1066" s="24"/>
      <c r="X1066" s="23"/>
      <c r="Y1066" s="7"/>
      <c r="Z1066" s="26"/>
      <c r="AB1066" s="23"/>
      <c r="AD1066" s="2"/>
      <c r="AG1066" s="23"/>
      <c r="AI1066" s="26"/>
      <c r="AJ1066" s="23"/>
      <c r="AM1066" s="23"/>
      <c r="AO1066" s="32"/>
      <c r="AP1066" s="26"/>
      <c r="AR1066" s="26"/>
      <c r="AS1066" s="27"/>
      <c r="AT1066" s="27"/>
      <c r="AU1066" s="31"/>
      <c r="AV1066" s="24"/>
      <c r="AW1066"/>
      <c r="AX1066"/>
      <c r="AY1066"/>
      <c r="AZ1066"/>
      <c r="BA1066"/>
      <c r="BB1066"/>
      <c r="BC1066"/>
      <c r="BD1066"/>
      <c r="BE1066"/>
      <c r="BF1066"/>
      <c r="BG1066"/>
    </row>
    <row r="1067" spans="2:59" x14ac:dyDescent="0.25">
      <c r="B1067" s="22"/>
      <c r="C1067" s="23"/>
      <c r="E1067" s="23"/>
      <c r="F1067" s="24"/>
      <c r="G1067" s="2"/>
      <c r="H1067" s="10" t="e">
        <f>_xlfn.XLOOKUP(F1067,Viloyatlar24[RegionName],Viloyatlar24[RegionId])</f>
        <v>#N/A</v>
      </c>
      <c r="I1067" s="10" t="e">
        <f>_xlfn.XLOOKUP('Кўчмас мулк объектлари'!G1067,Tumanlar23[DistrictName],Tumanlar23[DistrictId])</f>
        <v>#N/A</v>
      </c>
      <c r="K1067" s="24"/>
      <c r="L1067" s="10" t="e">
        <f>_xlfn.XLOOKUP(K1067,Ташкилотлар39[Ташкилотлар],Ташкилотлар39[TashklilotID])</f>
        <v>#N/A</v>
      </c>
      <c r="M1067" s="26"/>
      <c r="N1067" s="26"/>
      <c r="O1067" s="24"/>
      <c r="P1067" s="2"/>
      <c r="Q1067" s="26"/>
      <c r="R1067" s="26"/>
      <c r="S1067" s="26"/>
      <c r="T1067" s="26"/>
      <c r="U1067" s="24"/>
      <c r="V1067" s="10" t="e">
        <f>_xlfn.XLOOKUP(U1067,Таклифлар37[Таклифлар],Таклифлар37[TaklifID])</f>
        <v>#N/A</v>
      </c>
      <c r="W1067" s="24"/>
      <c r="X1067" s="23"/>
      <c r="Y1067" s="7"/>
      <c r="Z1067" s="26"/>
      <c r="AB1067" s="23"/>
      <c r="AD1067" s="2"/>
      <c r="AG1067" s="23"/>
      <c r="AI1067" s="26"/>
      <c r="AJ1067" s="23"/>
      <c r="AM1067" s="23"/>
      <c r="AO1067" s="32"/>
      <c r="AP1067" s="26"/>
      <c r="AR1067" s="26"/>
      <c r="AS1067" s="27"/>
      <c r="AT1067" s="27"/>
      <c r="AU1067" s="31"/>
      <c r="AV1067" s="24"/>
      <c r="AW1067"/>
      <c r="AX1067"/>
      <c r="AY1067"/>
      <c r="AZ1067"/>
      <c r="BA1067"/>
      <c r="BB1067"/>
      <c r="BC1067"/>
      <c r="BD1067"/>
      <c r="BE1067"/>
      <c r="BF1067"/>
      <c r="BG1067"/>
    </row>
    <row r="1068" spans="2:59" x14ac:dyDescent="0.25">
      <c r="B1068" s="22"/>
      <c r="C1068" s="23"/>
      <c r="E1068" s="23"/>
      <c r="F1068" s="24"/>
      <c r="G1068" s="2"/>
      <c r="H1068" s="10" t="e">
        <f>_xlfn.XLOOKUP(F1068,Viloyatlar24[RegionName],Viloyatlar24[RegionId])</f>
        <v>#N/A</v>
      </c>
      <c r="I1068" s="10" t="e">
        <f>_xlfn.XLOOKUP('Кўчмас мулк объектлари'!G1068,Tumanlar23[DistrictName],Tumanlar23[DistrictId])</f>
        <v>#N/A</v>
      </c>
      <c r="K1068" s="24"/>
      <c r="L1068" s="10" t="e">
        <f>_xlfn.XLOOKUP(K1068,Ташкилотлар39[Ташкилотлар],Ташкилотлар39[TashklilotID])</f>
        <v>#N/A</v>
      </c>
      <c r="M1068" s="26"/>
      <c r="N1068" s="26"/>
      <c r="O1068" s="24"/>
      <c r="P1068" s="2"/>
      <c r="Q1068" s="26"/>
      <c r="R1068" s="26"/>
      <c r="S1068" s="26"/>
      <c r="T1068" s="26"/>
      <c r="U1068" s="24"/>
      <c r="V1068" s="10" t="e">
        <f>_xlfn.XLOOKUP(U1068,Таклифлар37[Таклифлар],Таклифлар37[TaklifID])</f>
        <v>#N/A</v>
      </c>
      <c r="W1068" s="24"/>
      <c r="X1068" s="23"/>
      <c r="Y1068" s="7"/>
      <c r="Z1068" s="26"/>
      <c r="AB1068" s="23"/>
      <c r="AD1068" s="2"/>
      <c r="AG1068" s="23"/>
      <c r="AI1068" s="26"/>
      <c r="AJ1068" s="23"/>
      <c r="AM1068" s="23"/>
      <c r="AO1068" s="32"/>
      <c r="AP1068" s="26"/>
      <c r="AR1068" s="26"/>
      <c r="AS1068" s="27"/>
      <c r="AT1068" s="27"/>
      <c r="AU1068" s="31"/>
      <c r="AV1068" s="24"/>
      <c r="AW1068"/>
      <c r="AX1068"/>
      <c r="AY1068"/>
      <c r="AZ1068"/>
      <c r="BA1068"/>
      <c r="BB1068"/>
      <c r="BC1068"/>
      <c r="BD1068"/>
      <c r="BE1068"/>
      <c r="BF1068"/>
      <c r="BG1068"/>
    </row>
    <row r="1069" spans="2:59" x14ac:dyDescent="0.25">
      <c r="B1069" s="22"/>
      <c r="C1069" s="23"/>
      <c r="E1069" s="23"/>
      <c r="F1069" s="24"/>
      <c r="G1069" s="2"/>
      <c r="H1069" s="10" t="e">
        <f>_xlfn.XLOOKUP(F1069,Viloyatlar24[RegionName],Viloyatlar24[RegionId])</f>
        <v>#N/A</v>
      </c>
      <c r="I1069" s="10" t="e">
        <f>_xlfn.XLOOKUP('Кўчмас мулк объектлари'!G1069,Tumanlar23[DistrictName],Tumanlar23[DistrictId])</f>
        <v>#N/A</v>
      </c>
      <c r="K1069" s="24"/>
      <c r="L1069" s="10" t="e">
        <f>_xlfn.XLOOKUP(K1069,Ташкилотлар39[Ташкилотлар],Ташкилотлар39[TashklilotID])</f>
        <v>#N/A</v>
      </c>
      <c r="M1069" s="26"/>
      <c r="N1069" s="26"/>
      <c r="O1069" s="24"/>
      <c r="P1069" s="2"/>
      <c r="Q1069" s="26"/>
      <c r="R1069" s="26"/>
      <c r="S1069" s="26"/>
      <c r="T1069" s="26"/>
      <c r="U1069" s="24"/>
      <c r="V1069" s="10" t="e">
        <f>_xlfn.XLOOKUP(U1069,Таклифлар37[Таклифлар],Таклифлар37[TaklifID])</f>
        <v>#N/A</v>
      </c>
      <c r="W1069" s="24"/>
      <c r="X1069" s="23"/>
      <c r="Y1069" s="7"/>
      <c r="Z1069" s="26"/>
      <c r="AB1069" s="23"/>
      <c r="AD1069" s="2"/>
      <c r="AG1069" s="23"/>
      <c r="AI1069" s="26"/>
      <c r="AJ1069" s="23"/>
      <c r="AM1069" s="23"/>
      <c r="AO1069" s="32"/>
      <c r="AP1069" s="26"/>
      <c r="AR1069" s="26"/>
      <c r="AS1069" s="27"/>
      <c r="AT1069" s="27"/>
      <c r="AU1069" s="31"/>
      <c r="AV1069" s="24"/>
      <c r="AW1069"/>
      <c r="AX1069"/>
      <c r="AY1069"/>
      <c r="AZ1069"/>
      <c r="BA1069"/>
      <c r="BB1069"/>
      <c r="BC1069"/>
      <c r="BD1069"/>
      <c r="BE1069"/>
      <c r="BF1069"/>
      <c r="BG1069"/>
    </row>
    <row r="1070" spans="2:59" x14ac:dyDescent="0.25">
      <c r="B1070" s="22"/>
      <c r="C1070" s="23"/>
      <c r="E1070" s="23"/>
      <c r="F1070" s="24"/>
      <c r="G1070" s="2"/>
      <c r="H1070" s="10" t="e">
        <f>_xlfn.XLOOKUP(F1070,Viloyatlar24[RegionName],Viloyatlar24[RegionId])</f>
        <v>#N/A</v>
      </c>
      <c r="I1070" s="10" t="e">
        <f>_xlfn.XLOOKUP('Кўчмас мулк объектлари'!G1070,Tumanlar23[DistrictName],Tumanlar23[DistrictId])</f>
        <v>#N/A</v>
      </c>
      <c r="K1070" s="24"/>
      <c r="L1070" s="10" t="e">
        <f>_xlfn.XLOOKUP(K1070,Ташкилотлар39[Ташкилотлар],Ташкилотлар39[TashklilotID])</f>
        <v>#N/A</v>
      </c>
      <c r="M1070" s="26"/>
      <c r="N1070" s="26"/>
      <c r="O1070" s="24"/>
      <c r="P1070" s="2"/>
      <c r="Q1070" s="26"/>
      <c r="R1070" s="26"/>
      <c r="S1070" s="26"/>
      <c r="T1070" s="26"/>
      <c r="U1070" s="24"/>
      <c r="V1070" s="10" t="e">
        <f>_xlfn.XLOOKUP(U1070,Таклифлар37[Таклифлар],Таклифлар37[TaklifID])</f>
        <v>#N/A</v>
      </c>
      <c r="W1070" s="24"/>
      <c r="X1070" s="23"/>
      <c r="Y1070" s="7"/>
      <c r="Z1070" s="26"/>
      <c r="AB1070" s="23"/>
      <c r="AD1070" s="2"/>
      <c r="AG1070" s="23"/>
      <c r="AI1070" s="26"/>
      <c r="AJ1070" s="23"/>
      <c r="AM1070" s="23"/>
      <c r="AO1070" s="32"/>
      <c r="AP1070" s="26"/>
      <c r="AR1070" s="26"/>
      <c r="AS1070" s="27"/>
      <c r="AT1070" s="27"/>
      <c r="AU1070" s="31"/>
      <c r="AV1070" s="24"/>
      <c r="AW1070"/>
      <c r="AX1070"/>
      <c r="AY1070"/>
      <c r="AZ1070"/>
      <c r="BA1070"/>
      <c r="BB1070"/>
      <c r="BC1070"/>
      <c r="BD1070"/>
      <c r="BE1070"/>
      <c r="BF1070"/>
      <c r="BG1070"/>
    </row>
    <row r="1071" spans="2:59" x14ac:dyDescent="0.25">
      <c r="B1071" s="22"/>
      <c r="C1071" s="23"/>
      <c r="E1071" s="23"/>
      <c r="F1071" s="24"/>
      <c r="G1071" s="2"/>
      <c r="H1071" s="10" t="e">
        <f>_xlfn.XLOOKUP(F1071,Viloyatlar24[RegionName],Viloyatlar24[RegionId])</f>
        <v>#N/A</v>
      </c>
      <c r="I1071" s="10" t="e">
        <f>_xlfn.XLOOKUP('Кўчмас мулк объектлари'!G1071,Tumanlar23[DistrictName],Tumanlar23[DistrictId])</f>
        <v>#N/A</v>
      </c>
      <c r="K1071" s="24"/>
      <c r="L1071" s="10" t="e">
        <f>_xlfn.XLOOKUP(K1071,Ташкилотлар39[Ташкилотлар],Ташкилотлар39[TashklilotID])</f>
        <v>#N/A</v>
      </c>
      <c r="M1071" s="26"/>
      <c r="N1071" s="26"/>
      <c r="O1071" s="24"/>
      <c r="P1071" s="2"/>
      <c r="Q1071" s="26"/>
      <c r="R1071" s="26"/>
      <c r="S1071" s="26"/>
      <c r="T1071" s="26"/>
      <c r="U1071" s="24"/>
      <c r="V1071" s="10" t="e">
        <f>_xlfn.XLOOKUP(U1071,Таклифлар37[Таклифлар],Таклифлар37[TaklifID])</f>
        <v>#N/A</v>
      </c>
      <c r="W1071" s="24"/>
      <c r="X1071" s="23"/>
      <c r="Y1071" s="7"/>
      <c r="Z1071" s="26"/>
      <c r="AB1071" s="23"/>
      <c r="AD1071" s="2"/>
      <c r="AG1071" s="23"/>
      <c r="AI1071" s="26"/>
      <c r="AJ1071" s="23"/>
      <c r="AM1071" s="23"/>
      <c r="AO1071" s="32"/>
      <c r="AP1071" s="26"/>
      <c r="AR1071" s="26"/>
      <c r="AS1071" s="27"/>
      <c r="AT1071" s="27"/>
      <c r="AU1071" s="31"/>
      <c r="AV1071" s="24"/>
      <c r="AW1071"/>
      <c r="AX1071"/>
      <c r="AY1071"/>
      <c r="AZ1071"/>
      <c r="BA1071"/>
      <c r="BB1071"/>
      <c r="BC1071"/>
      <c r="BD1071"/>
      <c r="BE1071"/>
      <c r="BF1071"/>
      <c r="BG1071"/>
    </row>
    <row r="1072" spans="2:59" x14ac:dyDescent="0.25">
      <c r="B1072" s="22"/>
      <c r="C1072" s="23"/>
      <c r="E1072" s="23"/>
      <c r="F1072" s="24"/>
      <c r="G1072" s="2"/>
      <c r="H1072" s="10" t="e">
        <f>_xlfn.XLOOKUP(F1072,Viloyatlar24[RegionName],Viloyatlar24[RegionId])</f>
        <v>#N/A</v>
      </c>
      <c r="I1072" s="10" t="e">
        <f>_xlfn.XLOOKUP('Кўчмас мулк объектлари'!G1072,Tumanlar23[DistrictName],Tumanlar23[DistrictId])</f>
        <v>#N/A</v>
      </c>
      <c r="K1072" s="24"/>
      <c r="L1072" s="10" t="e">
        <f>_xlfn.XLOOKUP(K1072,Ташкилотлар39[Ташкилотлар],Ташкилотлар39[TashklilotID])</f>
        <v>#N/A</v>
      </c>
      <c r="M1072" s="26"/>
      <c r="N1072" s="26"/>
      <c r="O1072" s="24"/>
      <c r="P1072" s="2"/>
      <c r="Q1072" s="26"/>
      <c r="R1072" s="26"/>
      <c r="S1072" s="26"/>
      <c r="T1072" s="26"/>
      <c r="U1072" s="24"/>
      <c r="V1072" s="10" t="e">
        <f>_xlfn.XLOOKUP(U1072,Таклифлар37[Таклифлар],Таклифлар37[TaklifID])</f>
        <v>#N/A</v>
      </c>
      <c r="W1072" s="24"/>
      <c r="X1072" s="23"/>
      <c r="Y1072" s="7"/>
      <c r="Z1072" s="26"/>
      <c r="AB1072" s="23"/>
      <c r="AD1072" s="2"/>
      <c r="AG1072" s="23"/>
      <c r="AI1072" s="26"/>
      <c r="AJ1072" s="23"/>
      <c r="AM1072" s="23"/>
      <c r="AO1072" s="32"/>
      <c r="AP1072" s="26"/>
      <c r="AR1072" s="26"/>
      <c r="AS1072" s="27"/>
      <c r="AT1072" s="27"/>
      <c r="AU1072" s="31"/>
      <c r="AV1072" s="24"/>
      <c r="AW1072"/>
      <c r="AX1072"/>
      <c r="AY1072"/>
      <c r="AZ1072"/>
      <c r="BA1072"/>
      <c r="BB1072"/>
      <c r="BC1072"/>
      <c r="BD1072"/>
      <c r="BE1072"/>
      <c r="BF1072"/>
      <c r="BG1072"/>
    </row>
    <row r="1073" spans="2:59" x14ac:dyDescent="0.25">
      <c r="B1073" s="22"/>
      <c r="C1073" s="23"/>
      <c r="E1073" s="23"/>
      <c r="F1073" s="24"/>
      <c r="G1073" s="2"/>
      <c r="H1073" s="10" t="e">
        <f>_xlfn.XLOOKUP(F1073,Viloyatlar24[RegionName],Viloyatlar24[RegionId])</f>
        <v>#N/A</v>
      </c>
      <c r="I1073" s="10" t="e">
        <f>_xlfn.XLOOKUP('Кўчмас мулк объектлари'!G1073,Tumanlar23[DistrictName],Tumanlar23[DistrictId])</f>
        <v>#N/A</v>
      </c>
      <c r="K1073" s="24"/>
      <c r="L1073" s="10" t="e">
        <f>_xlfn.XLOOKUP(K1073,Ташкилотлар39[Ташкилотлар],Ташкилотлар39[TashklilotID])</f>
        <v>#N/A</v>
      </c>
      <c r="M1073" s="26"/>
      <c r="N1073" s="26"/>
      <c r="O1073" s="24"/>
      <c r="P1073" s="2"/>
      <c r="Q1073" s="26"/>
      <c r="R1073" s="26"/>
      <c r="S1073" s="26"/>
      <c r="T1073" s="26"/>
      <c r="U1073" s="24"/>
      <c r="V1073" s="10" t="e">
        <f>_xlfn.XLOOKUP(U1073,Таклифлар37[Таклифлар],Таклифлар37[TaklifID])</f>
        <v>#N/A</v>
      </c>
      <c r="W1073" s="24"/>
      <c r="X1073" s="23"/>
      <c r="Y1073" s="7"/>
      <c r="Z1073" s="26"/>
      <c r="AB1073" s="23"/>
      <c r="AD1073" s="2"/>
      <c r="AG1073" s="23"/>
      <c r="AI1073" s="26"/>
      <c r="AJ1073" s="23"/>
      <c r="AM1073" s="23"/>
      <c r="AO1073" s="32"/>
      <c r="AP1073" s="26"/>
      <c r="AR1073" s="26"/>
      <c r="AS1073" s="27"/>
      <c r="AT1073" s="27"/>
      <c r="AU1073" s="31"/>
      <c r="AV1073" s="24"/>
      <c r="AW1073"/>
      <c r="AX1073"/>
      <c r="AY1073"/>
      <c r="AZ1073"/>
      <c r="BA1073"/>
      <c r="BB1073"/>
      <c r="BC1073"/>
      <c r="BD1073"/>
      <c r="BE1073"/>
      <c r="BF1073"/>
      <c r="BG1073"/>
    </row>
    <row r="1074" spans="2:59" x14ac:dyDescent="0.25">
      <c r="B1074" s="22"/>
      <c r="C1074" s="23"/>
      <c r="E1074" s="23"/>
      <c r="F1074" s="24"/>
      <c r="G1074" s="2"/>
      <c r="H1074" s="10" t="e">
        <f>_xlfn.XLOOKUP(F1074,Viloyatlar24[RegionName],Viloyatlar24[RegionId])</f>
        <v>#N/A</v>
      </c>
      <c r="I1074" s="10" t="e">
        <f>_xlfn.XLOOKUP('Кўчмас мулк объектлари'!G1074,Tumanlar23[DistrictName],Tumanlar23[DistrictId])</f>
        <v>#N/A</v>
      </c>
      <c r="K1074" s="24"/>
      <c r="L1074" s="10" t="e">
        <f>_xlfn.XLOOKUP(K1074,Ташкилотлар39[Ташкилотлар],Ташкилотлар39[TashklilotID])</f>
        <v>#N/A</v>
      </c>
      <c r="M1074" s="26"/>
      <c r="N1074" s="26"/>
      <c r="O1074" s="24"/>
      <c r="P1074" s="2"/>
      <c r="Q1074" s="26"/>
      <c r="R1074" s="26"/>
      <c r="S1074" s="26"/>
      <c r="T1074" s="26"/>
      <c r="U1074" s="24"/>
      <c r="V1074" s="10" t="e">
        <f>_xlfn.XLOOKUP(U1074,Таклифлар37[Таклифлар],Таклифлар37[TaklifID])</f>
        <v>#N/A</v>
      </c>
      <c r="W1074" s="24"/>
      <c r="X1074" s="23"/>
      <c r="Y1074" s="7"/>
      <c r="Z1074" s="26"/>
      <c r="AB1074" s="23"/>
      <c r="AD1074" s="2"/>
      <c r="AG1074" s="23"/>
      <c r="AI1074" s="26"/>
      <c r="AJ1074" s="23"/>
      <c r="AM1074" s="23"/>
      <c r="AO1074" s="32"/>
      <c r="AP1074" s="26"/>
      <c r="AR1074" s="26"/>
      <c r="AS1074" s="27"/>
      <c r="AT1074" s="27"/>
      <c r="AU1074" s="31"/>
      <c r="AV1074" s="24"/>
      <c r="AW1074"/>
      <c r="AX1074"/>
      <c r="AY1074"/>
      <c r="AZ1074"/>
      <c r="BA1074"/>
      <c r="BB1074"/>
      <c r="BC1074"/>
      <c r="BD1074"/>
      <c r="BE1074"/>
      <c r="BF1074"/>
      <c r="BG1074"/>
    </row>
    <row r="1075" spans="2:59" x14ac:dyDescent="0.25">
      <c r="B1075" s="22"/>
      <c r="C1075" s="23"/>
      <c r="E1075" s="23"/>
      <c r="F1075" s="24"/>
      <c r="G1075" s="2"/>
      <c r="H1075" s="10" t="e">
        <f>_xlfn.XLOOKUP(F1075,Viloyatlar24[RegionName],Viloyatlar24[RegionId])</f>
        <v>#N/A</v>
      </c>
      <c r="I1075" s="10" t="e">
        <f>_xlfn.XLOOKUP('Кўчмас мулк объектлари'!G1075,Tumanlar23[DistrictName],Tumanlar23[DistrictId])</f>
        <v>#N/A</v>
      </c>
      <c r="K1075" s="24"/>
      <c r="L1075" s="10" t="e">
        <f>_xlfn.XLOOKUP(K1075,Ташкилотлар39[Ташкилотлар],Ташкилотлар39[TashklilotID])</f>
        <v>#N/A</v>
      </c>
      <c r="M1075" s="26"/>
      <c r="N1075" s="26"/>
      <c r="O1075" s="24"/>
      <c r="P1075" s="2"/>
      <c r="Q1075" s="26"/>
      <c r="R1075" s="26"/>
      <c r="S1075" s="26"/>
      <c r="T1075" s="26"/>
      <c r="U1075" s="24"/>
      <c r="V1075" s="10" t="e">
        <f>_xlfn.XLOOKUP(U1075,Таклифлар37[Таклифлар],Таклифлар37[TaklifID])</f>
        <v>#N/A</v>
      </c>
      <c r="W1075" s="24"/>
      <c r="X1075" s="23"/>
      <c r="Y1075" s="7"/>
      <c r="Z1075" s="26"/>
      <c r="AB1075" s="23"/>
      <c r="AD1075" s="2"/>
      <c r="AG1075" s="23"/>
      <c r="AI1075" s="26"/>
      <c r="AJ1075" s="23"/>
      <c r="AM1075" s="23"/>
      <c r="AO1075" s="32"/>
      <c r="AP1075" s="26"/>
      <c r="AR1075" s="26"/>
      <c r="AS1075" s="27"/>
      <c r="AT1075" s="27"/>
      <c r="AU1075" s="31"/>
      <c r="AV1075" s="24"/>
      <c r="AW1075"/>
      <c r="AX1075"/>
      <c r="AY1075"/>
      <c r="AZ1075"/>
      <c r="BA1075"/>
      <c r="BB1075"/>
      <c r="BC1075"/>
      <c r="BD1075"/>
      <c r="BE1075"/>
      <c r="BF1075"/>
      <c r="BG1075"/>
    </row>
    <row r="1076" spans="2:59" x14ac:dyDescent="0.25">
      <c r="B1076" s="22"/>
      <c r="C1076" s="23"/>
      <c r="E1076" s="23"/>
      <c r="F1076" s="24"/>
      <c r="G1076" s="2"/>
      <c r="H1076" s="10" t="e">
        <f>_xlfn.XLOOKUP(F1076,Viloyatlar24[RegionName],Viloyatlar24[RegionId])</f>
        <v>#N/A</v>
      </c>
      <c r="I1076" s="10" t="e">
        <f>_xlfn.XLOOKUP('Кўчмас мулк объектлари'!G1076,Tumanlar23[DistrictName],Tumanlar23[DistrictId])</f>
        <v>#N/A</v>
      </c>
      <c r="K1076" s="24"/>
      <c r="L1076" s="10" t="e">
        <f>_xlfn.XLOOKUP(K1076,Ташкилотлар39[Ташкилотлар],Ташкилотлар39[TashklilotID])</f>
        <v>#N/A</v>
      </c>
      <c r="M1076" s="26"/>
      <c r="N1076" s="26"/>
      <c r="O1076" s="24"/>
      <c r="P1076" s="2"/>
      <c r="Q1076" s="26"/>
      <c r="R1076" s="26"/>
      <c r="S1076" s="26"/>
      <c r="T1076" s="26"/>
      <c r="U1076" s="24"/>
      <c r="V1076" s="10" t="e">
        <f>_xlfn.XLOOKUP(U1076,Таклифлар37[Таклифлар],Таклифлар37[TaklifID])</f>
        <v>#N/A</v>
      </c>
      <c r="W1076" s="24"/>
      <c r="X1076" s="23"/>
      <c r="Y1076" s="7"/>
      <c r="Z1076" s="26"/>
      <c r="AB1076" s="23"/>
      <c r="AD1076" s="2"/>
      <c r="AG1076" s="23"/>
      <c r="AI1076" s="26"/>
      <c r="AJ1076" s="23"/>
      <c r="AM1076" s="23"/>
      <c r="AO1076" s="32"/>
      <c r="AP1076" s="26"/>
      <c r="AR1076" s="26"/>
      <c r="AS1076" s="27"/>
      <c r="AT1076" s="27"/>
      <c r="AU1076" s="31"/>
      <c r="AV1076" s="24"/>
      <c r="AW1076"/>
      <c r="AX1076"/>
      <c r="AY1076"/>
      <c r="AZ1076"/>
      <c r="BA1076"/>
      <c r="BB1076"/>
      <c r="BC1076"/>
      <c r="BD1076"/>
      <c r="BE1076"/>
      <c r="BF1076"/>
      <c r="BG1076"/>
    </row>
    <row r="1077" spans="2:59" x14ac:dyDescent="0.25">
      <c r="B1077" s="22"/>
      <c r="C1077" s="23"/>
      <c r="E1077" s="23"/>
      <c r="F1077" s="24"/>
      <c r="G1077" s="2"/>
      <c r="H1077" s="10" t="e">
        <f>_xlfn.XLOOKUP(F1077,Viloyatlar24[RegionName],Viloyatlar24[RegionId])</f>
        <v>#N/A</v>
      </c>
      <c r="I1077" s="10" t="e">
        <f>_xlfn.XLOOKUP('Кўчмас мулк объектлари'!G1077,Tumanlar23[DistrictName],Tumanlar23[DistrictId])</f>
        <v>#N/A</v>
      </c>
      <c r="K1077" s="24"/>
      <c r="L1077" s="10" t="e">
        <f>_xlfn.XLOOKUP(K1077,Ташкилотлар39[Ташкилотлар],Ташкилотлар39[TashklilotID])</f>
        <v>#N/A</v>
      </c>
      <c r="M1077" s="26"/>
      <c r="N1077" s="26"/>
      <c r="O1077" s="24"/>
      <c r="P1077" s="2"/>
      <c r="Q1077" s="26"/>
      <c r="R1077" s="26"/>
      <c r="S1077" s="26"/>
      <c r="T1077" s="26"/>
      <c r="U1077" s="24"/>
      <c r="V1077" s="10" t="e">
        <f>_xlfn.XLOOKUP(U1077,Таклифлар37[Таклифлар],Таклифлар37[TaklifID])</f>
        <v>#N/A</v>
      </c>
      <c r="W1077" s="24"/>
      <c r="X1077" s="23"/>
      <c r="Y1077" s="7"/>
      <c r="Z1077" s="26"/>
      <c r="AB1077" s="23"/>
      <c r="AD1077" s="2"/>
      <c r="AG1077" s="23"/>
      <c r="AI1077" s="26"/>
      <c r="AJ1077" s="23"/>
      <c r="AM1077" s="23"/>
      <c r="AO1077" s="32"/>
      <c r="AP1077" s="26"/>
      <c r="AR1077" s="26"/>
      <c r="AS1077" s="27"/>
      <c r="AT1077" s="27"/>
      <c r="AU1077" s="31"/>
      <c r="AV1077" s="24"/>
      <c r="AW1077"/>
      <c r="AX1077"/>
      <c r="AY1077"/>
      <c r="AZ1077"/>
      <c r="BA1077"/>
      <c r="BB1077"/>
      <c r="BC1077"/>
      <c r="BD1077"/>
      <c r="BE1077"/>
      <c r="BF1077"/>
      <c r="BG1077"/>
    </row>
    <row r="1078" spans="2:59" x14ac:dyDescent="0.25">
      <c r="B1078" s="22"/>
      <c r="C1078" s="23"/>
      <c r="E1078" s="23"/>
      <c r="F1078" s="24"/>
      <c r="G1078" s="2"/>
      <c r="H1078" s="10" t="e">
        <f>_xlfn.XLOOKUP(F1078,Viloyatlar24[RegionName],Viloyatlar24[RegionId])</f>
        <v>#N/A</v>
      </c>
      <c r="I1078" s="10" t="e">
        <f>_xlfn.XLOOKUP('Кўчмас мулк объектлари'!G1078,Tumanlar23[DistrictName],Tumanlar23[DistrictId])</f>
        <v>#N/A</v>
      </c>
      <c r="K1078" s="24"/>
      <c r="L1078" s="10" t="e">
        <f>_xlfn.XLOOKUP(K1078,Ташкилотлар39[Ташкилотлар],Ташкилотлар39[TashklilotID])</f>
        <v>#N/A</v>
      </c>
      <c r="M1078" s="26"/>
      <c r="N1078" s="26"/>
      <c r="O1078" s="24"/>
      <c r="P1078" s="2"/>
      <c r="Q1078" s="26"/>
      <c r="R1078" s="26"/>
      <c r="S1078" s="26"/>
      <c r="T1078" s="26"/>
      <c r="U1078" s="24"/>
      <c r="V1078" s="10" t="e">
        <f>_xlfn.XLOOKUP(U1078,Таклифлар37[Таклифлар],Таклифлар37[TaklifID])</f>
        <v>#N/A</v>
      </c>
      <c r="W1078" s="24"/>
      <c r="X1078" s="23"/>
      <c r="Y1078" s="7"/>
      <c r="Z1078" s="26"/>
      <c r="AB1078" s="23"/>
      <c r="AD1078" s="2"/>
      <c r="AG1078" s="23"/>
      <c r="AI1078" s="26"/>
      <c r="AJ1078" s="23"/>
      <c r="AM1078" s="23"/>
      <c r="AO1078" s="32"/>
      <c r="AP1078" s="26"/>
      <c r="AR1078" s="26"/>
      <c r="AS1078" s="27"/>
      <c r="AT1078" s="27"/>
      <c r="AU1078" s="31"/>
      <c r="AV1078" s="24"/>
      <c r="AW1078"/>
      <c r="AX1078"/>
      <c r="AY1078"/>
      <c r="AZ1078"/>
      <c r="BA1078"/>
      <c r="BB1078"/>
      <c r="BC1078"/>
      <c r="BD1078"/>
      <c r="BE1078"/>
      <c r="BF1078"/>
      <c r="BG1078"/>
    </row>
    <row r="1079" spans="2:59" x14ac:dyDescent="0.25">
      <c r="B1079" s="22"/>
      <c r="C1079" s="23"/>
      <c r="E1079" s="23"/>
      <c r="F1079" s="24"/>
      <c r="G1079" s="2"/>
      <c r="H1079" s="10" t="e">
        <f>_xlfn.XLOOKUP(F1079,Viloyatlar24[RegionName],Viloyatlar24[RegionId])</f>
        <v>#N/A</v>
      </c>
      <c r="I1079" s="10" t="e">
        <f>_xlfn.XLOOKUP('Кўчмас мулк объектлари'!G1079,Tumanlar23[DistrictName],Tumanlar23[DistrictId])</f>
        <v>#N/A</v>
      </c>
      <c r="K1079" s="24"/>
      <c r="L1079" s="10" t="e">
        <f>_xlfn.XLOOKUP(K1079,Ташкилотлар39[Ташкилотлар],Ташкилотлар39[TashklilotID])</f>
        <v>#N/A</v>
      </c>
      <c r="M1079" s="26"/>
      <c r="N1079" s="26"/>
      <c r="O1079" s="24"/>
      <c r="P1079" s="2"/>
      <c r="Q1079" s="26"/>
      <c r="R1079" s="26"/>
      <c r="S1079" s="26"/>
      <c r="T1079" s="26"/>
      <c r="U1079" s="24"/>
      <c r="V1079" s="10" t="e">
        <f>_xlfn.XLOOKUP(U1079,Таклифлар37[Таклифлар],Таклифлар37[TaklifID])</f>
        <v>#N/A</v>
      </c>
      <c r="W1079" s="24"/>
      <c r="X1079" s="23"/>
      <c r="Y1079" s="7"/>
      <c r="Z1079" s="26"/>
      <c r="AB1079" s="23"/>
      <c r="AD1079" s="2"/>
      <c r="AG1079" s="23"/>
      <c r="AI1079" s="26"/>
      <c r="AJ1079" s="23"/>
      <c r="AM1079" s="23"/>
      <c r="AO1079" s="32"/>
      <c r="AP1079" s="26"/>
      <c r="AR1079" s="26"/>
      <c r="AS1079" s="27"/>
      <c r="AT1079" s="27"/>
      <c r="AU1079" s="31"/>
      <c r="AV1079" s="24"/>
      <c r="AW1079"/>
      <c r="AX1079"/>
      <c r="AY1079"/>
      <c r="AZ1079"/>
      <c r="BA1079"/>
      <c r="BB1079"/>
      <c r="BC1079"/>
      <c r="BD1079"/>
      <c r="BE1079"/>
      <c r="BF1079"/>
      <c r="BG1079"/>
    </row>
    <row r="1080" spans="2:59" x14ac:dyDescent="0.25">
      <c r="B1080" s="22"/>
      <c r="C1080" s="23"/>
      <c r="E1080" s="23"/>
      <c r="F1080" s="24"/>
      <c r="G1080" s="2"/>
      <c r="H1080" s="10" t="e">
        <f>_xlfn.XLOOKUP(F1080,Viloyatlar24[RegionName],Viloyatlar24[RegionId])</f>
        <v>#N/A</v>
      </c>
      <c r="I1080" s="10" t="e">
        <f>_xlfn.XLOOKUP('Кўчмас мулк объектлари'!G1080,Tumanlar23[DistrictName],Tumanlar23[DistrictId])</f>
        <v>#N/A</v>
      </c>
      <c r="K1080" s="24"/>
      <c r="L1080" s="10" t="e">
        <f>_xlfn.XLOOKUP(K1080,Ташкилотлар39[Ташкилотлар],Ташкилотлар39[TashklilotID])</f>
        <v>#N/A</v>
      </c>
      <c r="M1080" s="26"/>
      <c r="N1080" s="26"/>
      <c r="O1080" s="24"/>
      <c r="P1080" s="2"/>
      <c r="Q1080" s="26"/>
      <c r="R1080" s="26"/>
      <c r="S1080" s="26"/>
      <c r="T1080" s="26"/>
      <c r="U1080" s="24"/>
      <c r="V1080" s="10" t="e">
        <f>_xlfn.XLOOKUP(U1080,Таклифлар37[Таклифлар],Таклифлар37[TaklifID])</f>
        <v>#N/A</v>
      </c>
      <c r="W1080" s="24"/>
      <c r="X1080" s="23"/>
      <c r="Y1080" s="7"/>
      <c r="Z1080" s="26"/>
      <c r="AB1080" s="23"/>
      <c r="AD1080" s="2"/>
      <c r="AG1080" s="23"/>
      <c r="AI1080" s="26"/>
      <c r="AJ1080" s="23"/>
      <c r="AM1080" s="23"/>
      <c r="AO1080" s="32"/>
      <c r="AP1080" s="26"/>
      <c r="AR1080" s="26"/>
      <c r="AS1080" s="27"/>
      <c r="AT1080" s="27"/>
      <c r="AU1080" s="31"/>
      <c r="AV1080" s="24"/>
      <c r="AW1080"/>
      <c r="AX1080"/>
      <c r="AY1080"/>
      <c r="AZ1080"/>
      <c r="BA1080"/>
      <c r="BB1080"/>
      <c r="BC1080"/>
      <c r="BD1080"/>
      <c r="BE1080"/>
      <c r="BF1080"/>
      <c r="BG1080"/>
    </row>
    <row r="1081" spans="2:59" x14ac:dyDescent="0.25">
      <c r="B1081" s="22"/>
      <c r="C1081" s="23"/>
      <c r="E1081" s="23"/>
      <c r="F1081" s="24"/>
      <c r="G1081" s="2"/>
      <c r="H1081" s="10" t="e">
        <f>_xlfn.XLOOKUP(F1081,Viloyatlar24[RegionName],Viloyatlar24[RegionId])</f>
        <v>#N/A</v>
      </c>
      <c r="I1081" s="10" t="e">
        <f>_xlfn.XLOOKUP('Кўчмас мулк объектлари'!G1081,Tumanlar23[DistrictName],Tumanlar23[DistrictId])</f>
        <v>#N/A</v>
      </c>
      <c r="K1081" s="24"/>
      <c r="L1081" s="10" t="e">
        <f>_xlfn.XLOOKUP(K1081,Ташкилотлар39[Ташкилотлар],Ташкилотлар39[TashklilotID])</f>
        <v>#N/A</v>
      </c>
      <c r="M1081" s="26"/>
      <c r="N1081" s="26"/>
      <c r="O1081" s="24"/>
      <c r="P1081" s="2"/>
      <c r="Q1081" s="26"/>
      <c r="R1081" s="26"/>
      <c r="S1081" s="26"/>
      <c r="T1081" s="26"/>
      <c r="U1081" s="24"/>
      <c r="V1081" s="10" t="e">
        <f>_xlfn.XLOOKUP(U1081,Таклифлар37[Таклифлар],Таклифлар37[TaklifID])</f>
        <v>#N/A</v>
      </c>
      <c r="W1081" s="24"/>
      <c r="X1081" s="23"/>
      <c r="Y1081" s="7"/>
      <c r="Z1081" s="26"/>
      <c r="AB1081" s="23"/>
      <c r="AD1081" s="2"/>
      <c r="AG1081" s="23"/>
      <c r="AI1081" s="26"/>
      <c r="AJ1081" s="23"/>
      <c r="AM1081" s="23"/>
      <c r="AO1081" s="32"/>
      <c r="AP1081" s="26"/>
      <c r="AR1081" s="26"/>
      <c r="AS1081" s="27"/>
      <c r="AT1081" s="27"/>
      <c r="AU1081" s="31"/>
      <c r="AV1081" s="24"/>
      <c r="AW1081"/>
      <c r="AX1081"/>
      <c r="AY1081"/>
      <c r="AZ1081"/>
      <c r="BA1081"/>
      <c r="BB1081"/>
      <c r="BC1081"/>
      <c r="BD1081"/>
      <c r="BE1081"/>
      <c r="BF1081"/>
      <c r="BG1081"/>
    </row>
    <row r="1082" spans="2:59" x14ac:dyDescent="0.25">
      <c r="B1082" s="22"/>
      <c r="C1082" s="23"/>
      <c r="E1082" s="23"/>
      <c r="F1082" s="24"/>
      <c r="G1082" s="2"/>
      <c r="H1082" s="10" t="e">
        <f>_xlfn.XLOOKUP(F1082,Viloyatlar24[RegionName],Viloyatlar24[RegionId])</f>
        <v>#N/A</v>
      </c>
      <c r="I1082" s="10" t="e">
        <f>_xlfn.XLOOKUP('Кўчмас мулк объектлари'!G1082,Tumanlar23[DistrictName],Tumanlar23[DistrictId])</f>
        <v>#N/A</v>
      </c>
      <c r="K1082" s="24"/>
      <c r="L1082" s="10" t="e">
        <f>_xlfn.XLOOKUP(K1082,Ташкилотлар39[Ташкилотлар],Ташкилотлар39[TashklilotID])</f>
        <v>#N/A</v>
      </c>
      <c r="M1082" s="26"/>
      <c r="N1082" s="26"/>
      <c r="O1082" s="24"/>
      <c r="P1082" s="2"/>
      <c r="Q1082" s="26"/>
      <c r="R1082" s="26"/>
      <c r="S1082" s="26"/>
      <c r="T1082" s="26"/>
      <c r="U1082" s="24"/>
      <c r="V1082" s="10" t="e">
        <f>_xlfn.XLOOKUP(U1082,Таклифлар37[Таклифлар],Таклифлар37[TaklifID])</f>
        <v>#N/A</v>
      </c>
      <c r="W1082" s="24"/>
      <c r="X1082" s="23"/>
      <c r="Y1082" s="7"/>
      <c r="Z1082" s="26"/>
      <c r="AB1082" s="23"/>
      <c r="AD1082" s="2"/>
      <c r="AG1082" s="23"/>
      <c r="AI1082" s="26"/>
      <c r="AJ1082" s="23"/>
      <c r="AM1082" s="23"/>
      <c r="AO1082" s="32"/>
      <c r="AP1082" s="26"/>
      <c r="AR1082" s="26"/>
      <c r="AS1082" s="27"/>
      <c r="AT1082" s="27"/>
      <c r="AU1082" s="31"/>
      <c r="AV1082" s="24"/>
      <c r="AW1082"/>
      <c r="AX1082"/>
      <c r="AY1082"/>
      <c r="AZ1082"/>
      <c r="BA1082"/>
      <c r="BB1082"/>
      <c r="BC1082"/>
      <c r="BD1082"/>
      <c r="BE1082"/>
      <c r="BF1082"/>
      <c r="BG1082"/>
    </row>
    <row r="1083" spans="2:59" x14ac:dyDescent="0.25">
      <c r="B1083" s="22"/>
      <c r="C1083" s="23"/>
      <c r="E1083" s="23"/>
      <c r="F1083" s="24"/>
      <c r="G1083" s="2"/>
      <c r="H1083" s="10" t="e">
        <f>_xlfn.XLOOKUP(F1083,Viloyatlar24[RegionName],Viloyatlar24[RegionId])</f>
        <v>#N/A</v>
      </c>
      <c r="I1083" s="10" t="e">
        <f>_xlfn.XLOOKUP('Кўчмас мулк объектлари'!G1083,Tumanlar23[DistrictName],Tumanlar23[DistrictId])</f>
        <v>#N/A</v>
      </c>
      <c r="K1083" s="24"/>
      <c r="L1083" s="10" t="e">
        <f>_xlfn.XLOOKUP(K1083,Ташкилотлар39[Ташкилотлар],Ташкилотлар39[TashklilotID])</f>
        <v>#N/A</v>
      </c>
      <c r="M1083" s="26"/>
      <c r="N1083" s="26"/>
      <c r="O1083" s="24"/>
      <c r="P1083" s="2"/>
      <c r="Q1083" s="26"/>
      <c r="R1083" s="26"/>
      <c r="S1083" s="26"/>
      <c r="T1083" s="26"/>
      <c r="U1083" s="24"/>
      <c r="V1083" s="10" t="e">
        <f>_xlfn.XLOOKUP(U1083,Таклифлар37[Таклифлар],Таклифлар37[TaklifID])</f>
        <v>#N/A</v>
      </c>
      <c r="W1083" s="24"/>
      <c r="X1083" s="23"/>
      <c r="Y1083" s="7"/>
      <c r="Z1083" s="26"/>
      <c r="AB1083" s="23"/>
      <c r="AD1083" s="2"/>
      <c r="AG1083" s="23"/>
      <c r="AI1083" s="26"/>
      <c r="AJ1083" s="23"/>
      <c r="AM1083" s="23"/>
      <c r="AO1083" s="32"/>
      <c r="AP1083" s="26"/>
      <c r="AR1083" s="26"/>
      <c r="AS1083" s="27"/>
      <c r="AT1083" s="27"/>
      <c r="AU1083" s="31"/>
      <c r="AV1083" s="24"/>
      <c r="AW1083"/>
      <c r="AX1083"/>
      <c r="AY1083"/>
      <c r="AZ1083"/>
      <c r="BA1083"/>
      <c r="BB1083"/>
      <c r="BC1083"/>
      <c r="BD1083"/>
      <c r="BE1083"/>
      <c r="BF1083"/>
      <c r="BG1083"/>
    </row>
    <row r="1084" spans="2:59" x14ac:dyDescent="0.25">
      <c r="B1084" s="22"/>
      <c r="C1084" s="23"/>
      <c r="E1084" s="23"/>
      <c r="F1084" s="24"/>
      <c r="G1084" s="2"/>
      <c r="H1084" s="10" t="e">
        <f>_xlfn.XLOOKUP(F1084,Viloyatlar24[RegionName],Viloyatlar24[RegionId])</f>
        <v>#N/A</v>
      </c>
      <c r="I1084" s="10" t="e">
        <f>_xlfn.XLOOKUP('Кўчмас мулк объектлари'!G1084,Tumanlar23[DistrictName],Tumanlar23[DistrictId])</f>
        <v>#N/A</v>
      </c>
      <c r="K1084" s="24"/>
      <c r="L1084" s="10" t="e">
        <f>_xlfn.XLOOKUP(K1084,Ташкилотлар39[Ташкилотлар],Ташкилотлар39[TashklilotID])</f>
        <v>#N/A</v>
      </c>
      <c r="M1084" s="26"/>
      <c r="N1084" s="26"/>
      <c r="O1084" s="24"/>
      <c r="P1084" s="2"/>
      <c r="Q1084" s="26"/>
      <c r="R1084" s="26"/>
      <c r="S1084" s="26"/>
      <c r="T1084" s="26"/>
      <c r="U1084" s="24"/>
      <c r="V1084" s="10" t="e">
        <f>_xlfn.XLOOKUP(U1084,Таклифлар37[Таклифлар],Таклифлар37[TaklifID])</f>
        <v>#N/A</v>
      </c>
      <c r="W1084" s="24"/>
      <c r="X1084" s="23"/>
      <c r="Y1084" s="7"/>
      <c r="Z1084" s="26"/>
      <c r="AB1084" s="23"/>
      <c r="AD1084" s="2"/>
      <c r="AG1084" s="23"/>
      <c r="AI1084" s="26"/>
      <c r="AJ1084" s="23"/>
      <c r="AM1084" s="23"/>
      <c r="AO1084" s="32"/>
      <c r="AP1084" s="26"/>
      <c r="AR1084" s="26"/>
      <c r="AS1084" s="27"/>
      <c r="AT1084" s="27"/>
      <c r="AU1084" s="31"/>
      <c r="AV1084" s="24"/>
      <c r="AW1084"/>
      <c r="AX1084"/>
      <c r="AY1084"/>
      <c r="AZ1084"/>
      <c r="BA1084"/>
      <c r="BB1084"/>
      <c r="BC1084"/>
      <c r="BD1084"/>
      <c r="BE1084"/>
      <c r="BF1084"/>
      <c r="BG1084"/>
    </row>
    <row r="1085" spans="2:59" x14ac:dyDescent="0.25">
      <c r="B1085" s="22"/>
      <c r="C1085" s="23"/>
      <c r="E1085" s="23"/>
      <c r="F1085" s="24"/>
      <c r="G1085" s="2"/>
      <c r="H1085" s="10" t="e">
        <f>_xlfn.XLOOKUP(F1085,Viloyatlar24[RegionName],Viloyatlar24[RegionId])</f>
        <v>#N/A</v>
      </c>
      <c r="I1085" s="10" t="e">
        <f>_xlfn.XLOOKUP('Кўчмас мулк объектлари'!G1085,Tumanlar23[DistrictName],Tumanlar23[DistrictId])</f>
        <v>#N/A</v>
      </c>
      <c r="K1085" s="24"/>
      <c r="L1085" s="10" t="e">
        <f>_xlfn.XLOOKUP(K1085,Ташкилотлар39[Ташкилотлар],Ташкилотлар39[TashklilotID])</f>
        <v>#N/A</v>
      </c>
      <c r="M1085" s="26"/>
      <c r="N1085" s="26"/>
      <c r="O1085" s="24"/>
      <c r="P1085" s="2"/>
      <c r="Q1085" s="26"/>
      <c r="R1085" s="26"/>
      <c r="S1085" s="26"/>
      <c r="T1085" s="26"/>
      <c r="U1085" s="24"/>
      <c r="V1085" s="10" t="e">
        <f>_xlfn.XLOOKUP(U1085,Таклифлар37[Таклифлар],Таклифлар37[TaklifID])</f>
        <v>#N/A</v>
      </c>
      <c r="W1085" s="24"/>
      <c r="X1085" s="23"/>
      <c r="Y1085" s="7"/>
      <c r="Z1085" s="26"/>
      <c r="AB1085" s="23"/>
      <c r="AD1085" s="2"/>
      <c r="AG1085" s="23"/>
      <c r="AI1085" s="26"/>
      <c r="AJ1085" s="23"/>
      <c r="AM1085" s="23"/>
      <c r="AO1085" s="32"/>
      <c r="AP1085" s="26"/>
      <c r="AR1085" s="26"/>
      <c r="AS1085" s="27"/>
      <c r="AT1085" s="27"/>
      <c r="AU1085" s="31"/>
      <c r="AV1085" s="24"/>
      <c r="AW1085"/>
      <c r="AX1085"/>
      <c r="AY1085"/>
      <c r="AZ1085"/>
      <c r="BA1085"/>
      <c r="BB1085"/>
      <c r="BC1085"/>
      <c r="BD1085"/>
      <c r="BE1085"/>
      <c r="BF1085"/>
      <c r="BG1085"/>
    </row>
    <row r="1086" spans="2:59" x14ac:dyDescent="0.25">
      <c r="B1086" s="22"/>
      <c r="C1086" s="23"/>
      <c r="E1086" s="23"/>
      <c r="F1086" s="24"/>
      <c r="G1086" s="2"/>
      <c r="H1086" s="10" t="e">
        <f>_xlfn.XLOOKUP(F1086,Viloyatlar24[RegionName],Viloyatlar24[RegionId])</f>
        <v>#N/A</v>
      </c>
      <c r="I1086" s="10" t="e">
        <f>_xlfn.XLOOKUP('Кўчмас мулк объектлари'!G1086,Tumanlar23[DistrictName],Tumanlar23[DistrictId])</f>
        <v>#N/A</v>
      </c>
      <c r="K1086" s="24"/>
      <c r="L1086" s="10" t="e">
        <f>_xlfn.XLOOKUP(K1086,Ташкилотлар39[Ташкилотлар],Ташкилотлар39[TashklilotID])</f>
        <v>#N/A</v>
      </c>
      <c r="M1086" s="26"/>
      <c r="N1086" s="26"/>
      <c r="O1086" s="24"/>
      <c r="P1086" s="2"/>
      <c r="Q1086" s="26"/>
      <c r="R1086" s="26"/>
      <c r="S1086" s="26"/>
      <c r="T1086" s="26"/>
      <c r="U1086" s="24"/>
      <c r="V1086" s="10" t="e">
        <f>_xlfn.XLOOKUP(U1086,Таклифлар37[Таклифлар],Таклифлар37[TaklifID])</f>
        <v>#N/A</v>
      </c>
      <c r="W1086" s="24"/>
      <c r="X1086" s="23"/>
      <c r="Y1086" s="7"/>
      <c r="Z1086" s="26"/>
      <c r="AB1086" s="23"/>
      <c r="AD1086" s="2"/>
      <c r="AG1086" s="23"/>
      <c r="AI1086" s="26"/>
      <c r="AJ1086" s="23"/>
      <c r="AM1086" s="23"/>
      <c r="AO1086" s="32"/>
      <c r="AP1086" s="26"/>
      <c r="AR1086" s="26"/>
      <c r="AS1086" s="27"/>
      <c r="AT1086" s="27"/>
      <c r="AU1086" s="31"/>
      <c r="AV1086" s="24"/>
      <c r="AW1086"/>
      <c r="AX1086"/>
      <c r="AY1086"/>
      <c r="AZ1086"/>
      <c r="BA1086"/>
      <c r="BB1086"/>
      <c r="BC1086"/>
      <c r="BD1086"/>
      <c r="BE1086"/>
      <c r="BF1086"/>
      <c r="BG1086"/>
    </row>
    <row r="1087" spans="2:59" x14ac:dyDescent="0.25">
      <c r="B1087" s="22"/>
      <c r="C1087" s="23"/>
      <c r="E1087" s="23"/>
      <c r="F1087" s="24"/>
      <c r="G1087" s="2"/>
      <c r="H1087" s="10" t="e">
        <f>_xlfn.XLOOKUP(F1087,Viloyatlar24[RegionName],Viloyatlar24[RegionId])</f>
        <v>#N/A</v>
      </c>
      <c r="I1087" s="10" t="e">
        <f>_xlfn.XLOOKUP('Кўчмас мулк объектлари'!G1087,Tumanlar23[DistrictName],Tumanlar23[DistrictId])</f>
        <v>#N/A</v>
      </c>
      <c r="K1087" s="24"/>
      <c r="L1087" s="10" t="e">
        <f>_xlfn.XLOOKUP(K1087,Ташкилотлар39[Ташкилотлар],Ташкилотлар39[TashklilotID])</f>
        <v>#N/A</v>
      </c>
      <c r="M1087" s="26"/>
      <c r="N1087" s="26"/>
      <c r="O1087" s="24"/>
      <c r="P1087" s="2"/>
      <c r="Q1087" s="26"/>
      <c r="R1087" s="26"/>
      <c r="S1087" s="26"/>
      <c r="T1087" s="26"/>
      <c r="U1087" s="24"/>
      <c r="V1087" s="10" t="e">
        <f>_xlfn.XLOOKUP(U1087,Таклифлар37[Таклифлар],Таклифлар37[TaklifID])</f>
        <v>#N/A</v>
      </c>
      <c r="W1087" s="24"/>
      <c r="X1087" s="23"/>
      <c r="Y1087" s="7"/>
      <c r="Z1087" s="26"/>
      <c r="AB1087" s="23"/>
      <c r="AD1087" s="2"/>
      <c r="AG1087" s="23"/>
      <c r="AI1087" s="26"/>
      <c r="AJ1087" s="23"/>
      <c r="AM1087" s="23"/>
      <c r="AO1087" s="32"/>
      <c r="AP1087" s="26"/>
      <c r="AR1087" s="26"/>
      <c r="AS1087" s="27"/>
      <c r="AT1087" s="27"/>
      <c r="AU1087" s="31"/>
      <c r="AV1087" s="24"/>
      <c r="AW1087"/>
      <c r="AX1087"/>
      <c r="AY1087"/>
      <c r="AZ1087"/>
      <c r="BA1087"/>
      <c r="BB1087"/>
      <c r="BC1087"/>
      <c r="BD1087"/>
      <c r="BE1087"/>
      <c r="BF1087"/>
      <c r="BG1087"/>
    </row>
    <row r="1088" spans="2:59" x14ac:dyDescent="0.25">
      <c r="B1088" s="22"/>
      <c r="C1088" s="23"/>
      <c r="E1088" s="23"/>
      <c r="F1088" s="24"/>
      <c r="G1088" s="2"/>
      <c r="H1088" s="10" t="e">
        <f>_xlfn.XLOOKUP(F1088,Viloyatlar24[RegionName],Viloyatlar24[RegionId])</f>
        <v>#N/A</v>
      </c>
      <c r="I1088" s="10" t="e">
        <f>_xlfn.XLOOKUP('Кўчмас мулк объектлари'!G1088,Tumanlar23[DistrictName],Tumanlar23[DistrictId])</f>
        <v>#N/A</v>
      </c>
      <c r="K1088" s="24"/>
      <c r="L1088" s="10" t="e">
        <f>_xlfn.XLOOKUP(K1088,Ташкилотлар39[Ташкилотлар],Ташкилотлар39[TashklilotID])</f>
        <v>#N/A</v>
      </c>
      <c r="M1088" s="26"/>
      <c r="N1088" s="26"/>
      <c r="O1088" s="24"/>
      <c r="P1088" s="2"/>
      <c r="Q1088" s="26"/>
      <c r="R1088" s="26"/>
      <c r="S1088" s="26"/>
      <c r="T1088" s="26"/>
      <c r="U1088" s="24"/>
      <c r="V1088" s="10" t="e">
        <f>_xlfn.XLOOKUP(U1088,Таклифлар37[Таклифлар],Таклифлар37[TaklifID])</f>
        <v>#N/A</v>
      </c>
      <c r="W1088" s="24"/>
      <c r="X1088" s="23"/>
      <c r="Y1088" s="7"/>
      <c r="Z1088" s="26"/>
      <c r="AB1088" s="23"/>
      <c r="AD1088" s="2"/>
      <c r="AG1088" s="23"/>
      <c r="AI1088" s="26"/>
      <c r="AJ1088" s="23"/>
      <c r="AM1088" s="23"/>
      <c r="AO1088" s="32"/>
      <c r="AP1088" s="26"/>
      <c r="AR1088" s="26"/>
      <c r="AS1088" s="27"/>
      <c r="AT1088" s="27"/>
      <c r="AU1088" s="31"/>
      <c r="AV1088" s="24"/>
      <c r="AW1088"/>
      <c r="AX1088"/>
      <c r="AY1088"/>
      <c r="AZ1088"/>
      <c r="BA1088"/>
      <c r="BB1088"/>
      <c r="BC1088"/>
      <c r="BD1088"/>
      <c r="BE1088"/>
      <c r="BF1088"/>
      <c r="BG1088"/>
    </row>
    <row r="1089" spans="2:59" x14ac:dyDescent="0.25">
      <c r="B1089" s="22"/>
      <c r="C1089" s="23"/>
      <c r="E1089" s="23"/>
      <c r="F1089" s="24"/>
      <c r="G1089" s="2"/>
      <c r="H1089" s="10" t="e">
        <f>_xlfn.XLOOKUP(F1089,Viloyatlar24[RegionName],Viloyatlar24[RegionId])</f>
        <v>#N/A</v>
      </c>
      <c r="I1089" s="10" t="e">
        <f>_xlfn.XLOOKUP('Кўчмас мулк объектлари'!G1089,Tumanlar23[DistrictName],Tumanlar23[DistrictId])</f>
        <v>#N/A</v>
      </c>
      <c r="K1089" s="24"/>
      <c r="L1089" s="10" t="e">
        <f>_xlfn.XLOOKUP(K1089,Ташкилотлар39[Ташкилотлар],Ташкилотлар39[TashklilotID])</f>
        <v>#N/A</v>
      </c>
      <c r="M1089" s="26"/>
      <c r="N1089" s="26"/>
      <c r="O1089" s="24"/>
      <c r="P1089" s="2"/>
      <c r="Q1089" s="26"/>
      <c r="R1089" s="26"/>
      <c r="S1089" s="26"/>
      <c r="T1089" s="26"/>
      <c r="U1089" s="24"/>
      <c r="V1089" s="10" t="e">
        <f>_xlfn.XLOOKUP(U1089,Таклифлар37[Таклифлар],Таклифлар37[TaklifID])</f>
        <v>#N/A</v>
      </c>
      <c r="W1089" s="24"/>
      <c r="X1089" s="23"/>
      <c r="Y1089" s="7"/>
      <c r="Z1089" s="26"/>
      <c r="AB1089" s="23"/>
      <c r="AD1089" s="2"/>
      <c r="AG1089" s="23"/>
      <c r="AI1089" s="26"/>
      <c r="AJ1089" s="23"/>
      <c r="AM1089" s="23"/>
      <c r="AO1089" s="32"/>
      <c r="AP1089" s="26"/>
      <c r="AR1089" s="26"/>
      <c r="AS1089" s="27"/>
      <c r="AT1089" s="27"/>
      <c r="AU1089" s="31"/>
      <c r="AV1089" s="24"/>
      <c r="AW1089"/>
      <c r="AX1089"/>
      <c r="AY1089"/>
      <c r="AZ1089"/>
      <c r="BA1089"/>
      <c r="BB1089"/>
      <c r="BC1089"/>
      <c r="BD1089"/>
      <c r="BE1089"/>
      <c r="BF1089"/>
      <c r="BG1089"/>
    </row>
    <row r="1090" spans="2:59" x14ac:dyDescent="0.25">
      <c r="B1090" s="22"/>
      <c r="C1090" s="23"/>
      <c r="E1090" s="23"/>
      <c r="F1090" s="24"/>
      <c r="G1090" s="2"/>
      <c r="H1090" s="10" t="e">
        <f>_xlfn.XLOOKUP(F1090,Viloyatlar24[RegionName],Viloyatlar24[RegionId])</f>
        <v>#N/A</v>
      </c>
      <c r="I1090" s="10" t="e">
        <f>_xlfn.XLOOKUP('Кўчмас мулк объектлари'!G1090,Tumanlar23[DistrictName],Tumanlar23[DistrictId])</f>
        <v>#N/A</v>
      </c>
      <c r="K1090" s="24"/>
      <c r="L1090" s="10" t="e">
        <f>_xlfn.XLOOKUP(K1090,Ташкилотлар39[Ташкилотлар],Ташкилотлар39[TashklilotID])</f>
        <v>#N/A</v>
      </c>
      <c r="M1090" s="26"/>
      <c r="N1090" s="26"/>
      <c r="O1090" s="24"/>
      <c r="P1090" s="2"/>
      <c r="Q1090" s="26"/>
      <c r="R1090" s="26"/>
      <c r="S1090" s="26"/>
      <c r="T1090" s="26"/>
      <c r="U1090" s="24"/>
      <c r="V1090" s="10" t="e">
        <f>_xlfn.XLOOKUP(U1090,Таклифлар37[Таклифлар],Таклифлар37[TaklifID])</f>
        <v>#N/A</v>
      </c>
      <c r="W1090" s="24"/>
      <c r="X1090" s="23"/>
      <c r="Y1090" s="7"/>
      <c r="Z1090" s="26"/>
      <c r="AB1090" s="23"/>
      <c r="AD1090" s="2"/>
      <c r="AG1090" s="23"/>
      <c r="AI1090" s="26"/>
      <c r="AJ1090" s="23"/>
      <c r="AM1090" s="23"/>
      <c r="AO1090" s="32"/>
      <c r="AP1090" s="26"/>
      <c r="AR1090" s="26"/>
      <c r="AS1090" s="27"/>
      <c r="AT1090" s="27"/>
      <c r="AU1090" s="31"/>
      <c r="AV1090" s="24"/>
      <c r="AW1090"/>
      <c r="AX1090"/>
      <c r="AY1090"/>
      <c r="AZ1090"/>
      <c r="BA1090"/>
      <c r="BB1090"/>
      <c r="BC1090"/>
      <c r="BD1090"/>
      <c r="BE1090"/>
      <c r="BF1090"/>
      <c r="BG1090"/>
    </row>
    <row r="1091" spans="2:59" x14ac:dyDescent="0.25">
      <c r="B1091" s="22"/>
      <c r="C1091" s="23"/>
      <c r="E1091" s="23"/>
      <c r="F1091" s="24"/>
      <c r="G1091" s="2"/>
      <c r="H1091" s="10" t="e">
        <f>_xlfn.XLOOKUP(F1091,Viloyatlar24[RegionName],Viloyatlar24[RegionId])</f>
        <v>#N/A</v>
      </c>
      <c r="I1091" s="10" t="e">
        <f>_xlfn.XLOOKUP('Кўчмас мулк объектлари'!G1091,Tumanlar23[DistrictName],Tumanlar23[DistrictId])</f>
        <v>#N/A</v>
      </c>
      <c r="K1091" s="24"/>
      <c r="L1091" s="10" t="e">
        <f>_xlfn.XLOOKUP(K1091,Ташкилотлар39[Ташкилотлар],Ташкилотлар39[TashklilotID])</f>
        <v>#N/A</v>
      </c>
      <c r="M1091" s="26"/>
      <c r="N1091" s="26"/>
      <c r="O1091" s="24"/>
      <c r="P1091" s="2"/>
      <c r="Q1091" s="26"/>
      <c r="R1091" s="26"/>
      <c r="S1091" s="26"/>
      <c r="T1091" s="26"/>
      <c r="U1091" s="24"/>
      <c r="V1091" s="10" t="e">
        <f>_xlfn.XLOOKUP(U1091,Таклифлар37[Таклифлар],Таклифлар37[TaklifID])</f>
        <v>#N/A</v>
      </c>
      <c r="W1091" s="24"/>
      <c r="X1091" s="23"/>
      <c r="Y1091" s="7"/>
      <c r="Z1091" s="26"/>
      <c r="AB1091" s="23"/>
      <c r="AD1091" s="2"/>
      <c r="AG1091" s="23"/>
      <c r="AI1091" s="26"/>
      <c r="AJ1091" s="23"/>
      <c r="AM1091" s="23"/>
      <c r="AO1091" s="32"/>
      <c r="AP1091" s="26"/>
      <c r="AR1091" s="26"/>
      <c r="AS1091" s="27"/>
      <c r="AT1091" s="27"/>
      <c r="AU1091" s="31"/>
      <c r="AV1091" s="24"/>
      <c r="AW1091"/>
      <c r="AX1091"/>
      <c r="AY1091"/>
      <c r="AZ1091"/>
      <c r="BA1091"/>
      <c r="BB1091"/>
      <c r="BC1091"/>
      <c r="BD1091"/>
      <c r="BE1091"/>
      <c r="BF1091"/>
      <c r="BG1091"/>
    </row>
    <row r="1092" spans="2:59" x14ac:dyDescent="0.25">
      <c r="B1092" s="22"/>
      <c r="C1092" s="23"/>
      <c r="E1092" s="23"/>
      <c r="F1092" s="24"/>
      <c r="G1092" s="2"/>
      <c r="H1092" s="10" t="e">
        <f>_xlfn.XLOOKUP(F1092,Viloyatlar24[RegionName],Viloyatlar24[RegionId])</f>
        <v>#N/A</v>
      </c>
      <c r="I1092" s="10" t="e">
        <f>_xlfn.XLOOKUP('Кўчмас мулк объектлари'!G1092,Tumanlar23[DistrictName],Tumanlar23[DistrictId])</f>
        <v>#N/A</v>
      </c>
      <c r="K1092" s="24"/>
      <c r="L1092" s="10" t="e">
        <f>_xlfn.XLOOKUP(K1092,Ташкилотлар39[Ташкилотлар],Ташкилотлар39[TashklilotID])</f>
        <v>#N/A</v>
      </c>
      <c r="M1092" s="26"/>
      <c r="N1092" s="26"/>
      <c r="O1092" s="24"/>
      <c r="Q1092" s="26"/>
      <c r="R1092" s="26"/>
      <c r="S1092" s="26"/>
      <c r="T1092" s="26"/>
      <c r="U1092" s="24"/>
      <c r="V1092" s="10" t="e">
        <f>_xlfn.XLOOKUP(U1092,Таклифлар37[Таклифлар],Таклифлар37[TaklifID])</f>
        <v>#N/A</v>
      </c>
      <c r="W1092" s="24"/>
      <c r="X1092" s="23"/>
      <c r="Y1092" s="7"/>
      <c r="Z1092" s="26"/>
      <c r="AB1092" s="23"/>
      <c r="AD1092" s="2"/>
      <c r="AG1092" s="23"/>
      <c r="AI1092" s="26"/>
      <c r="AJ1092" s="23"/>
      <c r="AM1092" s="23"/>
      <c r="AO1092" s="32"/>
      <c r="AP1092" s="26"/>
      <c r="AR1092" s="26"/>
      <c r="AS1092" s="27"/>
      <c r="AT1092" s="27"/>
      <c r="AU1092" s="31"/>
      <c r="AV1092" s="24"/>
      <c r="AW1092"/>
      <c r="AX1092"/>
      <c r="AY1092"/>
      <c r="AZ1092"/>
      <c r="BA1092"/>
      <c r="BB1092"/>
      <c r="BC1092"/>
      <c r="BD1092"/>
      <c r="BE1092"/>
      <c r="BF1092"/>
      <c r="BG1092"/>
    </row>
    <row r="1093" spans="2:59" x14ac:dyDescent="0.25">
      <c r="B1093" s="22"/>
      <c r="C1093" s="23"/>
      <c r="E1093" s="23"/>
      <c r="F1093" s="24"/>
      <c r="G1093" s="2"/>
      <c r="H1093" s="10" t="e">
        <f>_xlfn.XLOOKUP(F1093,Viloyatlar24[RegionName],Viloyatlar24[RegionId])</f>
        <v>#N/A</v>
      </c>
      <c r="I1093" s="10" t="e">
        <f>_xlfn.XLOOKUP('Кўчмас мулк объектлари'!G1093,Tumanlar23[DistrictName],Tumanlar23[DistrictId])</f>
        <v>#N/A</v>
      </c>
      <c r="K1093" s="24"/>
      <c r="L1093" s="10" t="e">
        <f>_xlfn.XLOOKUP(K1093,Ташкилотлар39[Ташкилотлар],Ташкилотлар39[TashklilotID])</f>
        <v>#N/A</v>
      </c>
      <c r="M1093" s="26"/>
      <c r="N1093" s="26"/>
      <c r="O1093" s="24"/>
      <c r="Q1093" s="26"/>
      <c r="R1093" s="26"/>
      <c r="S1093" s="26"/>
      <c r="T1093" s="26"/>
      <c r="U1093" s="24"/>
      <c r="V1093" s="10" t="e">
        <f>_xlfn.XLOOKUP(U1093,Таклифлар37[Таклифлар],Таклифлар37[TaklifID])</f>
        <v>#N/A</v>
      </c>
      <c r="W1093" s="24"/>
      <c r="X1093" s="23"/>
      <c r="Y1093" s="7"/>
      <c r="Z1093" s="26"/>
      <c r="AB1093" s="23"/>
      <c r="AD1093" s="2"/>
      <c r="AG1093" s="23"/>
      <c r="AI1093" s="26"/>
      <c r="AJ1093" s="23"/>
      <c r="AM1093" s="23"/>
      <c r="AO1093" s="32"/>
      <c r="AP1093" s="26"/>
      <c r="AR1093" s="26"/>
      <c r="AS1093" s="27"/>
      <c r="AT1093" s="27"/>
      <c r="AU1093" s="31"/>
      <c r="AV1093" s="24"/>
      <c r="AW1093"/>
      <c r="AX1093"/>
      <c r="AY1093"/>
      <c r="AZ1093"/>
      <c r="BA1093"/>
      <c r="BB1093"/>
      <c r="BC1093"/>
      <c r="BD1093"/>
      <c r="BE1093"/>
      <c r="BF1093"/>
      <c r="BG1093"/>
    </row>
    <row r="1094" spans="2:59" x14ac:dyDescent="0.25">
      <c r="B1094" s="22"/>
      <c r="C1094" s="23"/>
      <c r="E1094" s="23"/>
      <c r="F1094" s="24"/>
      <c r="G1094" s="2"/>
      <c r="H1094" s="10" t="e">
        <f>_xlfn.XLOOKUP(F1094,Viloyatlar24[RegionName],Viloyatlar24[RegionId])</f>
        <v>#N/A</v>
      </c>
      <c r="I1094" s="10" t="e">
        <f>_xlfn.XLOOKUP('Кўчмас мулк объектлари'!G1094,Tumanlar23[DistrictName],Tumanlar23[DistrictId])</f>
        <v>#N/A</v>
      </c>
      <c r="K1094" s="24"/>
      <c r="L1094" s="10" t="e">
        <f>_xlfn.XLOOKUP(K1094,Ташкилотлар39[Ташкилотлар],Ташкилотлар39[TashklilotID])</f>
        <v>#N/A</v>
      </c>
      <c r="M1094" s="26"/>
      <c r="N1094" s="26"/>
      <c r="O1094" s="24"/>
      <c r="Q1094" s="26"/>
      <c r="R1094" s="26"/>
      <c r="S1094" s="26"/>
      <c r="T1094" s="26"/>
      <c r="U1094" s="24"/>
      <c r="V1094" s="10" t="e">
        <f>_xlfn.XLOOKUP(U1094,Таклифлар37[Таклифлар],Таклифлар37[TaklifID])</f>
        <v>#N/A</v>
      </c>
      <c r="W1094" s="24"/>
      <c r="X1094" s="23"/>
      <c r="Y1094" s="7"/>
      <c r="Z1094" s="26"/>
      <c r="AB1094" s="23"/>
      <c r="AD1094" s="2"/>
      <c r="AG1094" s="23"/>
      <c r="AI1094" s="26"/>
      <c r="AJ1094" s="23"/>
      <c r="AM1094" s="23"/>
      <c r="AO1094" s="32"/>
      <c r="AP1094" s="26"/>
      <c r="AR1094" s="26"/>
      <c r="AS1094" s="27"/>
      <c r="AT1094" s="27"/>
      <c r="AU1094" s="31"/>
      <c r="AV1094" s="24"/>
      <c r="AW1094"/>
      <c r="AX1094"/>
      <c r="AY1094"/>
      <c r="AZ1094"/>
      <c r="BA1094"/>
      <c r="BB1094"/>
      <c r="BC1094"/>
      <c r="BD1094"/>
      <c r="BE1094"/>
      <c r="BF1094"/>
      <c r="BG1094"/>
    </row>
    <row r="1095" spans="2:59" x14ac:dyDescent="0.25">
      <c r="B1095" s="22"/>
      <c r="C1095" s="23"/>
      <c r="E1095" s="23"/>
      <c r="F1095" s="24"/>
      <c r="G1095" s="2"/>
      <c r="H1095" s="10" t="e">
        <f>_xlfn.XLOOKUP(F1095,Viloyatlar24[RegionName],Viloyatlar24[RegionId])</f>
        <v>#N/A</v>
      </c>
      <c r="I1095" s="10" t="e">
        <f>_xlfn.XLOOKUP('Кўчмас мулк объектлари'!G1095,Tumanlar23[DistrictName],Tumanlar23[DistrictId])</f>
        <v>#N/A</v>
      </c>
      <c r="K1095" s="24"/>
      <c r="L1095" s="10" t="e">
        <f>_xlfn.XLOOKUP(K1095,Ташкилотлар39[Ташкилотлар],Ташкилотлар39[TashklilotID])</f>
        <v>#N/A</v>
      </c>
      <c r="M1095" s="26"/>
      <c r="N1095" s="26"/>
      <c r="O1095" s="24"/>
      <c r="Q1095" s="26"/>
      <c r="R1095" s="26"/>
      <c r="S1095" s="26"/>
      <c r="T1095" s="26"/>
      <c r="U1095" s="24"/>
      <c r="V1095" s="10" t="e">
        <f>_xlfn.XLOOKUP(U1095,Таклифлар37[Таклифлар],Таклифлар37[TaklifID])</f>
        <v>#N/A</v>
      </c>
      <c r="W1095" s="24"/>
      <c r="X1095" s="23"/>
      <c r="Y1095" s="7"/>
      <c r="Z1095" s="26"/>
      <c r="AB1095" s="23"/>
      <c r="AD1095" s="2"/>
      <c r="AG1095" s="23"/>
      <c r="AI1095" s="26"/>
      <c r="AJ1095" s="23"/>
      <c r="AM1095" s="23"/>
      <c r="AO1095" s="32"/>
      <c r="AP1095" s="26"/>
      <c r="AR1095" s="26"/>
      <c r="AS1095" s="27"/>
      <c r="AT1095" s="27"/>
      <c r="AU1095" s="31"/>
      <c r="AV1095" s="24"/>
      <c r="AW1095"/>
      <c r="AX1095"/>
      <c r="AY1095"/>
      <c r="AZ1095"/>
      <c r="BA1095"/>
      <c r="BB1095"/>
      <c r="BC1095"/>
      <c r="BD1095"/>
      <c r="BE1095"/>
      <c r="BF1095"/>
      <c r="BG1095"/>
    </row>
    <row r="1096" spans="2:59" x14ac:dyDescent="0.25">
      <c r="B1096" s="22"/>
      <c r="C1096" s="23"/>
      <c r="E1096" s="23"/>
      <c r="F1096" s="24"/>
      <c r="G1096" s="2"/>
      <c r="H1096" s="10" t="e">
        <f>_xlfn.XLOOKUP(F1096,Viloyatlar24[RegionName],Viloyatlar24[RegionId])</f>
        <v>#N/A</v>
      </c>
      <c r="I1096" s="10" t="e">
        <f>_xlfn.XLOOKUP('Кўчмас мулк объектлари'!G1096,Tumanlar23[DistrictName],Tumanlar23[DistrictId])</f>
        <v>#N/A</v>
      </c>
      <c r="K1096" s="24"/>
      <c r="L1096" s="10" t="e">
        <f>_xlfn.XLOOKUP(K1096,Ташкилотлар39[Ташкилотлар],Ташкилотлар39[TashklilotID])</f>
        <v>#N/A</v>
      </c>
      <c r="M1096" s="26"/>
      <c r="N1096" s="26"/>
      <c r="O1096" s="24"/>
      <c r="Q1096" s="26"/>
      <c r="R1096" s="26"/>
      <c r="S1096" s="26"/>
      <c r="T1096" s="26"/>
      <c r="U1096" s="24"/>
      <c r="V1096" s="10" t="e">
        <f>_xlfn.XLOOKUP(U1096,Таклифлар37[Таклифлар],Таклифлар37[TaklifID])</f>
        <v>#N/A</v>
      </c>
      <c r="W1096" s="24"/>
      <c r="X1096" s="23"/>
      <c r="Y1096" s="7"/>
      <c r="Z1096" s="26"/>
      <c r="AB1096" s="23"/>
      <c r="AD1096" s="2"/>
      <c r="AG1096" s="23"/>
      <c r="AI1096" s="26"/>
      <c r="AJ1096" s="23"/>
      <c r="AM1096" s="23"/>
      <c r="AO1096" s="32"/>
      <c r="AP1096" s="26"/>
      <c r="AR1096" s="26"/>
      <c r="AS1096" s="27"/>
      <c r="AT1096" s="27"/>
      <c r="AU1096" s="31"/>
      <c r="AV1096" s="24"/>
      <c r="AW1096"/>
      <c r="AX1096"/>
      <c r="AY1096"/>
      <c r="AZ1096"/>
      <c r="BA1096"/>
      <c r="BB1096"/>
      <c r="BC1096"/>
      <c r="BD1096"/>
      <c r="BE1096"/>
      <c r="BF1096"/>
      <c r="BG1096"/>
    </row>
    <row r="1097" spans="2:59" x14ac:dyDescent="0.25">
      <c r="B1097" s="22"/>
      <c r="C1097" s="23"/>
      <c r="E1097" s="23"/>
      <c r="F1097" s="24"/>
      <c r="G1097" s="2"/>
      <c r="H1097" s="10" t="e">
        <f>_xlfn.XLOOKUP(F1097,Viloyatlar24[RegionName],Viloyatlar24[RegionId])</f>
        <v>#N/A</v>
      </c>
      <c r="I1097" s="10" t="e">
        <f>_xlfn.XLOOKUP('Кўчмас мулк объектлари'!G1097,Tumanlar23[DistrictName],Tumanlar23[DistrictId])</f>
        <v>#N/A</v>
      </c>
      <c r="K1097" s="24"/>
      <c r="L1097" s="10" t="e">
        <f>_xlfn.XLOOKUP(K1097,Ташкилотлар39[Ташкилотлар],Ташкилотлар39[TashklilotID])</f>
        <v>#N/A</v>
      </c>
      <c r="M1097" s="26"/>
      <c r="N1097" s="26"/>
      <c r="O1097" s="24"/>
      <c r="Q1097" s="26"/>
      <c r="R1097" s="26"/>
      <c r="S1097" s="26"/>
      <c r="T1097" s="26"/>
      <c r="U1097" s="24"/>
      <c r="V1097" s="10" t="e">
        <f>_xlfn.XLOOKUP(U1097,Таклифлар37[Таклифлар],Таклифлар37[TaklifID])</f>
        <v>#N/A</v>
      </c>
      <c r="W1097" s="24"/>
      <c r="X1097" s="23"/>
      <c r="Y1097" s="7"/>
      <c r="Z1097" s="26"/>
      <c r="AB1097" s="23"/>
      <c r="AD1097" s="2"/>
      <c r="AG1097" s="23"/>
      <c r="AI1097" s="26"/>
      <c r="AJ1097" s="23"/>
      <c r="AM1097" s="23"/>
      <c r="AO1097" s="32"/>
      <c r="AP1097" s="26"/>
      <c r="AR1097" s="26"/>
      <c r="AS1097" s="27"/>
      <c r="AT1097" s="27"/>
      <c r="AU1097" s="31"/>
      <c r="AV1097" s="24"/>
      <c r="AW1097"/>
      <c r="AX1097"/>
      <c r="AY1097"/>
      <c r="AZ1097"/>
      <c r="BA1097"/>
      <c r="BB1097"/>
      <c r="BC1097"/>
      <c r="BD1097"/>
      <c r="BE1097"/>
      <c r="BF1097"/>
      <c r="BG1097"/>
    </row>
    <row r="1098" spans="2:59" x14ac:dyDescent="0.25">
      <c r="B1098" s="22"/>
      <c r="C1098" s="23"/>
      <c r="E1098" s="23"/>
      <c r="F1098" s="24"/>
      <c r="G1098" s="2"/>
      <c r="H1098" s="10" t="e">
        <f>_xlfn.XLOOKUP(F1098,Viloyatlar24[RegionName],Viloyatlar24[RegionId])</f>
        <v>#N/A</v>
      </c>
      <c r="I1098" s="10" t="e">
        <f>_xlfn.XLOOKUP('Кўчмас мулк объектлари'!G1098,Tumanlar23[DistrictName],Tumanlar23[DistrictId])</f>
        <v>#N/A</v>
      </c>
      <c r="K1098" s="24"/>
      <c r="L1098" s="10" t="e">
        <f>_xlfn.XLOOKUP(K1098,Ташкилотлар39[Ташкилотлар],Ташкилотлар39[TashklilotID])</f>
        <v>#N/A</v>
      </c>
      <c r="M1098" s="26"/>
      <c r="N1098" s="26"/>
      <c r="O1098" s="24"/>
      <c r="Q1098" s="26"/>
      <c r="R1098" s="26"/>
      <c r="S1098" s="26"/>
      <c r="T1098" s="26"/>
      <c r="U1098" s="24"/>
      <c r="V1098" s="10" t="e">
        <f>_xlfn.XLOOKUP(U1098,Таклифлар37[Таклифлар],Таклифлар37[TaklifID])</f>
        <v>#N/A</v>
      </c>
      <c r="W1098" s="24"/>
      <c r="X1098" s="23"/>
      <c r="Y1098" s="7"/>
      <c r="Z1098" s="26"/>
      <c r="AB1098" s="23"/>
      <c r="AD1098" s="2"/>
      <c r="AG1098" s="23"/>
      <c r="AI1098" s="26"/>
      <c r="AJ1098" s="23"/>
      <c r="AM1098" s="23"/>
      <c r="AO1098" s="32"/>
      <c r="AP1098" s="26"/>
      <c r="AR1098" s="26"/>
      <c r="AS1098" s="27"/>
      <c r="AT1098" s="27"/>
      <c r="AU1098" s="31"/>
      <c r="AV1098" s="24"/>
      <c r="AW1098"/>
      <c r="AX1098"/>
      <c r="AY1098"/>
      <c r="AZ1098"/>
      <c r="BA1098"/>
      <c r="BB1098"/>
      <c r="BC1098"/>
      <c r="BD1098"/>
      <c r="BE1098"/>
      <c r="BF1098"/>
      <c r="BG1098"/>
    </row>
    <row r="1099" spans="2:59" x14ac:dyDescent="0.25">
      <c r="B1099" s="22"/>
      <c r="C1099" s="23"/>
      <c r="E1099" s="23"/>
      <c r="F1099" s="24"/>
      <c r="G1099" s="2"/>
      <c r="H1099" s="10" t="e">
        <f>_xlfn.XLOOKUP(F1099,Viloyatlar24[RegionName],Viloyatlar24[RegionId])</f>
        <v>#N/A</v>
      </c>
      <c r="I1099" s="10" t="e">
        <f>_xlfn.XLOOKUP('Кўчмас мулк объектлари'!G1099,Tumanlar23[DistrictName],Tumanlar23[DistrictId])</f>
        <v>#N/A</v>
      </c>
      <c r="K1099" s="24"/>
      <c r="L1099" s="10" t="e">
        <f>_xlfn.XLOOKUP(K1099,Ташкилотлар39[Ташкилотлар],Ташкилотлар39[TashklilotID])</f>
        <v>#N/A</v>
      </c>
      <c r="M1099" s="26"/>
      <c r="N1099" s="26"/>
      <c r="O1099" s="24"/>
      <c r="Q1099" s="26"/>
      <c r="R1099" s="26"/>
      <c r="S1099" s="26"/>
      <c r="T1099" s="26"/>
      <c r="U1099" s="24"/>
      <c r="V1099" s="10" t="e">
        <f>_xlfn.XLOOKUP(U1099,Таклифлар37[Таклифлар],Таклифлар37[TaklifID])</f>
        <v>#N/A</v>
      </c>
      <c r="W1099" s="24"/>
      <c r="X1099" s="23"/>
      <c r="Y1099" s="7"/>
      <c r="Z1099" s="26"/>
      <c r="AB1099" s="23"/>
      <c r="AD1099" s="2"/>
      <c r="AG1099" s="23"/>
      <c r="AI1099" s="26"/>
      <c r="AJ1099" s="23"/>
      <c r="AM1099" s="23"/>
      <c r="AO1099" s="32"/>
      <c r="AP1099" s="26"/>
      <c r="AR1099" s="26"/>
      <c r="AS1099" s="27"/>
      <c r="AT1099" s="27"/>
      <c r="AU1099" s="31"/>
      <c r="AV1099" s="24"/>
      <c r="AW1099"/>
      <c r="AX1099"/>
      <c r="AY1099"/>
      <c r="AZ1099"/>
      <c r="BA1099"/>
      <c r="BB1099"/>
      <c r="BC1099"/>
      <c r="BD1099"/>
      <c r="BE1099"/>
      <c r="BF1099"/>
      <c r="BG1099"/>
    </row>
    <row r="1100" spans="2:59" x14ac:dyDescent="0.25">
      <c r="B1100" s="22"/>
      <c r="C1100" s="23"/>
      <c r="E1100" s="23"/>
      <c r="F1100" s="24"/>
      <c r="G1100" s="2"/>
      <c r="H1100" s="10" t="e">
        <f>_xlfn.XLOOKUP(F1100,Viloyatlar24[RegionName],Viloyatlar24[RegionId])</f>
        <v>#N/A</v>
      </c>
      <c r="I1100" s="10" t="e">
        <f>_xlfn.XLOOKUP('Кўчмас мулк объектлари'!G1100,Tumanlar23[DistrictName],Tumanlar23[DistrictId])</f>
        <v>#N/A</v>
      </c>
      <c r="K1100" s="24"/>
      <c r="L1100" s="10" t="e">
        <f>_xlfn.XLOOKUP(K1100,Ташкилотлар39[Ташкилотлар],Ташкилотлар39[TashklilotID])</f>
        <v>#N/A</v>
      </c>
      <c r="M1100" s="26"/>
      <c r="N1100" s="26"/>
      <c r="O1100" s="24"/>
      <c r="Q1100" s="26"/>
      <c r="R1100" s="26"/>
      <c r="S1100" s="26"/>
      <c r="T1100" s="26"/>
      <c r="U1100" s="24"/>
      <c r="V1100" s="10" t="e">
        <f>_xlfn.XLOOKUP(U1100,Таклифлар37[Таклифлар],Таклифлар37[TaklifID])</f>
        <v>#N/A</v>
      </c>
      <c r="W1100" s="24"/>
      <c r="X1100" s="23"/>
      <c r="Y1100" s="7"/>
      <c r="Z1100" s="26"/>
      <c r="AB1100" s="23"/>
      <c r="AD1100" s="2"/>
      <c r="AG1100" s="23"/>
      <c r="AI1100" s="26"/>
      <c r="AJ1100" s="23"/>
      <c r="AM1100" s="23"/>
      <c r="AO1100" s="32"/>
      <c r="AP1100" s="26"/>
      <c r="AR1100" s="26"/>
      <c r="AS1100" s="27"/>
      <c r="AT1100" s="27"/>
      <c r="AU1100" s="31"/>
      <c r="AV1100" s="24"/>
      <c r="AW1100"/>
      <c r="AX1100"/>
      <c r="AY1100"/>
      <c r="AZ1100"/>
      <c r="BA1100"/>
      <c r="BB1100"/>
      <c r="BC1100"/>
      <c r="BD1100"/>
      <c r="BE1100"/>
      <c r="BF1100"/>
      <c r="BG1100"/>
    </row>
    <row r="1101" spans="2:59" x14ac:dyDescent="0.25">
      <c r="B1101" s="22"/>
      <c r="C1101" s="23"/>
      <c r="E1101" s="23"/>
      <c r="F1101" s="24"/>
      <c r="G1101" s="2"/>
      <c r="H1101" s="10" t="e">
        <f>_xlfn.XLOOKUP(F1101,Viloyatlar24[RegionName],Viloyatlar24[RegionId])</f>
        <v>#N/A</v>
      </c>
      <c r="I1101" s="10" t="e">
        <f>_xlfn.XLOOKUP('Кўчмас мулк объектлари'!G1101,Tumanlar23[DistrictName],Tumanlar23[DistrictId])</f>
        <v>#N/A</v>
      </c>
      <c r="K1101" s="24"/>
      <c r="L1101" s="10" t="e">
        <f>_xlfn.XLOOKUP(K1101,Ташкилотлар39[Ташкилотлар],Ташкилотлар39[TashklilotID])</f>
        <v>#N/A</v>
      </c>
      <c r="M1101" s="26"/>
      <c r="N1101" s="26"/>
      <c r="O1101" s="24"/>
      <c r="Q1101" s="26"/>
      <c r="R1101" s="26"/>
      <c r="S1101" s="26"/>
      <c r="T1101" s="26"/>
      <c r="U1101" s="24"/>
      <c r="V1101" s="10" t="e">
        <f>_xlfn.XLOOKUP(U1101,Таклифлар37[Таклифлар],Таклифлар37[TaklifID])</f>
        <v>#N/A</v>
      </c>
      <c r="W1101" s="24"/>
      <c r="X1101" s="23"/>
      <c r="Y1101" s="7"/>
      <c r="Z1101" s="26"/>
      <c r="AB1101" s="23"/>
      <c r="AD1101" s="2"/>
      <c r="AG1101" s="23"/>
      <c r="AI1101" s="26"/>
      <c r="AJ1101" s="23"/>
      <c r="AM1101" s="23"/>
      <c r="AO1101" s="32"/>
      <c r="AP1101" s="26"/>
      <c r="AR1101" s="26"/>
      <c r="AS1101" s="27"/>
      <c r="AT1101" s="27"/>
      <c r="AU1101" s="31"/>
      <c r="AV1101" s="24"/>
      <c r="AW1101"/>
      <c r="AX1101"/>
      <c r="AY1101"/>
      <c r="AZ1101"/>
      <c r="BA1101"/>
      <c r="BB1101"/>
      <c r="BC1101"/>
      <c r="BD1101"/>
      <c r="BE1101"/>
      <c r="BF1101"/>
      <c r="BG1101"/>
    </row>
    <row r="1102" spans="2:59" x14ac:dyDescent="0.25">
      <c r="B1102" s="22"/>
      <c r="C1102" s="23"/>
      <c r="E1102" s="23"/>
      <c r="F1102" s="24"/>
      <c r="G1102" s="2"/>
      <c r="H1102" s="10" t="e">
        <f>_xlfn.XLOOKUP(F1102,Viloyatlar24[RegionName],Viloyatlar24[RegionId])</f>
        <v>#N/A</v>
      </c>
      <c r="I1102" s="10" t="e">
        <f>_xlfn.XLOOKUP('Кўчмас мулк объектлари'!G1102,Tumanlar23[DistrictName],Tumanlar23[DistrictId])</f>
        <v>#N/A</v>
      </c>
      <c r="K1102" s="24"/>
      <c r="L1102" s="10" t="e">
        <f>_xlfn.XLOOKUP(K1102,Ташкилотлар39[Ташкилотлар],Ташкилотлар39[TashklilotID])</f>
        <v>#N/A</v>
      </c>
      <c r="M1102" s="26"/>
      <c r="N1102" s="26"/>
      <c r="O1102" s="24"/>
      <c r="Q1102" s="26"/>
      <c r="R1102" s="26"/>
      <c r="S1102" s="26"/>
      <c r="T1102" s="26"/>
      <c r="U1102" s="24"/>
      <c r="V1102" s="10" t="e">
        <f>_xlfn.XLOOKUP(U1102,Таклифлар37[Таклифлар],Таклифлар37[TaklifID])</f>
        <v>#N/A</v>
      </c>
      <c r="W1102" s="24"/>
      <c r="X1102" s="23"/>
      <c r="Y1102" s="7"/>
      <c r="Z1102" s="26"/>
      <c r="AB1102" s="23"/>
      <c r="AD1102" s="2"/>
      <c r="AG1102" s="23"/>
      <c r="AI1102" s="26"/>
      <c r="AJ1102" s="23"/>
      <c r="AM1102" s="23"/>
      <c r="AO1102" s="32"/>
      <c r="AP1102" s="26"/>
      <c r="AR1102" s="26"/>
      <c r="AS1102" s="27"/>
      <c r="AT1102" s="27"/>
      <c r="AU1102" s="31"/>
      <c r="AV1102" s="24"/>
      <c r="AW1102"/>
      <c r="AX1102"/>
      <c r="AY1102"/>
      <c r="AZ1102"/>
      <c r="BA1102"/>
      <c r="BB1102"/>
      <c r="BC1102"/>
      <c r="BD1102"/>
      <c r="BE1102"/>
      <c r="BF1102"/>
      <c r="BG1102"/>
    </row>
    <row r="1103" spans="2:59" x14ac:dyDescent="0.25">
      <c r="B1103" s="22"/>
      <c r="C1103" s="23"/>
      <c r="E1103" s="23"/>
      <c r="F1103" s="24"/>
      <c r="G1103" s="2"/>
      <c r="H1103" s="10" t="e">
        <f>_xlfn.XLOOKUP(F1103,Viloyatlar24[RegionName],Viloyatlar24[RegionId])</f>
        <v>#N/A</v>
      </c>
      <c r="I1103" s="10" t="e">
        <f>_xlfn.XLOOKUP('Кўчмас мулк объектлари'!G1103,Tumanlar23[DistrictName],Tumanlar23[DistrictId])</f>
        <v>#N/A</v>
      </c>
      <c r="K1103" s="24"/>
      <c r="L1103" s="10" t="e">
        <f>_xlfn.XLOOKUP(K1103,Ташкилотлар39[Ташкилотлар],Ташкилотлар39[TashklilotID])</f>
        <v>#N/A</v>
      </c>
      <c r="M1103" s="26"/>
      <c r="N1103" s="26"/>
      <c r="O1103" s="24"/>
      <c r="Q1103" s="26"/>
      <c r="R1103" s="26"/>
      <c r="S1103" s="26"/>
      <c r="T1103" s="26"/>
      <c r="U1103" s="24"/>
      <c r="V1103" s="10" t="e">
        <f>_xlfn.XLOOKUP(U1103,Таклифлар37[Таклифлар],Таклифлар37[TaklifID])</f>
        <v>#N/A</v>
      </c>
      <c r="W1103" s="24"/>
      <c r="X1103" s="23"/>
      <c r="Y1103" s="7"/>
      <c r="Z1103" s="26"/>
      <c r="AB1103" s="23"/>
      <c r="AD1103" s="2"/>
      <c r="AG1103" s="23"/>
      <c r="AI1103" s="26"/>
      <c r="AJ1103" s="23"/>
      <c r="AM1103" s="23"/>
      <c r="AO1103" s="32"/>
      <c r="AP1103" s="26"/>
      <c r="AR1103" s="26"/>
      <c r="AS1103" s="27"/>
      <c r="AT1103" s="27"/>
      <c r="AU1103" s="31"/>
      <c r="AV1103" s="24"/>
      <c r="AW1103"/>
      <c r="AX1103"/>
      <c r="AY1103"/>
      <c r="AZ1103"/>
      <c r="BA1103"/>
      <c r="BB1103"/>
      <c r="BC1103"/>
      <c r="BD1103"/>
      <c r="BE1103"/>
      <c r="BF1103"/>
      <c r="BG1103"/>
    </row>
    <row r="1104" spans="2:59" x14ac:dyDescent="0.25">
      <c r="B1104" s="22"/>
      <c r="C1104" s="23"/>
      <c r="E1104" s="23"/>
      <c r="F1104" s="24"/>
      <c r="G1104" s="2"/>
      <c r="H1104" s="10" t="e">
        <f>_xlfn.XLOOKUP(F1104,Viloyatlar24[RegionName],Viloyatlar24[RegionId])</f>
        <v>#N/A</v>
      </c>
      <c r="I1104" s="10" t="e">
        <f>_xlfn.XLOOKUP('Кўчмас мулк объектлари'!G1104,Tumanlar23[DistrictName],Tumanlar23[DistrictId])</f>
        <v>#N/A</v>
      </c>
      <c r="K1104" s="24"/>
      <c r="L1104" s="10" t="e">
        <f>_xlfn.XLOOKUP(K1104,Ташкилотлар39[Ташкилотлар],Ташкилотлар39[TashklilotID])</f>
        <v>#N/A</v>
      </c>
      <c r="M1104" s="26"/>
      <c r="N1104" s="26"/>
      <c r="O1104" s="24"/>
      <c r="Q1104" s="26"/>
      <c r="R1104" s="26"/>
      <c r="S1104" s="26"/>
      <c r="T1104" s="26"/>
      <c r="U1104" s="24"/>
      <c r="V1104" s="10" t="e">
        <f>_xlfn.XLOOKUP(U1104,Таклифлар37[Таклифлар],Таклифлар37[TaklifID])</f>
        <v>#N/A</v>
      </c>
      <c r="W1104" s="24"/>
      <c r="X1104" s="23"/>
      <c r="Y1104" s="7"/>
      <c r="Z1104" s="26"/>
      <c r="AB1104" s="23"/>
      <c r="AD1104" s="2"/>
      <c r="AG1104" s="23"/>
      <c r="AI1104" s="26"/>
      <c r="AJ1104" s="23"/>
      <c r="AM1104" s="23"/>
      <c r="AO1104" s="32"/>
      <c r="AP1104" s="26"/>
      <c r="AR1104" s="26"/>
      <c r="AS1104" s="27"/>
      <c r="AT1104" s="27"/>
      <c r="AU1104" s="31"/>
      <c r="AV1104" s="24"/>
      <c r="AW1104"/>
      <c r="AX1104"/>
      <c r="AY1104"/>
      <c r="AZ1104"/>
      <c r="BA1104"/>
      <c r="BB1104"/>
      <c r="BC1104"/>
      <c r="BD1104"/>
      <c r="BE1104"/>
      <c r="BF1104"/>
      <c r="BG1104"/>
    </row>
    <row r="1105" spans="2:59" x14ac:dyDescent="0.25">
      <c r="B1105" s="22"/>
      <c r="C1105" s="23"/>
      <c r="E1105" s="23"/>
      <c r="F1105" s="24"/>
      <c r="G1105" s="2"/>
      <c r="H1105" s="10" t="e">
        <f>_xlfn.XLOOKUP(F1105,Viloyatlar24[RegionName],Viloyatlar24[RegionId])</f>
        <v>#N/A</v>
      </c>
      <c r="I1105" s="10" t="e">
        <f>_xlfn.XLOOKUP('Кўчмас мулк объектлари'!G1105,Tumanlar23[DistrictName],Tumanlar23[DistrictId])</f>
        <v>#N/A</v>
      </c>
      <c r="K1105" s="24"/>
      <c r="L1105" s="10" t="e">
        <f>_xlfn.XLOOKUP(K1105,Ташкилотлар39[Ташкилотлар],Ташкилотлар39[TashklilotID])</f>
        <v>#N/A</v>
      </c>
      <c r="M1105" s="26"/>
      <c r="N1105" s="26"/>
      <c r="O1105" s="24"/>
      <c r="Q1105" s="26"/>
      <c r="R1105" s="26"/>
      <c r="S1105" s="26"/>
      <c r="T1105" s="26"/>
      <c r="U1105" s="24"/>
      <c r="V1105" s="10" t="e">
        <f>_xlfn.XLOOKUP(U1105,Таклифлар37[Таклифлар],Таклифлар37[TaklifID])</f>
        <v>#N/A</v>
      </c>
      <c r="W1105" s="24"/>
      <c r="X1105" s="23"/>
      <c r="Y1105" s="7"/>
      <c r="Z1105" s="26"/>
      <c r="AB1105" s="23"/>
      <c r="AD1105" s="2"/>
      <c r="AG1105" s="23"/>
      <c r="AI1105" s="26"/>
      <c r="AJ1105" s="23"/>
      <c r="AM1105" s="23"/>
      <c r="AO1105" s="32"/>
      <c r="AP1105" s="26"/>
      <c r="AR1105" s="26"/>
      <c r="AS1105" s="27"/>
      <c r="AT1105" s="27"/>
      <c r="AU1105" s="31"/>
      <c r="AV1105" s="24"/>
      <c r="AW1105"/>
      <c r="AX1105"/>
      <c r="AY1105"/>
      <c r="AZ1105"/>
      <c r="BA1105"/>
      <c r="BB1105"/>
      <c r="BC1105"/>
      <c r="BD1105"/>
      <c r="BE1105"/>
      <c r="BF1105"/>
      <c r="BG1105"/>
    </row>
    <row r="1106" spans="2:59" x14ac:dyDescent="0.25">
      <c r="B1106" s="22"/>
      <c r="C1106" s="23"/>
      <c r="E1106" s="23"/>
      <c r="F1106" s="24"/>
      <c r="G1106" s="2"/>
      <c r="H1106" s="10" t="e">
        <f>_xlfn.XLOOKUP(F1106,Viloyatlar24[RegionName],Viloyatlar24[RegionId])</f>
        <v>#N/A</v>
      </c>
      <c r="I1106" s="10" t="e">
        <f>_xlfn.XLOOKUP('Кўчмас мулк объектлари'!G1106,Tumanlar23[DistrictName],Tumanlar23[DistrictId])</f>
        <v>#N/A</v>
      </c>
      <c r="K1106" s="24"/>
      <c r="L1106" s="10" t="e">
        <f>_xlfn.XLOOKUP(K1106,Ташкилотлар39[Ташкилотлар],Ташкилотлар39[TashklilotID])</f>
        <v>#N/A</v>
      </c>
      <c r="M1106" s="26"/>
      <c r="N1106" s="26"/>
      <c r="O1106" s="24"/>
      <c r="Q1106" s="26"/>
      <c r="R1106" s="26"/>
      <c r="S1106" s="26"/>
      <c r="T1106" s="26"/>
      <c r="U1106" s="24"/>
      <c r="V1106" s="10" t="e">
        <f>_xlfn.XLOOKUP(U1106,Таклифлар37[Таклифлар],Таклифлар37[TaklifID])</f>
        <v>#N/A</v>
      </c>
      <c r="W1106" s="24"/>
      <c r="X1106" s="23"/>
      <c r="Y1106" s="7"/>
      <c r="Z1106" s="26"/>
      <c r="AB1106" s="23"/>
      <c r="AD1106" s="2"/>
      <c r="AG1106" s="23"/>
      <c r="AI1106" s="26"/>
      <c r="AJ1106" s="23"/>
      <c r="AM1106" s="23"/>
      <c r="AO1106" s="32"/>
      <c r="AP1106" s="26"/>
      <c r="AR1106" s="26"/>
      <c r="AS1106" s="27"/>
      <c r="AT1106" s="27"/>
      <c r="AU1106" s="31"/>
      <c r="AV1106" s="24"/>
      <c r="AW1106"/>
      <c r="AX1106"/>
      <c r="AY1106"/>
      <c r="AZ1106"/>
      <c r="BA1106"/>
      <c r="BB1106"/>
      <c r="BC1106"/>
      <c r="BD1106"/>
      <c r="BE1106"/>
      <c r="BF1106"/>
      <c r="BG1106"/>
    </row>
    <row r="1107" spans="2:59" x14ac:dyDescent="0.25">
      <c r="B1107" s="22"/>
      <c r="C1107" s="23"/>
      <c r="E1107" s="23"/>
      <c r="F1107" s="24"/>
      <c r="G1107" s="2"/>
      <c r="H1107" s="10" t="e">
        <f>_xlfn.XLOOKUP(F1107,Viloyatlar24[RegionName],Viloyatlar24[RegionId])</f>
        <v>#N/A</v>
      </c>
      <c r="I1107" s="10" t="e">
        <f>_xlfn.XLOOKUP('Кўчмас мулк объектлари'!G1107,Tumanlar23[DistrictName],Tumanlar23[DistrictId])</f>
        <v>#N/A</v>
      </c>
      <c r="K1107" s="24"/>
      <c r="L1107" s="10" t="e">
        <f>_xlfn.XLOOKUP(K1107,Ташкилотлар39[Ташкилотлар],Ташкилотлар39[TashklilotID])</f>
        <v>#N/A</v>
      </c>
      <c r="M1107" s="26"/>
      <c r="N1107" s="26"/>
      <c r="O1107" s="24"/>
      <c r="Q1107" s="26"/>
      <c r="R1107" s="26"/>
      <c r="S1107" s="26"/>
      <c r="T1107" s="26"/>
      <c r="U1107" s="24"/>
      <c r="V1107" s="10" t="e">
        <f>_xlfn.XLOOKUP(U1107,Таклифлар37[Таклифлар],Таклифлар37[TaklifID])</f>
        <v>#N/A</v>
      </c>
      <c r="W1107" s="24"/>
      <c r="X1107" s="23"/>
      <c r="Y1107" s="7"/>
      <c r="Z1107" s="26"/>
      <c r="AB1107" s="23"/>
      <c r="AD1107" s="2"/>
      <c r="AG1107" s="23"/>
      <c r="AI1107" s="26"/>
      <c r="AJ1107" s="23"/>
      <c r="AM1107" s="23"/>
      <c r="AO1107" s="32"/>
      <c r="AP1107" s="26"/>
      <c r="AR1107" s="26"/>
      <c r="AS1107" s="27"/>
      <c r="AT1107" s="27"/>
      <c r="AU1107" s="31"/>
      <c r="AV1107" s="24"/>
      <c r="AW1107"/>
      <c r="AX1107"/>
      <c r="AY1107"/>
      <c r="AZ1107"/>
      <c r="BA1107"/>
      <c r="BB1107"/>
      <c r="BC1107"/>
      <c r="BD1107"/>
      <c r="BE1107"/>
      <c r="BF1107"/>
      <c r="BG1107"/>
    </row>
    <row r="1108" spans="2:59" x14ac:dyDescent="0.25">
      <c r="B1108" s="22"/>
      <c r="C1108" s="23"/>
      <c r="E1108" s="23"/>
      <c r="F1108" s="24"/>
      <c r="G1108" s="2"/>
      <c r="H1108" s="10" t="e">
        <f>_xlfn.XLOOKUP(F1108,Viloyatlar24[RegionName],Viloyatlar24[RegionId])</f>
        <v>#N/A</v>
      </c>
      <c r="I1108" s="10" t="e">
        <f>_xlfn.XLOOKUP('Кўчмас мулк объектлари'!G1108,Tumanlar23[DistrictName],Tumanlar23[DistrictId])</f>
        <v>#N/A</v>
      </c>
      <c r="K1108" s="24"/>
      <c r="L1108" s="10" t="e">
        <f>_xlfn.XLOOKUP(K1108,Ташкилотлар39[Ташкилотлар],Ташкилотлар39[TashklilotID])</f>
        <v>#N/A</v>
      </c>
      <c r="M1108" s="26"/>
      <c r="N1108" s="26"/>
      <c r="O1108" s="24"/>
      <c r="Q1108" s="26"/>
      <c r="R1108" s="26"/>
      <c r="S1108" s="26"/>
      <c r="T1108" s="26"/>
      <c r="U1108" s="24"/>
      <c r="V1108" s="10" t="e">
        <f>_xlfn.XLOOKUP(U1108,Таклифлар37[Таклифлар],Таклифлар37[TaklifID])</f>
        <v>#N/A</v>
      </c>
      <c r="W1108" s="24"/>
      <c r="X1108" s="23"/>
      <c r="Y1108" s="7"/>
      <c r="Z1108" s="26"/>
      <c r="AB1108" s="23"/>
      <c r="AD1108" s="2"/>
      <c r="AG1108" s="23"/>
      <c r="AI1108" s="26"/>
      <c r="AJ1108" s="23"/>
      <c r="AM1108" s="23"/>
      <c r="AO1108" s="32"/>
      <c r="AP1108" s="26"/>
      <c r="AR1108" s="26"/>
      <c r="AS1108" s="27"/>
      <c r="AT1108" s="27"/>
      <c r="AU1108" s="31"/>
      <c r="AV1108" s="24"/>
      <c r="AW1108"/>
      <c r="AX1108"/>
      <c r="AY1108"/>
      <c r="AZ1108"/>
      <c r="BA1108"/>
      <c r="BB1108"/>
      <c r="BC1108"/>
      <c r="BD1108"/>
      <c r="BE1108"/>
      <c r="BF1108"/>
      <c r="BG1108"/>
    </row>
    <row r="1109" spans="2:59" x14ac:dyDescent="0.25">
      <c r="B1109" s="22"/>
      <c r="C1109" s="23"/>
      <c r="E1109" s="23"/>
      <c r="F1109" s="24"/>
      <c r="G1109" s="2"/>
      <c r="H1109" s="10" t="e">
        <f>_xlfn.XLOOKUP(F1109,Viloyatlar24[RegionName],Viloyatlar24[RegionId])</f>
        <v>#N/A</v>
      </c>
      <c r="I1109" s="10" t="e">
        <f>_xlfn.XLOOKUP('Кўчмас мулк объектлари'!G1109,Tumanlar23[DistrictName],Tumanlar23[DistrictId])</f>
        <v>#N/A</v>
      </c>
      <c r="K1109" s="24"/>
      <c r="L1109" s="10" t="e">
        <f>_xlfn.XLOOKUP(K1109,Ташкилотлар39[Ташкилотлар],Ташкилотлар39[TashklilotID])</f>
        <v>#N/A</v>
      </c>
      <c r="M1109" s="26"/>
      <c r="N1109" s="26"/>
      <c r="O1109" s="24"/>
      <c r="Q1109" s="26"/>
      <c r="R1109" s="26"/>
      <c r="S1109" s="26"/>
      <c r="T1109" s="26"/>
      <c r="U1109" s="24"/>
      <c r="V1109" s="10" t="e">
        <f>_xlfn.XLOOKUP(U1109,Таклифлар37[Таклифлар],Таклифлар37[TaklifID])</f>
        <v>#N/A</v>
      </c>
      <c r="W1109" s="24"/>
      <c r="X1109" s="23"/>
      <c r="Y1109" s="7"/>
      <c r="Z1109" s="26"/>
      <c r="AB1109" s="23"/>
      <c r="AD1109" s="2"/>
      <c r="AG1109" s="23"/>
      <c r="AI1109" s="26"/>
      <c r="AJ1109" s="23"/>
      <c r="AM1109" s="23"/>
      <c r="AO1109" s="32"/>
      <c r="AP1109" s="26"/>
      <c r="AR1109" s="26"/>
      <c r="AS1109" s="27"/>
      <c r="AT1109" s="27"/>
      <c r="AU1109" s="31"/>
      <c r="AV1109" s="24"/>
      <c r="AW1109"/>
      <c r="AX1109"/>
      <c r="AY1109"/>
      <c r="AZ1109"/>
      <c r="BA1109"/>
      <c r="BB1109"/>
      <c r="BC1109"/>
      <c r="BD1109"/>
      <c r="BE1109"/>
      <c r="BF1109"/>
      <c r="BG1109"/>
    </row>
    <row r="1110" spans="2:59" x14ac:dyDescent="0.25">
      <c r="B1110" s="22"/>
      <c r="C1110" s="23"/>
      <c r="E1110" s="23"/>
      <c r="F1110" s="24"/>
      <c r="G1110" s="2"/>
      <c r="H1110" s="10" t="e">
        <f>_xlfn.XLOOKUP(F1110,Viloyatlar24[RegionName],Viloyatlar24[RegionId])</f>
        <v>#N/A</v>
      </c>
      <c r="I1110" s="10" t="e">
        <f>_xlfn.XLOOKUP('Кўчмас мулк объектлари'!G1110,Tumanlar23[DistrictName],Tumanlar23[DistrictId])</f>
        <v>#N/A</v>
      </c>
      <c r="K1110" s="24"/>
      <c r="L1110" s="10" t="e">
        <f>_xlfn.XLOOKUP(K1110,Ташкилотлар39[Ташкилотлар],Ташкилотлар39[TashklilotID])</f>
        <v>#N/A</v>
      </c>
      <c r="M1110" s="26"/>
      <c r="N1110" s="26"/>
      <c r="O1110" s="24"/>
      <c r="Q1110" s="26"/>
      <c r="R1110" s="26"/>
      <c r="S1110" s="26"/>
      <c r="T1110" s="26"/>
      <c r="U1110" s="24"/>
      <c r="V1110" s="10" t="e">
        <f>_xlfn.XLOOKUP(U1110,Таклифлар37[Таклифлар],Таклифлар37[TaklifID])</f>
        <v>#N/A</v>
      </c>
      <c r="W1110" s="24"/>
      <c r="X1110" s="23"/>
      <c r="Y1110" s="7"/>
      <c r="Z1110" s="26"/>
      <c r="AB1110" s="23"/>
      <c r="AD1110" s="2"/>
      <c r="AG1110" s="23"/>
      <c r="AI1110" s="26"/>
      <c r="AJ1110" s="23"/>
      <c r="AM1110" s="23"/>
      <c r="AO1110" s="32"/>
      <c r="AP1110" s="26"/>
      <c r="AR1110" s="26"/>
      <c r="AS1110" s="27"/>
      <c r="AT1110" s="27"/>
      <c r="AU1110" s="31"/>
      <c r="AV1110" s="24"/>
      <c r="AW1110"/>
      <c r="AX1110"/>
      <c r="AY1110"/>
      <c r="AZ1110"/>
      <c r="BA1110"/>
      <c r="BB1110"/>
      <c r="BC1110"/>
      <c r="BD1110"/>
      <c r="BE1110"/>
      <c r="BF1110"/>
      <c r="BG1110"/>
    </row>
    <row r="1111" spans="2:59" x14ac:dyDescent="0.25">
      <c r="B1111" s="22"/>
      <c r="C1111" s="23"/>
      <c r="E1111" s="23"/>
      <c r="F1111" s="24"/>
      <c r="G1111" s="2"/>
      <c r="H1111" s="10" t="e">
        <f>_xlfn.XLOOKUP(F1111,Viloyatlar24[RegionName],Viloyatlar24[RegionId])</f>
        <v>#N/A</v>
      </c>
      <c r="I1111" s="10" t="e">
        <f>_xlfn.XLOOKUP('Кўчмас мулк объектлари'!G1111,Tumanlar23[DistrictName],Tumanlar23[DistrictId])</f>
        <v>#N/A</v>
      </c>
      <c r="K1111" s="24"/>
      <c r="L1111" s="10" t="e">
        <f>_xlfn.XLOOKUP(K1111,Ташкилотлар39[Ташкилотлар],Ташкилотлар39[TashklilotID])</f>
        <v>#N/A</v>
      </c>
      <c r="M1111" s="26"/>
      <c r="N1111" s="26"/>
      <c r="O1111" s="24"/>
      <c r="Q1111" s="26"/>
      <c r="R1111" s="26"/>
      <c r="S1111" s="26"/>
      <c r="T1111" s="26"/>
      <c r="U1111" s="24"/>
      <c r="V1111" s="10" t="e">
        <f>_xlfn.XLOOKUP(U1111,Таклифлар37[Таклифлар],Таклифлар37[TaklifID])</f>
        <v>#N/A</v>
      </c>
      <c r="W1111" s="24"/>
      <c r="X1111" s="23"/>
      <c r="Y1111" s="7"/>
      <c r="Z1111" s="26"/>
      <c r="AB1111" s="23"/>
      <c r="AD1111" s="2"/>
      <c r="AG1111" s="23"/>
      <c r="AI1111" s="26"/>
      <c r="AJ1111" s="23"/>
      <c r="AM1111" s="23"/>
      <c r="AO1111" s="32"/>
      <c r="AP1111" s="26"/>
      <c r="AR1111" s="26"/>
      <c r="AS1111" s="27"/>
      <c r="AT1111" s="27"/>
      <c r="AU1111" s="31"/>
      <c r="AV1111" s="24"/>
      <c r="AW1111"/>
      <c r="AX1111"/>
      <c r="AY1111"/>
      <c r="AZ1111"/>
      <c r="BA1111"/>
      <c r="BB1111"/>
      <c r="BC1111"/>
      <c r="BD1111"/>
      <c r="BE1111"/>
      <c r="BF1111"/>
      <c r="BG1111"/>
    </row>
    <row r="1112" spans="2:59" x14ac:dyDescent="0.25">
      <c r="B1112" s="22"/>
      <c r="C1112" s="23"/>
      <c r="E1112" s="23"/>
      <c r="F1112" s="24"/>
      <c r="G1112" s="2"/>
      <c r="H1112" s="10" t="e">
        <f>_xlfn.XLOOKUP(F1112,Viloyatlar24[RegionName],Viloyatlar24[RegionId])</f>
        <v>#N/A</v>
      </c>
      <c r="I1112" s="10" t="e">
        <f>_xlfn.XLOOKUP('Кўчмас мулк объектлари'!G1112,Tumanlar23[DistrictName],Tumanlar23[DistrictId])</f>
        <v>#N/A</v>
      </c>
      <c r="K1112" s="24"/>
      <c r="L1112" s="10" t="e">
        <f>_xlfn.XLOOKUP(K1112,Ташкилотлар39[Ташкилотлар],Ташкилотлар39[TashklilotID])</f>
        <v>#N/A</v>
      </c>
      <c r="M1112" s="26"/>
      <c r="O1112" s="24"/>
      <c r="Q1112" s="26"/>
      <c r="R1112" s="26"/>
      <c r="S1112" s="26"/>
      <c r="T1112" s="26"/>
      <c r="U1112" s="24"/>
      <c r="V1112" s="10" t="e">
        <f>_xlfn.XLOOKUP(U1112,Таклифлар37[Таклифлар],Таклифлар37[TaklifID])</f>
        <v>#N/A</v>
      </c>
      <c r="W1112" s="24"/>
      <c r="X1112" s="23"/>
      <c r="Y1112" s="7"/>
      <c r="Z1112" s="26"/>
      <c r="AB1112" s="23"/>
      <c r="AD1112" s="2"/>
      <c r="AG1112" s="23"/>
      <c r="AI1112" s="26"/>
      <c r="AJ1112" s="23"/>
      <c r="AM1112" s="23"/>
      <c r="AO1112" s="32"/>
      <c r="AP1112" s="26"/>
      <c r="AR1112" s="26"/>
      <c r="AU1112" s="7"/>
      <c r="AV1112" s="2"/>
      <c r="AW1112"/>
      <c r="AX1112"/>
      <c r="AY1112"/>
      <c r="AZ1112"/>
      <c r="BA1112"/>
      <c r="BB1112"/>
      <c r="BC1112"/>
      <c r="BD1112"/>
      <c r="BE1112"/>
      <c r="BF1112"/>
      <c r="BG1112"/>
    </row>
    <row r="1113" spans="2:59" x14ac:dyDescent="0.25">
      <c r="B1113" s="22"/>
      <c r="C1113" s="23"/>
      <c r="E1113" s="23"/>
      <c r="F1113" s="24"/>
      <c r="G1113" s="2"/>
      <c r="H1113" s="10" t="e">
        <f>_xlfn.XLOOKUP(F1113,Viloyatlar24[RegionName],Viloyatlar24[RegionId])</f>
        <v>#N/A</v>
      </c>
      <c r="I1113" s="10" t="e">
        <f>_xlfn.XLOOKUP('Кўчмас мулк объектлари'!G1113,Tumanlar23[DistrictName],Tumanlar23[DistrictId])</f>
        <v>#N/A</v>
      </c>
      <c r="K1113" s="24"/>
      <c r="L1113" s="10" t="e">
        <f>_xlfn.XLOOKUP(K1113,Ташкилотлар39[Ташкилотлар],Ташкилотлар39[TashklilotID])</f>
        <v>#N/A</v>
      </c>
      <c r="M1113" s="26"/>
      <c r="O1113" s="24"/>
      <c r="Q1113" s="26"/>
      <c r="R1113" s="26"/>
      <c r="S1113" s="26"/>
      <c r="T1113" s="26"/>
      <c r="U1113" s="24"/>
      <c r="V1113" s="10" t="e">
        <f>_xlfn.XLOOKUP(U1113,Таклифлар37[Таклифлар],Таклифлар37[TaklifID])</f>
        <v>#N/A</v>
      </c>
      <c r="W1113" s="24"/>
      <c r="X1113" s="23"/>
      <c r="Y1113" s="7"/>
      <c r="Z1113" s="26"/>
      <c r="AB1113" s="23"/>
      <c r="AD1113" s="2"/>
      <c r="AG1113" s="23"/>
      <c r="AI1113" s="26"/>
      <c r="AJ1113" s="23"/>
      <c r="AM1113" s="23"/>
      <c r="AO1113" s="32"/>
      <c r="AP1113" s="26"/>
      <c r="AR1113" s="26"/>
      <c r="AU1113" s="7"/>
      <c r="AV1113" s="2"/>
      <c r="AW1113"/>
      <c r="AX1113"/>
      <c r="AY1113"/>
      <c r="AZ1113"/>
      <c r="BA1113"/>
      <c r="BB1113"/>
      <c r="BC1113"/>
      <c r="BD1113"/>
      <c r="BE1113"/>
      <c r="BF1113"/>
      <c r="BG1113"/>
    </row>
    <row r="1114" spans="2:59" x14ac:dyDescent="0.25">
      <c r="B1114" s="22"/>
      <c r="C1114" s="23"/>
      <c r="E1114" s="23"/>
      <c r="F1114" s="24"/>
      <c r="G1114" s="2"/>
      <c r="H1114" s="10" t="e">
        <f>_xlfn.XLOOKUP(F1114,Viloyatlar24[RegionName],Viloyatlar24[RegionId])</f>
        <v>#N/A</v>
      </c>
      <c r="I1114" s="10" t="e">
        <f>_xlfn.XLOOKUP('Кўчмас мулк объектлари'!G1114,Tumanlar23[DistrictName],Tumanlar23[DistrictId])</f>
        <v>#N/A</v>
      </c>
      <c r="K1114" s="24"/>
      <c r="L1114" s="10" t="e">
        <f>_xlfn.XLOOKUP(K1114,Ташкилотлар39[Ташкилотлар],Ташкилотлар39[TashklilotID])</f>
        <v>#N/A</v>
      </c>
      <c r="M1114" s="26"/>
      <c r="O1114" s="24"/>
      <c r="Q1114" s="26"/>
      <c r="R1114" s="26"/>
      <c r="S1114" s="26"/>
      <c r="T1114" s="26"/>
      <c r="U1114" s="24"/>
      <c r="V1114" s="10" t="e">
        <f>_xlfn.XLOOKUP(U1114,Таклифлар37[Таклифлар],Таклифлар37[TaklifID])</f>
        <v>#N/A</v>
      </c>
      <c r="W1114" s="24"/>
      <c r="X1114" s="23"/>
      <c r="Y1114" s="7"/>
      <c r="Z1114" s="26"/>
      <c r="AB1114" s="23"/>
      <c r="AD1114" s="2"/>
      <c r="AG1114" s="23"/>
      <c r="AI1114" s="26"/>
      <c r="AJ1114" s="23"/>
      <c r="AO1114" s="32"/>
      <c r="AP1114" s="26"/>
      <c r="AR1114" s="26"/>
      <c r="AU1114" s="7"/>
      <c r="AW1114"/>
      <c r="AX1114"/>
      <c r="AY1114"/>
      <c r="AZ1114"/>
      <c r="BA1114"/>
      <c r="BB1114"/>
      <c r="BC1114"/>
      <c r="BD1114"/>
      <c r="BE1114"/>
      <c r="BF1114"/>
      <c r="BG1114"/>
    </row>
    <row r="1115" spans="2:59" x14ac:dyDescent="0.25">
      <c r="B1115" s="22"/>
      <c r="C1115" s="23"/>
      <c r="E1115" s="23"/>
      <c r="F1115" s="24"/>
      <c r="G1115" s="2"/>
      <c r="H1115" s="10" t="e">
        <f>_xlfn.XLOOKUP(F1115,Viloyatlar24[RegionName],Viloyatlar24[RegionId])</f>
        <v>#N/A</v>
      </c>
      <c r="I1115" s="10" t="e">
        <f>_xlfn.XLOOKUP('Кўчмас мулк объектлари'!G1115,Tumanlar23[DistrictName],Tumanlar23[DistrictId])</f>
        <v>#N/A</v>
      </c>
      <c r="K1115" s="24"/>
      <c r="L1115" s="10" t="e">
        <f>_xlfn.XLOOKUP(K1115,Ташкилотлар39[Ташкилотлар],Ташкилотлар39[TashklilotID])</f>
        <v>#N/A</v>
      </c>
      <c r="M1115" s="26"/>
      <c r="O1115" s="24"/>
      <c r="Q1115" s="26"/>
      <c r="R1115" s="26"/>
      <c r="S1115" s="26"/>
      <c r="T1115" s="26"/>
      <c r="U1115" s="24"/>
      <c r="V1115" s="10" t="e">
        <f>_xlfn.XLOOKUP(U1115,Таклифлар37[Таклифлар],Таклифлар37[TaklifID])</f>
        <v>#N/A</v>
      </c>
      <c r="W1115" s="24"/>
      <c r="X1115" s="23"/>
      <c r="Y1115" s="7"/>
      <c r="Z1115" s="26"/>
      <c r="AB1115" s="23"/>
      <c r="AD1115" s="2"/>
      <c r="AG1115" s="23"/>
      <c r="AI1115" s="26"/>
      <c r="AJ1115" s="23"/>
      <c r="AO1115" s="32"/>
      <c r="AP1115" s="26"/>
      <c r="AR1115" s="26"/>
      <c r="AU1115" s="7"/>
      <c r="AW1115"/>
      <c r="AX1115"/>
      <c r="AY1115"/>
      <c r="AZ1115"/>
      <c r="BA1115"/>
      <c r="BB1115"/>
      <c r="BC1115"/>
      <c r="BD1115"/>
      <c r="BE1115"/>
      <c r="BF1115"/>
      <c r="BG1115"/>
    </row>
    <row r="1116" spans="2:59" x14ac:dyDescent="0.25">
      <c r="B1116" s="22"/>
      <c r="C1116" s="23"/>
      <c r="E1116" s="23"/>
      <c r="F1116" s="24"/>
      <c r="G1116" s="2"/>
      <c r="H1116" s="10" t="e">
        <f>_xlfn.XLOOKUP(F1116,Viloyatlar24[RegionName],Viloyatlar24[RegionId])</f>
        <v>#N/A</v>
      </c>
      <c r="I1116" s="10" t="e">
        <f>_xlfn.XLOOKUP('Кўчмас мулк объектлари'!G1116,Tumanlar23[DistrictName],Tumanlar23[DistrictId])</f>
        <v>#N/A</v>
      </c>
      <c r="K1116" s="24"/>
      <c r="L1116" s="10" t="e">
        <f>_xlfn.XLOOKUP(K1116,Ташкилотлар39[Ташкилотлар],Ташкилотлар39[TashklilotID])</f>
        <v>#N/A</v>
      </c>
      <c r="M1116" s="26"/>
      <c r="O1116" s="24"/>
      <c r="Q1116" s="26"/>
      <c r="R1116" s="26"/>
      <c r="S1116" s="26"/>
      <c r="T1116" s="26"/>
      <c r="U1116" s="24"/>
      <c r="V1116" s="10" t="e">
        <f>_xlfn.XLOOKUP(U1116,Таклифлар37[Таклифлар],Таклифлар37[TaklifID])</f>
        <v>#N/A</v>
      </c>
      <c r="W1116" s="24"/>
      <c r="X1116" s="23"/>
      <c r="Y1116" s="7"/>
      <c r="Z1116" s="26"/>
      <c r="AB1116" s="23"/>
      <c r="AD1116" s="2"/>
      <c r="AG1116" s="23"/>
      <c r="AI1116" s="26"/>
      <c r="AJ1116" s="23"/>
      <c r="AN1116" s="7"/>
      <c r="AO1116" s="32"/>
      <c r="AR1116" s="26"/>
      <c r="AS1116" s="26"/>
      <c r="AT1116" s="23"/>
      <c r="AU1116" s="7"/>
      <c r="AV1116" s="23"/>
      <c r="AW1116" s="2"/>
      <c r="AZ1116" s="7"/>
      <c r="BA1116" s="26"/>
    </row>
    <row r="1117" spans="2:59" x14ac:dyDescent="0.25">
      <c r="B1117" s="22"/>
      <c r="C1117" s="23"/>
      <c r="E1117" s="23"/>
      <c r="F1117" s="24"/>
      <c r="G1117" s="2"/>
      <c r="H1117" s="10" t="e">
        <f>_xlfn.XLOOKUP(F1117,Viloyatlar24[RegionName],Viloyatlar24[RegionId])</f>
        <v>#N/A</v>
      </c>
      <c r="I1117" s="10" t="e">
        <f>_xlfn.XLOOKUP('Кўчмас мулк объектлари'!G1117,Tumanlar23[DistrictName],Tumanlar23[DistrictId])</f>
        <v>#N/A</v>
      </c>
      <c r="K1117" s="24"/>
      <c r="L1117" s="10" t="e">
        <f>_xlfn.XLOOKUP(K1117,Ташкилотлар39[Ташкилотлар],Ташкилотлар39[TashklilotID])</f>
        <v>#N/A</v>
      </c>
      <c r="M1117" s="26"/>
      <c r="O1117" s="24"/>
      <c r="Q1117" s="26"/>
      <c r="R1117" s="26"/>
      <c r="S1117" s="26"/>
      <c r="T1117" s="26"/>
      <c r="U1117" s="24"/>
      <c r="V1117" s="10" t="e">
        <f>_xlfn.XLOOKUP(U1117,Таклифлар37[Таклифлар],Таклифлар37[TaklifID])</f>
        <v>#N/A</v>
      </c>
      <c r="W1117" s="24"/>
      <c r="X1117" s="23"/>
      <c r="Y1117" s="7"/>
      <c r="Z1117" s="26"/>
      <c r="AB1117" s="23"/>
      <c r="AD1117" s="2"/>
      <c r="AG1117" s="23"/>
      <c r="AI1117" s="26"/>
      <c r="AJ1117" s="23"/>
      <c r="AN1117" s="7"/>
      <c r="AR1117" s="26"/>
      <c r="AS1117" s="26"/>
      <c r="AU1117" s="7"/>
      <c r="AV1117" s="23"/>
      <c r="AW1117" s="2"/>
      <c r="AZ1117" s="7"/>
      <c r="BA1117" s="2"/>
    </row>
    <row r="1118" spans="2:59" x14ac:dyDescent="0.25">
      <c r="B1118" s="22"/>
      <c r="C1118" s="23"/>
      <c r="E1118" s="23"/>
      <c r="F1118" s="24"/>
      <c r="G1118" s="2"/>
      <c r="H1118" s="8"/>
      <c r="L1118" s="10"/>
      <c r="M1118" s="26"/>
      <c r="O1118" s="24"/>
      <c r="Q1118" s="26"/>
      <c r="R1118" s="26"/>
      <c r="S1118" s="26"/>
      <c r="T1118" s="26"/>
      <c r="U1118" s="24"/>
      <c r="V1118" s="10"/>
      <c r="W1118" s="24"/>
      <c r="X1118" s="10"/>
      <c r="Y1118" s="7"/>
      <c r="Z1118" s="2"/>
      <c r="AA1118" s="23"/>
      <c r="AB1118" s="23"/>
      <c r="AC1118" s="26"/>
      <c r="AD1118" s="2"/>
      <c r="AG1118" s="23"/>
      <c r="AI1118" s="26"/>
      <c r="AJ1118" s="23"/>
      <c r="AL1118" s="26"/>
      <c r="AN1118" s="7"/>
      <c r="AO1118" s="2"/>
      <c r="AP1118" s="2"/>
      <c r="AS1118" s="7"/>
      <c r="AT1118" s="2"/>
    </row>
    <row r="1119" spans="2:59" x14ac:dyDescent="0.25">
      <c r="B1119" s="22"/>
      <c r="C1119" s="23"/>
      <c r="E1119" s="23"/>
      <c r="F1119" s="24"/>
      <c r="G1119" s="2"/>
      <c r="H1119" s="8"/>
      <c r="L1119" s="10"/>
      <c r="M1119" s="26"/>
      <c r="O1119" s="24"/>
      <c r="Q1119" s="26"/>
      <c r="R1119" s="26"/>
      <c r="S1119" s="26"/>
      <c r="T1119" s="26"/>
      <c r="U1119" s="24"/>
      <c r="V1119" s="10"/>
      <c r="W1119" s="24"/>
      <c r="X1119" s="10"/>
      <c r="Y1119" s="7"/>
      <c r="Z1119" s="2"/>
      <c r="AA1119" s="23"/>
      <c r="AC1119" s="26"/>
      <c r="AD1119" s="2"/>
      <c r="AG1119" s="23"/>
      <c r="AJ1119" s="23"/>
      <c r="AL1119" s="26"/>
      <c r="AN1119" s="7"/>
      <c r="AO1119" s="2"/>
      <c r="AP1119" s="2"/>
      <c r="AS1119" s="7"/>
      <c r="AT1119" s="2"/>
    </row>
    <row r="1120" spans="2:59" x14ac:dyDescent="0.25">
      <c r="B1120" s="22"/>
      <c r="C1120" s="23"/>
      <c r="E1120" s="23"/>
      <c r="F1120" s="24"/>
      <c r="G1120" s="2"/>
      <c r="H1120" s="8"/>
      <c r="L1120" s="10"/>
      <c r="M1120" s="26"/>
      <c r="O1120" s="24"/>
      <c r="Q1120" s="26"/>
      <c r="R1120" s="26"/>
      <c r="S1120" s="26"/>
      <c r="T1120" s="26"/>
      <c r="U1120" s="24"/>
      <c r="V1120" s="10"/>
      <c r="W1120" s="24"/>
      <c r="X1120" s="10"/>
      <c r="Y1120" s="7"/>
      <c r="Z1120" s="2"/>
      <c r="AA1120" s="23"/>
      <c r="AC1120" s="26"/>
      <c r="AD1120" s="2"/>
      <c r="AG1120" s="23"/>
      <c r="AJ1120" s="23"/>
      <c r="AL1120" s="26"/>
      <c r="AN1120" s="7"/>
      <c r="AO1120" s="2"/>
      <c r="AP1120" s="2"/>
      <c r="AS1120" s="7"/>
      <c r="AT1120" s="2"/>
    </row>
    <row r="1121" spans="2:46" x14ac:dyDescent="0.25">
      <c r="B1121" s="22"/>
      <c r="C1121" s="23"/>
      <c r="E1121" s="23"/>
      <c r="F1121" s="24"/>
      <c r="G1121" s="2"/>
      <c r="H1121" s="8"/>
      <c r="L1121" s="10"/>
      <c r="M1121" s="26"/>
      <c r="O1121" s="24"/>
      <c r="Q1121" s="26"/>
      <c r="R1121" s="26"/>
      <c r="S1121" s="26"/>
      <c r="T1121" s="26"/>
      <c r="U1121" s="24"/>
      <c r="V1121" s="10"/>
      <c r="W1121" s="24"/>
      <c r="X1121" s="10"/>
      <c r="Y1121" s="7"/>
      <c r="Z1121" s="2"/>
      <c r="AA1121" s="23"/>
      <c r="AC1121" s="26"/>
      <c r="AD1121" s="2"/>
      <c r="AG1121" s="23"/>
      <c r="AJ1121" s="23"/>
      <c r="AL1121" s="26"/>
      <c r="AN1121" s="7"/>
      <c r="AO1121" s="2"/>
      <c r="AP1121" s="2"/>
      <c r="AS1121" s="7"/>
      <c r="AT1121" s="2"/>
    </row>
    <row r="1122" spans="2:46" x14ac:dyDescent="0.25">
      <c r="B1122" s="22"/>
      <c r="C1122" s="23"/>
      <c r="E1122" s="23"/>
      <c r="F1122" s="24"/>
      <c r="G1122" s="2"/>
      <c r="H1122" s="8"/>
      <c r="L1122" s="10"/>
      <c r="M1122" s="26"/>
      <c r="O1122" s="24"/>
      <c r="Q1122" s="26"/>
      <c r="R1122" s="26"/>
      <c r="S1122" s="26"/>
      <c r="T1122" s="26"/>
      <c r="U1122" s="24"/>
      <c r="V1122" s="10"/>
      <c r="W1122" s="24"/>
      <c r="X1122" s="10"/>
      <c r="Y1122" s="7"/>
      <c r="Z1122" s="2"/>
      <c r="AA1122" s="23"/>
      <c r="AC1122" s="26"/>
      <c r="AD1122" s="2"/>
      <c r="AG1122" s="23"/>
      <c r="AJ1122" s="23"/>
      <c r="AL1122" s="26"/>
      <c r="AN1122" s="7"/>
      <c r="AO1122" s="2"/>
      <c r="AP1122" s="2"/>
      <c r="AS1122" s="7"/>
      <c r="AT1122" s="2"/>
    </row>
    <row r="1123" spans="2:46" x14ac:dyDescent="0.25">
      <c r="B1123" s="22"/>
      <c r="C1123" s="23"/>
      <c r="E1123" s="23"/>
      <c r="F1123" s="24"/>
      <c r="G1123" s="2"/>
      <c r="H1123" s="8"/>
      <c r="L1123" s="10"/>
      <c r="M1123" s="26"/>
      <c r="O1123" s="24"/>
      <c r="Q1123" s="26"/>
      <c r="R1123" s="26"/>
      <c r="S1123" s="26"/>
      <c r="T1123" s="26"/>
      <c r="U1123" s="24"/>
      <c r="V1123" s="10"/>
      <c r="W1123" s="24"/>
      <c r="X1123" s="10"/>
      <c r="Y1123" s="7"/>
      <c r="Z1123" s="2"/>
      <c r="AA1123" s="23"/>
      <c r="AC1123" s="26"/>
      <c r="AD1123" s="2"/>
      <c r="AG1123" s="23"/>
      <c r="AJ1123" s="23"/>
      <c r="AL1123" s="26"/>
      <c r="AN1123" s="7"/>
      <c r="AO1123" s="2"/>
      <c r="AP1123" s="2"/>
      <c r="AS1123" s="7"/>
      <c r="AT1123" s="2"/>
    </row>
    <row r="1124" spans="2:46" x14ac:dyDescent="0.25">
      <c r="B1124" s="22"/>
      <c r="C1124" s="23"/>
      <c r="E1124" s="23"/>
      <c r="F1124" s="24"/>
      <c r="G1124" s="2"/>
      <c r="H1124" s="8"/>
      <c r="L1124" s="10"/>
      <c r="M1124" s="26"/>
      <c r="O1124" s="24"/>
      <c r="Q1124" s="26"/>
      <c r="R1124" s="26"/>
      <c r="S1124" s="26"/>
      <c r="T1124" s="26"/>
      <c r="U1124" s="24"/>
      <c r="V1124" s="10"/>
      <c r="W1124" s="24"/>
      <c r="X1124" s="10"/>
      <c r="Y1124" s="7"/>
      <c r="Z1124" s="2"/>
      <c r="AA1124" s="23"/>
      <c r="AC1124" s="26"/>
      <c r="AD1124" s="2"/>
      <c r="AG1124" s="23"/>
      <c r="AJ1124" s="23"/>
      <c r="AL1124" s="26"/>
      <c r="AN1124" s="7"/>
      <c r="AO1124" s="2"/>
      <c r="AP1124" s="2"/>
      <c r="AS1124" s="7"/>
      <c r="AT1124" s="2"/>
    </row>
    <row r="1125" spans="2:46" x14ac:dyDescent="0.25">
      <c r="B1125" s="22"/>
      <c r="C1125" s="23"/>
      <c r="E1125" s="23"/>
      <c r="F1125" s="24"/>
      <c r="G1125" s="2"/>
      <c r="H1125" s="8"/>
      <c r="L1125" s="10"/>
      <c r="M1125" s="26"/>
      <c r="O1125" s="24"/>
      <c r="Q1125" s="26"/>
      <c r="R1125" s="26"/>
      <c r="S1125" s="26"/>
      <c r="T1125" s="26"/>
      <c r="U1125" s="24"/>
      <c r="V1125" s="10"/>
      <c r="W1125" s="24"/>
      <c r="X1125" s="10"/>
      <c r="Y1125" s="7"/>
      <c r="Z1125" s="2"/>
      <c r="AA1125" s="23"/>
      <c r="AC1125" s="26"/>
      <c r="AD1125" s="2"/>
      <c r="AG1125" s="23"/>
      <c r="AJ1125" s="23"/>
      <c r="AL1125" s="26"/>
      <c r="AN1125" s="7"/>
      <c r="AO1125" s="2"/>
      <c r="AP1125" s="2"/>
      <c r="AS1125" s="7"/>
      <c r="AT1125" s="2"/>
    </row>
    <row r="1126" spans="2:46" x14ac:dyDescent="0.25">
      <c r="B1126" s="22"/>
      <c r="C1126" s="23"/>
      <c r="E1126" s="23"/>
      <c r="F1126" s="24"/>
      <c r="G1126" s="2"/>
      <c r="H1126" s="8"/>
      <c r="L1126" s="10"/>
      <c r="M1126" s="26"/>
      <c r="O1126" s="24"/>
      <c r="Q1126" s="26"/>
      <c r="R1126" s="26"/>
      <c r="S1126" s="26"/>
      <c r="T1126" s="26"/>
      <c r="U1126" s="24"/>
      <c r="V1126" s="10"/>
      <c r="W1126" s="24"/>
      <c r="X1126" s="10"/>
      <c r="Y1126" s="7"/>
      <c r="Z1126" s="2"/>
      <c r="AA1126" s="23"/>
      <c r="AC1126" s="26"/>
      <c r="AD1126" s="2"/>
      <c r="AG1126" s="23"/>
      <c r="AJ1126" s="23"/>
      <c r="AL1126" s="26"/>
      <c r="AN1126" s="7"/>
      <c r="AO1126" s="2"/>
      <c r="AP1126" s="2"/>
      <c r="AS1126" s="7"/>
      <c r="AT1126" s="2"/>
    </row>
    <row r="1127" spans="2:46" x14ac:dyDescent="0.25">
      <c r="B1127" s="22"/>
      <c r="C1127" s="23"/>
      <c r="E1127" s="23"/>
      <c r="F1127" s="24"/>
      <c r="G1127" s="2"/>
      <c r="H1127" s="8"/>
      <c r="L1127" s="10"/>
      <c r="M1127" s="26"/>
      <c r="O1127" s="24"/>
      <c r="Q1127" s="26"/>
      <c r="R1127" s="26"/>
      <c r="S1127" s="26"/>
      <c r="T1127" s="26"/>
      <c r="U1127" s="24"/>
      <c r="V1127" s="10"/>
      <c r="W1127" s="24"/>
      <c r="X1127" s="10"/>
      <c r="Y1127" s="7"/>
      <c r="Z1127" s="2"/>
      <c r="AA1127" s="23"/>
      <c r="AC1127" s="26"/>
      <c r="AD1127" s="2"/>
      <c r="AG1127" s="23"/>
      <c r="AJ1127" s="23"/>
      <c r="AL1127" s="26"/>
      <c r="AN1127" s="7"/>
      <c r="AO1127" s="2"/>
      <c r="AP1127" s="2"/>
      <c r="AS1127" s="7"/>
      <c r="AT1127" s="2"/>
    </row>
    <row r="1128" spans="2:46" x14ac:dyDescent="0.25">
      <c r="B1128" s="22"/>
      <c r="C1128" s="23"/>
      <c r="E1128" s="23"/>
      <c r="F1128" s="24"/>
      <c r="G1128" s="2"/>
      <c r="H1128" s="8"/>
      <c r="L1128" s="10"/>
      <c r="M1128" s="26"/>
      <c r="O1128" s="24"/>
      <c r="Q1128" s="26"/>
      <c r="R1128" s="26"/>
      <c r="S1128" s="26"/>
      <c r="T1128" s="26"/>
      <c r="U1128" s="24"/>
      <c r="V1128" s="10"/>
      <c r="W1128" s="24"/>
      <c r="X1128" s="10"/>
      <c r="Y1128" s="7"/>
      <c r="Z1128" s="2"/>
      <c r="AA1128" s="23"/>
      <c r="AC1128" s="26"/>
      <c r="AD1128" s="2"/>
      <c r="AG1128" s="23"/>
      <c r="AJ1128" s="23"/>
      <c r="AL1128" s="26"/>
      <c r="AN1128" s="7"/>
      <c r="AO1128" s="2"/>
      <c r="AP1128" s="2"/>
      <c r="AS1128" s="7"/>
      <c r="AT1128" s="2"/>
    </row>
    <row r="1129" spans="2:46" x14ac:dyDescent="0.25">
      <c r="B1129" s="22"/>
      <c r="C1129" s="23"/>
      <c r="E1129" s="23"/>
      <c r="F1129" s="24"/>
      <c r="G1129" s="2"/>
      <c r="H1129" s="8"/>
      <c r="L1129" s="10"/>
      <c r="M1129" s="26"/>
      <c r="O1129" s="24"/>
      <c r="Q1129" s="26"/>
      <c r="R1129" s="26"/>
      <c r="S1129" s="26"/>
      <c r="T1129" s="26"/>
      <c r="U1129" s="24"/>
      <c r="V1129" s="10"/>
      <c r="W1129" s="24"/>
      <c r="X1129" s="10"/>
      <c r="Y1129" s="7"/>
      <c r="Z1129" s="2"/>
      <c r="AA1129" s="23"/>
      <c r="AC1129" s="26"/>
      <c r="AD1129" s="2"/>
      <c r="AG1129" s="23"/>
      <c r="AJ1129" s="23"/>
      <c r="AL1129" s="26"/>
      <c r="AN1129" s="7"/>
      <c r="AO1129" s="2"/>
      <c r="AP1129" s="2"/>
      <c r="AS1129" s="7"/>
      <c r="AT1129" s="2"/>
    </row>
    <row r="1130" spans="2:46" x14ac:dyDescent="0.25">
      <c r="B1130" s="22"/>
      <c r="C1130" s="23"/>
      <c r="E1130" s="23"/>
      <c r="F1130" s="24"/>
      <c r="G1130" s="2"/>
      <c r="H1130" s="8"/>
      <c r="L1130" s="10"/>
      <c r="M1130" s="26"/>
      <c r="O1130" s="24"/>
      <c r="Q1130" s="26"/>
      <c r="R1130" s="26"/>
      <c r="S1130" s="26"/>
      <c r="T1130" s="26"/>
      <c r="U1130" s="24"/>
      <c r="V1130" s="10"/>
      <c r="W1130" s="24"/>
      <c r="X1130" s="10"/>
      <c r="Y1130" s="7"/>
      <c r="Z1130" s="2"/>
      <c r="AA1130" s="23"/>
      <c r="AC1130" s="26"/>
      <c r="AD1130" s="2"/>
      <c r="AG1130" s="23"/>
      <c r="AJ1130" s="23"/>
      <c r="AL1130" s="26"/>
      <c r="AN1130" s="7"/>
      <c r="AO1130" s="2"/>
      <c r="AP1130" s="2"/>
      <c r="AS1130" s="7"/>
      <c r="AT1130" s="2"/>
    </row>
    <row r="1131" spans="2:46" x14ac:dyDescent="0.25">
      <c r="B1131" s="22"/>
      <c r="C1131" s="23"/>
      <c r="E1131" s="23"/>
      <c r="F1131" s="24"/>
      <c r="G1131" s="2"/>
      <c r="H1131" s="8"/>
      <c r="L1131" s="10"/>
      <c r="M1131" s="26"/>
      <c r="O1131" s="24"/>
      <c r="Q1131" s="26"/>
      <c r="R1131" s="26"/>
      <c r="S1131" s="26"/>
      <c r="T1131" s="26"/>
      <c r="U1131" s="24"/>
      <c r="V1131" s="10"/>
      <c r="W1131" s="24"/>
      <c r="X1131" s="10"/>
      <c r="Y1131" s="7"/>
      <c r="Z1131" s="2"/>
      <c r="AA1131" s="23"/>
      <c r="AC1131" s="26"/>
      <c r="AD1131" s="2"/>
      <c r="AG1131" s="23"/>
      <c r="AJ1131" s="23"/>
      <c r="AL1131" s="26"/>
      <c r="AN1131" s="7"/>
      <c r="AO1131" s="2"/>
      <c r="AP1131" s="2"/>
      <c r="AS1131" s="7"/>
      <c r="AT1131" s="2"/>
    </row>
    <row r="1132" spans="2:46" x14ac:dyDescent="0.25">
      <c r="B1132" s="22"/>
      <c r="C1132" s="23"/>
      <c r="E1132" s="23"/>
      <c r="F1132" s="24"/>
      <c r="G1132" s="2"/>
      <c r="H1132" s="8"/>
      <c r="L1132" s="10"/>
      <c r="M1132" s="26"/>
      <c r="O1132" s="24"/>
      <c r="Q1132" s="26"/>
      <c r="R1132" s="26"/>
      <c r="S1132" s="26"/>
      <c r="T1132" s="26"/>
      <c r="U1132" s="24"/>
      <c r="V1132" s="10"/>
      <c r="W1132" s="24"/>
      <c r="X1132" s="10"/>
      <c r="Y1132" s="7"/>
      <c r="Z1132" s="2"/>
      <c r="AA1132" s="23"/>
      <c r="AC1132" s="26"/>
      <c r="AD1132" s="2"/>
      <c r="AG1132" s="23"/>
      <c r="AJ1132" s="23"/>
      <c r="AL1132" s="26"/>
      <c r="AN1132" s="7"/>
      <c r="AO1132" s="2"/>
      <c r="AP1132" s="2"/>
      <c r="AS1132" s="7"/>
      <c r="AT1132" s="2"/>
    </row>
    <row r="1133" spans="2:46" x14ac:dyDescent="0.25">
      <c r="B1133" s="22"/>
      <c r="C1133" s="23"/>
      <c r="E1133" s="23"/>
      <c r="F1133" s="24"/>
      <c r="G1133" s="2"/>
      <c r="H1133" s="8"/>
      <c r="L1133" s="10"/>
      <c r="M1133" s="26"/>
      <c r="O1133" s="24"/>
      <c r="Q1133" s="26"/>
      <c r="R1133" s="26"/>
      <c r="S1133" s="26"/>
      <c r="T1133" s="26"/>
      <c r="U1133" s="24"/>
      <c r="V1133" s="10"/>
      <c r="W1133" s="24"/>
      <c r="X1133" s="10"/>
      <c r="Y1133" s="7"/>
      <c r="Z1133" s="2"/>
      <c r="AA1133" s="23"/>
      <c r="AC1133" s="26"/>
      <c r="AD1133" s="2"/>
      <c r="AG1133" s="23"/>
      <c r="AJ1133" s="23"/>
      <c r="AL1133" s="26"/>
      <c r="AN1133" s="7"/>
      <c r="AO1133" s="2"/>
      <c r="AP1133" s="2"/>
      <c r="AS1133" s="7"/>
      <c r="AT1133" s="2"/>
    </row>
    <row r="1134" spans="2:46" x14ac:dyDescent="0.25">
      <c r="B1134" s="22"/>
      <c r="C1134" s="23"/>
      <c r="E1134" s="23"/>
      <c r="F1134" s="24"/>
      <c r="G1134" s="2"/>
      <c r="H1134" s="8"/>
      <c r="L1134" s="10"/>
      <c r="M1134" s="26"/>
      <c r="O1134" s="24"/>
      <c r="Q1134" s="26"/>
      <c r="R1134" s="26"/>
      <c r="S1134" s="26"/>
      <c r="T1134" s="26"/>
      <c r="U1134" s="24"/>
      <c r="V1134" s="10"/>
      <c r="W1134" s="24"/>
      <c r="X1134" s="10"/>
      <c r="Y1134" s="7"/>
      <c r="Z1134" s="2"/>
      <c r="AA1134" s="23"/>
      <c r="AC1134" s="26"/>
      <c r="AD1134" s="2"/>
      <c r="AG1134" s="23"/>
      <c r="AJ1134" s="23"/>
      <c r="AL1134" s="26"/>
      <c r="AN1134" s="7"/>
      <c r="AO1134" s="2"/>
      <c r="AP1134" s="2"/>
      <c r="AS1134" s="7"/>
      <c r="AT1134" s="2"/>
    </row>
    <row r="1135" spans="2:46" x14ac:dyDescent="0.25">
      <c r="B1135" s="22"/>
      <c r="C1135" s="23"/>
      <c r="E1135" s="23"/>
      <c r="F1135" s="24"/>
      <c r="G1135" s="2"/>
      <c r="H1135" s="8"/>
      <c r="L1135" s="10"/>
      <c r="M1135" s="26"/>
      <c r="O1135" s="24"/>
      <c r="Q1135" s="26"/>
      <c r="R1135" s="26"/>
      <c r="S1135" s="26"/>
      <c r="T1135" s="26"/>
      <c r="U1135" s="24"/>
      <c r="V1135" s="10"/>
      <c r="W1135" s="24"/>
      <c r="X1135" s="10"/>
      <c r="Y1135" s="7"/>
      <c r="Z1135" s="2"/>
      <c r="AA1135" s="23"/>
      <c r="AC1135" s="26"/>
      <c r="AD1135" s="2"/>
      <c r="AG1135" s="23"/>
      <c r="AJ1135" s="23"/>
      <c r="AL1135" s="26"/>
      <c r="AN1135" s="7"/>
      <c r="AO1135" s="2"/>
      <c r="AP1135" s="2"/>
      <c r="AS1135" s="7"/>
      <c r="AT1135" s="2"/>
    </row>
    <row r="1136" spans="2:46" x14ac:dyDescent="0.25">
      <c r="B1136" s="22"/>
      <c r="C1136" s="23"/>
      <c r="F1136" s="24"/>
      <c r="G1136" s="2"/>
      <c r="H1136" s="8"/>
      <c r="L1136" s="10"/>
      <c r="M1136" s="26"/>
      <c r="O1136" s="24"/>
      <c r="Q1136" s="26"/>
      <c r="R1136" s="26"/>
      <c r="S1136" s="26"/>
      <c r="T1136" s="26"/>
      <c r="U1136" s="24"/>
      <c r="V1136" s="10"/>
      <c r="W1136" s="24"/>
      <c r="X1136" s="10"/>
      <c r="Y1136" s="7"/>
      <c r="Z1136" s="2"/>
      <c r="AA1136" s="23"/>
      <c r="AC1136" s="26"/>
      <c r="AD1136" s="2"/>
      <c r="AG1136" s="23"/>
      <c r="AJ1136" s="23"/>
      <c r="AL1136" s="26"/>
      <c r="AN1136" s="7"/>
      <c r="AO1136" s="2"/>
      <c r="AP1136" s="2"/>
      <c r="AS1136" s="7"/>
      <c r="AT1136" s="2"/>
    </row>
    <row r="1137" spans="2:46" x14ac:dyDescent="0.25">
      <c r="B1137" s="22"/>
      <c r="C1137" s="23"/>
      <c r="F1137" s="24"/>
      <c r="G1137" s="2"/>
      <c r="H1137" s="8"/>
      <c r="L1137" s="10"/>
      <c r="M1137" s="26"/>
      <c r="O1137" s="24"/>
      <c r="Q1137" s="26"/>
      <c r="R1137" s="26"/>
      <c r="S1137" s="26"/>
      <c r="T1137" s="26"/>
      <c r="U1137" s="24"/>
      <c r="V1137" s="10"/>
      <c r="W1137" s="24"/>
      <c r="X1137" s="10"/>
      <c r="Y1137" s="7"/>
      <c r="Z1137" s="2"/>
      <c r="AA1137" s="23"/>
      <c r="AC1137" s="26"/>
      <c r="AD1137" s="2"/>
      <c r="AG1137" s="23"/>
      <c r="AJ1137" s="23"/>
      <c r="AL1137" s="26"/>
      <c r="AN1137" s="7"/>
      <c r="AO1137" s="2"/>
      <c r="AP1137" s="2"/>
      <c r="AS1137" s="7"/>
      <c r="AT1137" s="2"/>
    </row>
    <row r="1138" spans="2:46" x14ac:dyDescent="0.25">
      <c r="B1138" s="22"/>
      <c r="C1138" s="23"/>
      <c r="F1138" s="24"/>
      <c r="G1138" s="2"/>
      <c r="H1138" s="8"/>
      <c r="L1138" s="10"/>
      <c r="M1138" s="26"/>
      <c r="O1138" s="24"/>
      <c r="Q1138" s="26"/>
      <c r="S1138" s="26"/>
      <c r="T1138" s="26"/>
      <c r="U1138" s="24"/>
      <c r="V1138" s="10"/>
      <c r="W1138" s="24"/>
      <c r="X1138" s="10"/>
      <c r="Y1138" s="7"/>
      <c r="Z1138" s="2"/>
      <c r="AA1138" s="23"/>
      <c r="AC1138" s="26"/>
      <c r="AD1138" s="2"/>
      <c r="AG1138" s="23"/>
      <c r="AJ1138" s="23"/>
      <c r="AL1138" s="26"/>
      <c r="AN1138" s="7"/>
      <c r="AO1138" s="2"/>
      <c r="AP1138" s="2"/>
      <c r="AS1138" s="7"/>
      <c r="AT1138" s="2"/>
    </row>
    <row r="1139" spans="2:46" x14ac:dyDescent="0.25">
      <c r="B1139" s="22"/>
      <c r="C1139" s="23"/>
      <c r="F1139" s="24"/>
      <c r="G1139" s="2"/>
      <c r="H1139" s="8"/>
      <c r="L1139" s="10"/>
      <c r="M1139" s="26"/>
      <c r="O1139" s="24"/>
      <c r="Q1139" s="26"/>
      <c r="S1139" s="26"/>
      <c r="T1139" s="26"/>
      <c r="U1139" s="24"/>
      <c r="V1139" s="10"/>
      <c r="W1139" s="24"/>
      <c r="X1139" s="10"/>
      <c r="Y1139" s="7"/>
      <c r="Z1139" s="2"/>
      <c r="AA1139" s="23"/>
      <c r="AC1139" s="26"/>
      <c r="AD1139" s="2"/>
      <c r="AG1139" s="23"/>
      <c r="AJ1139" s="23"/>
      <c r="AL1139" s="26"/>
      <c r="AN1139" s="7"/>
      <c r="AO1139" s="2"/>
      <c r="AP1139" s="2"/>
      <c r="AS1139" s="7"/>
      <c r="AT1139" s="2"/>
    </row>
    <row r="1140" spans="2:46" x14ac:dyDescent="0.25">
      <c r="B1140" s="22"/>
      <c r="C1140" s="23"/>
      <c r="F1140" s="24"/>
      <c r="G1140" s="2"/>
      <c r="L1140" s="10"/>
      <c r="O1140" s="24"/>
      <c r="Q1140" s="26"/>
      <c r="S1140" s="26"/>
      <c r="T1140" s="26"/>
      <c r="U1140" s="24"/>
      <c r="V1140" s="10"/>
      <c r="W1140" s="24"/>
      <c r="X1140" s="10"/>
      <c r="Y1140" s="7"/>
      <c r="Z1140" s="2"/>
      <c r="AA1140" s="23"/>
      <c r="AC1140" s="26"/>
      <c r="AD1140" s="2"/>
      <c r="AG1140" s="23"/>
      <c r="AJ1140" s="23"/>
      <c r="AL1140" s="26"/>
      <c r="AN1140" s="7"/>
      <c r="AO1140" s="2"/>
      <c r="AP1140" s="2"/>
      <c r="AS1140" s="7"/>
      <c r="AT1140" s="2"/>
    </row>
    <row r="1141" spans="2:46" x14ac:dyDescent="0.25">
      <c r="B1141" s="22"/>
      <c r="C1141" s="23"/>
      <c r="F1141" s="24"/>
      <c r="G1141" s="2"/>
      <c r="L1141" s="10"/>
      <c r="O1141" s="24"/>
      <c r="Q1141" s="26"/>
      <c r="S1141" s="26"/>
      <c r="T1141" s="26"/>
      <c r="U1141" s="24"/>
      <c r="V1141" s="10"/>
      <c r="W1141" s="24"/>
      <c r="X1141" s="10"/>
      <c r="Y1141" s="7"/>
      <c r="Z1141" s="2"/>
      <c r="AA1141" s="23"/>
      <c r="AC1141" s="26"/>
      <c r="AD1141" s="2"/>
      <c r="AG1141" s="23"/>
      <c r="AJ1141" s="23"/>
      <c r="AL1141" s="26"/>
      <c r="AN1141" s="7"/>
      <c r="AO1141" s="2"/>
      <c r="AP1141" s="2"/>
      <c r="AS1141" s="7"/>
      <c r="AT1141" s="2"/>
    </row>
    <row r="1142" spans="2:46" x14ac:dyDescent="0.25">
      <c r="F1142" s="24"/>
      <c r="G1142" s="2"/>
      <c r="L1142" s="10"/>
      <c r="O1142" s="24"/>
      <c r="S1142" s="26"/>
      <c r="T1142" s="27"/>
      <c r="U1142" s="24"/>
      <c r="Z1142" s="2"/>
      <c r="AD1142" s="2"/>
      <c r="AG1142" s="23"/>
      <c r="AN1142" s="7"/>
      <c r="AO1142" s="2"/>
      <c r="AP1142" s="2"/>
      <c r="AS1142" s="7"/>
      <c r="AT1142" s="2"/>
    </row>
    <row r="1143" spans="2:46" x14ac:dyDescent="0.25">
      <c r="F1143" s="24"/>
      <c r="G1143" s="2"/>
      <c r="L1143" s="10"/>
      <c r="O1143" s="24"/>
      <c r="S1143" s="26"/>
      <c r="T1143" s="27"/>
      <c r="U1143" s="24"/>
      <c r="Z1143" s="2"/>
      <c r="AD1143" s="2"/>
      <c r="AG1143" s="23"/>
      <c r="AN1143" s="7"/>
      <c r="AO1143" s="2"/>
      <c r="AP1143" s="2"/>
      <c r="AS1143" s="7"/>
      <c r="AT1143" s="2"/>
    </row>
    <row r="1144" spans="2:46" x14ac:dyDescent="0.25">
      <c r="F1144" s="24"/>
      <c r="G1144" s="2"/>
      <c r="L1144" s="10"/>
      <c r="O1144" s="24"/>
      <c r="S1144" s="26"/>
      <c r="T1144" s="27"/>
      <c r="U1144" s="24"/>
      <c r="Z1144" s="2"/>
      <c r="AD1144" s="2"/>
      <c r="AG1144" s="23"/>
      <c r="AN1144" s="7"/>
      <c r="AO1144" s="2"/>
      <c r="AP1144" s="2"/>
      <c r="AS1144" s="7"/>
      <c r="AT1144" s="2"/>
    </row>
    <row r="1145" spans="2:46" x14ac:dyDescent="0.25">
      <c r="F1145" s="24"/>
      <c r="G1145" s="2"/>
      <c r="L1145" s="10"/>
      <c r="O1145" s="24"/>
      <c r="S1145" s="26"/>
      <c r="T1145" s="27"/>
      <c r="U1145" s="24"/>
      <c r="Z1145" s="2"/>
      <c r="AD1145" s="2"/>
      <c r="AG1145" s="23"/>
      <c r="AN1145" s="7"/>
      <c r="AO1145" s="2"/>
      <c r="AP1145" s="2"/>
      <c r="AS1145" s="7"/>
      <c r="AT1145" s="2"/>
    </row>
    <row r="1146" spans="2:46" x14ac:dyDescent="0.25">
      <c r="AD1146" s="2"/>
      <c r="AG1146" s="23"/>
      <c r="AN1146" s="7"/>
      <c r="AO1146" s="2"/>
      <c r="AP1146" s="2"/>
      <c r="AS1146" s="7"/>
      <c r="AT1146" s="2"/>
    </row>
    <row r="1147" spans="2:46" x14ac:dyDescent="0.25">
      <c r="AD1147" s="2"/>
      <c r="AG1147" s="23"/>
      <c r="AN1147" s="7"/>
      <c r="AO1147" s="2"/>
      <c r="AP1147" s="2"/>
      <c r="AS1147" s="7"/>
      <c r="AT1147" s="2"/>
    </row>
    <row r="1148" spans="2:46" x14ac:dyDescent="0.25">
      <c r="AD1148" s="2"/>
      <c r="AG1148" s="23"/>
      <c r="AN1148" s="7"/>
      <c r="AO1148" s="2"/>
      <c r="AP1148" s="2"/>
      <c r="AS1148" s="7"/>
      <c r="AT1148" s="2"/>
    </row>
    <row r="1149" spans="2:46" x14ac:dyDescent="0.25">
      <c r="AD1149" s="2"/>
      <c r="AG1149" s="23"/>
      <c r="AN1149" s="7"/>
      <c r="AO1149" s="2"/>
      <c r="AP1149" s="2"/>
      <c r="AS1149" s="7"/>
      <c r="AT1149" s="2"/>
    </row>
    <row r="1150" spans="2:46" x14ac:dyDescent="0.25">
      <c r="AD1150" s="2"/>
      <c r="AG1150" s="23"/>
      <c r="AN1150" s="7"/>
      <c r="AO1150" s="2"/>
      <c r="AP1150" s="2"/>
      <c r="AS1150" s="7"/>
      <c r="AT1150" s="2"/>
    </row>
    <row r="1151" spans="2:46" x14ac:dyDescent="0.25">
      <c r="AD1151" s="2"/>
      <c r="AG1151" s="23"/>
      <c r="AN1151" s="7"/>
      <c r="AO1151" s="2"/>
      <c r="AP1151" s="2"/>
      <c r="AS1151" s="7"/>
      <c r="AT1151" s="2"/>
    </row>
    <row r="1152" spans="2:46" x14ac:dyDescent="0.25">
      <c r="AD1152" s="2"/>
      <c r="AG1152" s="23"/>
      <c r="AN1152" s="7"/>
      <c r="AO1152" s="2"/>
      <c r="AP1152" s="2"/>
      <c r="AS1152" s="7"/>
      <c r="AT1152" s="2"/>
    </row>
    <row r="1153" spans="30:46" x14ac:dyDescent="0.25">
      <c r="AD1153" s="2"/>
      <c r="AG1153" s="23"/>
      <c r="AN1153" s="7"/>
      <c r="AO1153" s="2"/>
      <c r="AP1153" s="2"/>
      <c r="AS1153" s="7"/>
      <c r="AT1153" s="2"/>
    </row>
    <row r="1154" spans="30:46" x14ac:dyDescent="0.25">
      <c r="AD1154" s="2"/>
      <c r="AG1154" s="23"/>
      <c r="AN1154" s="7"/>
      <c r="AO1154" s="2"/>
      <c r="AP1154" s="2"/>
      <c r="AS1154" s="7"/>
      <c r="AT1154" s="2"/>
    </row>
    <row r="1155" spans="30:46" x14ac:dyDescent="0.25">
      <c r="AD1155" s="2"/>
      <c r="AG1155" s="23"/>
      <c r="AN1155" s="7"/>
      <c r="AO1155" s="2"/>
      <c r="AP1155" s="2"/>
      <c r="AS1155" s="7"/>
      <c r="AT1155" s="2"/>
    </row>
    <row r="1156" spans="30:46" x14ac:dyDescent="0.25">
      <c r="AD1156" s="2"/>
      <c r="AG1156" s="23"/>
      <c r="AN1156" s="7"/>
      <c r="AO1156" s="2"/>
      <c r="AP1156" s="2"/>
      <c r="AS1156" s="7"/>
      <c r="AT1156" s="2"/>
    </row>
    <row r="1157" spans="30:46" x14ac:dyDescent="0.25">
      <c r="AD1157" s="2"/>
      <c r="AG1157" s="23"/>
      <c r="AN1157" s="7"/>
      <c r="AO1157" s="2"/>
      <c r="AP1157" s="2"/>
      <c r="AS1157" s="7"/>
      <c r="AT1157" s="2"/>
    </row>
    <row r="1158" spans="30:46" x14ac:dyDescent="0.25">
      <c r="AD1158" s="2"/>
      <c r="AG1158" s="23"/>
      <c r="AN1158" s="7"/>
      <c r="AO1158" s="2"/>
      <c r="AP1158" s="2"/>
      <c r="AS1158" s="7"/>
      <c r="AT1158" s="2"/>
    </row>
    <row r="1159" spans="30:46" x14ac:dyDescent="0.25">
      <c r="AD1159" s="2"/>
      <c r="AG1159" s="23"/>
      <c r="AN1159" s="7"/>
      <c r="AO1159" s="2"/>
      <c r="AP1159" s="2"/>
      <c r="AS1159" s="7"/>
      <c r="AT1159" s="2"/>
    </row>
    <row r="1160" spans="30:46" x14ac:dyDescent="0.25">
      <c r="AD1160" s="2"/>
      <c r="AN1160" s="7"/>
      <c r="AO1160" s="2"/>
      <c r="AP1160" s="2"/>
      <c r="AS1160" s="7"/>
    </row>
    <row r="1161" spans="30:46" x14ac:dyDescent="0.25">
      <c r="AD1161" s="2"/>
      <c r="AN1161" s="7"/>
      <c r="AO1161" s="2"/>
      <c r="AP1161" s="2"/>
      <c r="AS1161" s="7"/>
    </row>
    <row r="1162" spans="30:46" x14ac:dyDescent="0.25">
      <c r="AD1162" s="2"/>
      <c r="AO1162" s="2"/>
      <c r="AP1162" s="2"/>
      <c r="AS1162" s="7"/>
    </row>
    <row r="1163" spans="30:46" x14ac:dyDescent="0.25">
      <c r="AD1163" s="2"/>
      <c r="AO1163" s="2"/>
      <c r="AP1163" s="2"/>
      <c r="AS1163" s="7"/>
    </row>
    <row r="1164" spans="30:46" x14ac:dyDescent="0.25">
      <c r="AO1164" s="2"/>
    </row>
    <row r="1165" spans="30:46" x14ac:dyDescent="0.25">
      <c r="AO1165" s="2"/>
    </row>
    <row r="1166" spans="30:46" x14ac:dyDescent="0.25">
      <c r="AO1166" s="2"/>
    </row>
    <row r="1167" spans="30:46" x14ac:dyDescent="0.25">
      <c r="AO1167" s="2"/>
    </row>
    <row r="1168" spans="30:46" x14ac:dyDescent="0.25">
      <c r="AO1168" s="2"/>
    </row>
    <row r="1169" spans="41:41" x14ac:dyDescent="0.25">
      <c r="AO1169" s="2"/>
    </row>
    <row r="1170" spans="41:41" x14ac:dyDescent="0.25">
      <c r="AO1170" s="2"/>
    </row>
    <row r="1171" spans="41:41" x14ac:dyDescent="0.25">
      <c r="AO1171" s="2"/>
    </row>
    <row r="1172" spans="41:41" x14ac:dyDescent="0.25">
      <c r="AO1172" s="2"/>
    </row>
    <row r="1173" spans="41:41" x14ac:dyDescent="0.25">
      <c r="AO1173" s="2"/>
    </row>
    <row r="1174" spans="41:41" x14ac:dyDescent="0.25">
      <c r="AO1174" s="2"/>
    </row>
    <row r="1175" spans="41:41" x14ac:dyDescent="0.25">
      <c r="AO1175" s="2"/>
    </row>
    <row r="1176" spans="41:41" x14ac:dyDescent="0.25">
      <c r="AO1176" s="2"/>
    </row>
    <row r="1177" spans="41:41" x14ac:dyDescent="0.25">
      <c r="AO1177" s="2"/>
    </row>
    <row r="1178" spans="41:41" x14ac:dyDescent="0.25">
      <c r="AO1178" s="2"/>
    </row>
    <row r="1179" spans="41:41" x14ac:dyDescent="0.25">
      <c r="AO1179" s="2"/>
    </row>
    <row r="1180" spans="41:41" x14ac:dyDescent="0.25">
      <c r="AO1180" s="2"/>
    </row>
    <row r="1181" spans="41:41" x14ac:dyDescent="0.25">
      <c r="AO1181" s="2"/>
    </row>
    <row r="1182" spans="41:41" x14ac:dyDescent="0.25">
      <c r="AO1182" s="2"/>
    </row>
    <row r="1183" spans="41:41" x14ac:dyDescent="0.25">
      <c r="AO1183" s="2"/>
    </row>
    <row r="1184" spans="41:41" x14ac:dyDescent="0.25">
      <c r="AO1184" s="2"/>
    </row>
    <row r="1185" spans="41:41" x14ac:dyDescent="0.25">
      <c r="AO1185" s="2"/>
    </row>
    <row r="1186" spans="41:41" x14ac:dyDescent="0.25">
      <c r="AO1186" s="2"/>
    </row>
    <row r="1187" spans="41:41" x14ac:dyDescent="0.25">
      <c r="AO1187" s="2"/>
    </row>
    <row r="1188" spans="41:41" x14ac:dyDescent="0.25">
      <c r="AO1188" s="2"/>
    </row>
    <row r="1189" spans="41:41" x14ac:dyDescent="0.25">
      <c r="AO1189" s="2"/>
    </row>
    <row r="1190" spans="41:41" x14ac:dyDescent="0.25">
      <c r="AO1190" s="2"/>
    </row>
    <row r="1191" spans="41:41" x14ac:dyDescent="0.25">
      <c r="AO1191" s="2"/>
    </row>
    <row r="1192" spans="41:41" x14ac:dyDescent="0.25">
      <c r="AO1192" s="2"/>
    </row>
    <row r="1193" spans="41:41" x14ac:dyDescent="0.25">
      <c r="AO1193" s="2"/>
    </row>
    <row r="1194" spans="41:41" x14ac:dyDescent="0.25">
      <c r="AO1194" s="2"/>
    </row>
    <row r="1195" spans="41:41" x14ac:dyDescent="0.25">
      <c r="AO1195" s="2"/>
    </row>
    <row r="1196" spans="41:41" x14ac:dyDescent="0.25">
      <c r="AO1196" s="2"/>
    </row>
    <row r="1197" spans="41:41" x14ac:dyDescent="0.25">
      <c r="AO1197" s="2"/>
    </row>
    <row r="1198" spans="41:41" x14ac:dyDescent="0.25">
      <c r="AO1198" s="2"/>
    </row>
    <row r="1199" spans="41:41" x14ac:dyDescent="0.25">
      <c r="AO1199" s="2"/>
    </row>
    <row r="1200" spans="41:41" x14ac:dyDescent="0.25">
      <c r="AO1200" s="2"/>
    </row>
    <row r="1201" spans="41:41" x14ac:dyDescent="0.25">
      <c r="AO1201" s="2"/>
    </row>
    <row r="1202" spans="41:41" x14ac:dyDescent="0.25">
      <c r="AO1202" s="2"/>
    </row>
    <row r="1203" spans="41:41" x14ac:dyDescent="0.25">
      <c r="AO1203" s="2"/>
    </row>
    <row r="1204" spans="41:41" x14ac:dyDescent="0.25">
      <c r="AO1204" s="2"/>
    </row>
    <row r="1205" spans="41:41" x14ac:dyDescent="0.25">
      <c r="AO1205" s="2"/>
    </row>
    <row r="1206" spans="41:41" x14ac:dyDescent="0.25">
      <c r="AO1206" s="2"/>
    </row>
    <row r="1207" spans="41:41" x14ac:dyDescent="0.25">
      <c r="AO1207" s="2"/>
    </row>
    <row r="1208" spans="41:41" x14ac:dyDescent="0.25">
      <c r="AO1208" s="2"/>
    </row>
    <row r="1209" spans="41:41" x14ac:dyDescent="0.25">
      <c r="AO1209" s="2"/>
    </row>
    <row r="1210" spans="41:41" x14ac:dyDescent="0.25">
      <c r="AO1210" s="2"/>
    </row>
    <row r="1211" spans="41:41" x14ac:dyDescent="0.25">
      <c r="AO1211" s="2"/>
    </row>
    <row r="1212" spans="41:41" x14ac:dyDescent="0.25">
      <c r="AO1212" s="2"/>
    </row>
    <row r="1213" spans="41:41" x14ac:dyDescent="0.25">
      <c r="AO1213" s="2"/>
    </row>
    <row r="1214" spans="41:41" x14ac:dyDescent="0.25">
      <c r="AO1214" s="2"/>
    </row>
    <row r="1215" spans="41:41" x14ac:dyDescent="0.25">
      <c r="AO1215" s="2"/>
    </row>
    <row r="1216" spans="41:41" x14ac:dyDescent="0.25">
      <c r="AO1216" s="2"/>
    </row>
    <row r="1217" spans="41:41" x14ac:dyDescent="0.25">
      <c r="AO1217" s="2"/>
    </row>
    <row r="1218" spans="41:41" x14ac:dyDescent="0.25">
      <c r="AO1218" s="2"/>
    </row>
    <row r="1219" spans="41:41" x14ac:dyDescent="0.25">
      <c r="AO1219" s="2"/>
    </row>
    <row r="1220" spans="41:41" x14ac:dyDescent="0.25">
      <c r="AO1220" s="2"/>
    </row>
    <row r="1221" spans="41:41" x14ac:dyDescent="0.25">
      <c r="AO1221" s="2"/>
    </row>
    <row r="1222" spans="41:41" x14ac:dyDescent="0.25">
      <c r="AO1222" s="2"/>
    </row>
    <row r="1223" spans="41:41" x14ac:dyDescent="0.25">
      <c r="AO1223" s="2"/>
    </row>
    <row r="1224" spans="41:41" x14ac:dyDescent="0.25">
      <c r="AO1224" s="2"/>
    </row>
    <row r="1225" spans="41:41" x14ac:dyDescent="0.25">
      <c r="AO1225" s="2"/>
    </row>
    <row r="1226" spans="41:41" x14ac:dyDescent="0.25">
      <c r="AO1226" s="2"/>
    </row>
    <row r="1227" spans="41:41" x14ac:dyDescent="0.25">
      <c r="AO1227" s="2"/>
    </row>
    <row r="1228" spans="41:41" x14ac:dyDescent="0.25">
      <c r="AO1228" s="2"/>
    </row>
    <row r="1229" spans="41:41" x14ac:dyDescent="0.25">
      <c r="AO1229" s="2"/>
    </row>
    <row r="1230" spans="41:41" x14ac:dyDescent="0.25">
      <c r="AO1230" s="2"/>
    </row>
    <row r="1231" spans="41:41" x14ac:dyDescent="0.25">
      <c r="AO1231" s="2"/>
    </row>
    <row r="1232" spans="41:41" x14ac:dyDescent="0.25">
      <c r="AO1232" s="2"/>
    </row>
    <row r="1233" spans="41:41" x14ac:dyDescent="0.25">
      <c r="AO1233" s="2"/>
    </row>
    <row r="1234" spans="41:41" x14ac:dyDescent="0.25">
      <c r="AO1234" s="2"/>
    </row>
    <row r="1235" spans="41:41" x14ac:dyDescent="0.25">
      <c r="AO1235" s="2"/>
    </row>
    <row r="1236" spans="41:41" x14ac:dyDescent="0.25">
      <c r="AO1236" s="2"/>
    </row>
    <row r="1237" spans="41:41" x14ac:dyDescent="0.25">
      <c r="AO1237" s="2"/>
    </row>
    <row r="1238" spans="41:41" x14ac:dyDescent="0.25">
      <c r="AO1238" s="2"/>
    </row>
    <row r="1239" spans="41:41" x14ac:dyDescent="0.25">
      <c r="AO1239" s="2"/>
    </row>
    <row r="1240" spans="41:41" x14ac:dyDescent="0.25">
      <c r="AO1240" s="2"/>
    </row>
    <row r="1241" spans="41:41" x14ac:dyDescent="0.25">
      <c r="AO1241" s="2"/>
    </row>
    <row r="1242" spans="41:41" x14ac:dyDescent="0.25">
      <c r="AO1242" s="2"/>
    </row>
    <row r="1243" spans="41:41" x14ac:dyDescent="0.25">
      <c r="AO1243" s="2"/>
    </row>
    <row r="1244" spans="41:41" x14ac:dyDescent="0.25">
      <c r="AO1244" s="2"/>
    </row>
    <row r="1245" spans="41:41" x14ac:dyDescent="0.25">
      <c r="AO1245" s="2"/>
    </row>
    <row r="1246" spans="41:41" x14ac:dyDescent="0.25">
      <c r="AO1246" s="2"/>
    </row>
    <row r="1247" spans="41:41" x14ac:dyDescent="0.25">
      <c r="AO1247" s="2"/>
    </row>
    <row r="1248" spans="41:41" x14ac:dyDescent="0.25">
      <c r="AO1248" s="2"/>
    </row>
    <row r="1249" spans="41:41" x14ac:dyDescent="0.25">
      <c r="AO1249" s="2"/>
    </row>
    <row r="1250" spans="41:41" x14ac:dyDescent="0.25">
      <c r="AO1250" s="2"/>
    </row>
    <row r="1251" spans="41:41" x14ac:dyDescent="0.25">
      <c r="AO1251" s="2"/>
    </row>
    <row r="1252" spans="41:41" x14ac:dyDescent="0.25">
      <c r="AO1252" s="2"/>
    </row>
    <row r="1253" spans="41:41" x14ac:dyDescent="0.25">
      <c r="AO1253" s="2"/>
    </row>
    <row r="1254" spans="41:41" x14ac:dyDescent="0.25">
      <c r="AO1254" s="2"/>
    </row>
    <row r="1255" spans="41:41" x14ac:dyDescent="0.25">
      <c r="AO1255" s="2"/>
    </row>
    <row r="1256" spans="41:41" x14ac:dyDescent="0.25">
      <c r="AO1256" s="2"/>
    </row>
    <row r="1257" spans="41:41" x14ac:dyDescent="0.25">
      <c r="AO1257" s="2"/>
    </row>
    <row r="1258" spans="41:41" x14ac:dyDescent="0.25">
      <c r="AO1258" s="2"/>
    </row>
    <row r="1259" spans="41:41" x14ac:dyDescent="0.25">
      <c r="AO1259" s="2"/>
    </row>
    <row r="1260" spans="41:41" x14ac:dyDescent="0.25">
      <c r="AO1260" s="2"/>
    </row>
    <row r="1261" spans="41:41" x14ac:dyDescent="0.25">
      <c r="AO1261" s="2"/>
    </row>
    <row r="1262" spans="41:41" x14ac:dyDescent="0.25">
      <c r="AO1262" s="2"/>
    </row>
    <row r="1263" spans="41:41" x14ac:dyDescent="0.25">
      <c r="AO1263" s="2"/>
    </row>
    <row r="1264" spans="41:41" x14ac:dyDescent="0.25">
      <c r="AO1264" s="2"/>
    </row>
    <row r="1265" spans="41:41" x14ac:dyDescent="0.25">
      <c r="AO1265" s="2"/>
    </row>
    <row r="1266" spans="41:41" x14ac:dyDescent="0.25">
      <c r="AO1266" s="2"/>
    </row>
    <row r="1267" spans="41:41" x14ac:dyDescent="0.25">
      <c r="AO1267" s="2"/>
    </row>
    <row r="1268" spans="41:41" x14ac:dyDescent="0.25">
      <c r="AO1268" s="2"/>
    </row>
    <row r="1269" spans="41:41" x14ac:dyDescent="0.25">
      <c r="AO1269" s="2"/>
    </row>
    <row r="1270" spans="41:41" x14ac:dyDescent="0.25">
      <c r="AO1270" s="2"/>
    </row>
    <row r="1271" spans="41:41" x14ac:dyDescent="0.25">
      <c r="AO1271" s="2"/>
    </row>
    <row r="1272" spans="41:41" x14ac:dyDescent="0.25">
      <c r="AO1272" s="2"/>
    </row>
    <row r="1273" spans="41:41" x14ac:dyDescent="0.25">
      <c r="AO1273" s="2"/>
    </row>
    <row r="1274" spans="41:41" x14ac:dyDescent="0.25">
      <c r="AO1274" s="2"/>
    </row>
    <row r="1275" spans="41:41" x14ac:dyDescent="0.25">
      <c r="AO1275" s="2"/>
    </row>
    <row r="1276" spans="41:41" x14ac:dyDescent="0.25">
      <c r="AO1276" s="2"/>
    </row>
    <row r="1277" spans="41:41" x14ac:dyDescent="0.25">
      <c r="AO1277" s="2"/>
    </row>
    <row r="1278" spans="41:41" x14ac:dyDescent="0.25">
      <c r="AO1278" s="2"/>
    </row>
    <row r="1279" spans="41:41" x14ac:dyDescent="0.25">
      <c r="AO1279" s="2"/>
    </row>
    <row r="1280" spans="41:41" x14ac:dyDescent="0.25">
      <c r="AO1280" s="2"/>
    </row>
    <row r="1281" spans="41:41" x14ac:dyDescent="0.25">
      <c r="AO1281" s="2"/>
    </row>
    <row r="1282" spans="41:41" x14ac:dyDescent="0.25">
      <c r="AO1282" s="2"/>
    </row>
    <row r="1283" spans="41:41" x14ac:dyDescent="0.25">
      <c r="AO1283" s="2"/>
    </row>
    <row r="1284" spans="41:41" x14ac:dyDescent="0.25">
      <c r="AO1284" s="2"/>
    </row>
    <row r="1285" spans="41:41" x14ac:dyDescent="0.25">
      <c r="AO1285" s="2"/>
    </row>
    <row r="1286" spans="41:41" x14ac:dyDescent="0.25">
      <c r="AO1286" s="2"/>
    </row>
    <row r="1287" spans="41:41" x14ac:dyDescent="0.25">
      <c r="AO1287" s="2"/>
    </row>
    <row r="1288" spans="41:41" x14ac:dyDescent="0.25">
      <c r="AO1288" s="2"/>
    </row>
    <row r="1289" spans="41:41" x14ac:dyDescent="0.25">
      <c r="AO1289" s="2"/>
    </row>
    <row r="1290" spans="41:41" x14ac:dyDescent="0.25">
      <c r="AO1290" s="2"/>
    </row>
    <row r="1291" spans="41:41" x14ac:dyDescent="0.25">
      <c r="AO1291" s="2"/>
    </row>
    <row r="1292" spans="41:41" x14ac:dyDescent="0.25">
      <c r="AO1292" s="2"/>
    </row>
    <row r="1293" spans="41:41" x14ac:dyDescent="0.25">
      <c r="AO1293" s="2"/>
    </row>
    <row r="1294" spans="41:41" x14ac:dyDescent="0.25">
      <c r="AO1294" s="2"/>
    </row>
    <row r="1295" spans="41:41" x14ac:dyDescent="0.25">
      <c r="AO1295" s="2"/>
    </row>
    <row r="1296" spans="41:41" x14ac:dyDescent="0.25">
      <c r="AO1296" s="2"/>
    </row>
    <row r="1297" spans="41:41" x14ac:dyDescent="0.25">
      <c r="AO1297" s="2"/>
    </row>
    <row r="1298" spans="41:41" x14ac:dyDescent="0.25">
      <c r="AO1298" s="2"/>
    </row>
    <row r="1299" spans="41:41" x14ac:dyDescent="0.25">
      <c r="AO1299" s="2"/>
    </row>
    <row r="1300" spans="41:41" x14ac:dyDescent="0.25">
      <c r="AO1300" s="2"/>
    </row>
    <row r="1301" spans="41:41" x14ac:dyDescent="0.25">
      <c r="AO1301" s="2"/>
    </row>
    <row r="1302" spans="41:41" x14ac:dyDescent="0.25">
      <c r="AO1302" s="2"/>
    </row>
    <row r="1303" spans="41:41" x14ac:dyDescent="0.25">
      <c r="AO1303" s="2"/>
    </row>
    <row r="1304" spans="41:41" x14ac:dyDescent="0.25">
      <c r="AO1304" s="2"/>
    </row>
    <row r="1305" spans="41:41" x14ac:dyDescent="0.25">
      <c r="AO1305" s="2"/>
    </row>
    <row r="1306" spans="41:41" x14ac:dyDescent="0.25">
      <c r="AO1306" s="2"/>
    </row>
    <row r="1307" spans="41:41" x14ac:dyDescent="0.25">
      <c r="AO1307" s="2"/>
    </row>
    <row r="1308" spans="41:41" x14ac:dyDescent="0.25">
      <c r="AO1308" s="2"/>
    </row>
    <row r="1309" spans="41:41" x14ac:dyDescent="0.25">
      <c r="AO1309" s="2"/>
    </row>
    <row r="1310" spans="41:41" x14ac:dyDescent="0.25">
      <c r="AO1310" s="2"/>
    </row>
    <row r="1311" spans="41:41" x14ac:dyDescent="0.25">
      <c r="AO1311" s="2"/>
    </row>
    <row r="1312" spans="41:41" x14ac:dyDescent="0.25">
      <c r="AO1312" s="2"/>
    </row>
    <row r="1313" spans="41:41" x14ac:dyDescent="0.25">
      <c r="AO1313" s="2"/>
    </row>
    <row r="1314" spans="41:41" x14ac:dyDescent="0.25">
      <c r="AO1314" s="2"/>
    </row>
    <row r="1315" spans="41:41" x14ac:dyDescent="0.25">
      <c r="AO1315" s="2"/>
    </row>
    <row r="1316" spans="41:41" x14ac:dyDescent="0.25">
      <c r="AO1316" s="2"/>
    </row>
    <row r="1317" spans="41:41" x14ac:dyDescent="0.25">
      <c r="AO1317" s="2"/>
    </row>
    <row r="1318" spans="41:41" x14ac:dyDescent="0.25">
      <c r="AO1318" s="2"/>
    </row>
    <row r="1319" spans="41:41" x14ac:dyDescent="0.25">
      <c r="AO1319" s="2"/>
    </row>
    <row r="1320" spans="41:41" x14ac:dyDescent="0.25">
      <c r="AO1320" s="2"/>
    </row>
    <row r="1321" spans="41:41" x14ac:dyDescent="0.25">
      <c r="AO1321" s="2"/>
    </row>
    <row r="1322" spans="41:41" x14ac:dyDescent="0.25">
      <c r="AO1322" s="2"/>
    </row>
    <row r="1323" spans="41:41" x14ac:dyDescent="0.25">
      <c r="AO1323" s="2"/>
    </row>
    <row r="1324" spans="41:41" x14ac:dyDescent="0.25">
      <c r="AO1324" s="2"/>
    </row>
    <row r="1325" spans="41:41" x14ac:dyDescent="0.25">
      <c r="AO1325" s="2"/>
    </row>
    <row r="1326" spans="41:41" x14ac:dyDescent="0.25">
      <c r="AO1326" s="2"/>
    </row>
    <row r="1327" spans="41:41" x14ac:dyDescent="0.25">
      <c r="AO1327" s="2"/>
    </row>
    <row r="1328" spans="41:41" x14ac:dyDescent="0.25">
      <c r="AO1328" s="2"/>
    </row>
    <row r="1329" spans="41:41" x14ac:dyDescent="0.25">
      <c r="AO1329" s="2"/>
    </row>
    <row r="1330" spans="41:41" x14ac:dyDescent="0.25">
      <c r="AO1330" s="2"/>
    </row>
    <row r="1331" spans="41:41" x14ac:dyDescent="0.25">
      <c r="AO1331" s="2"/>
    </row>
    <row r="1332" spans="41:41" x14ac:dyDescent="0.25">
      <c r="AO1332" s="2"/>
    </row>
    <row r="1333" spans="41:41" x14ac:dyDescent="0.25">
      <c r="AO1333" s="2"/>
    </row>
    <row r="1334" spans="41:41" x14ac:dyDescent="0.25">
      <c r="AO1334" s="2"/>
    </row>
    <row r="1335" spans="41:41" x14ac:dyDescent="0.25">
      <c r="AO1335" s="2"/>
    </row>
    <row r="1336" spans="41:41" x14ac:dyDescent="0.25">
      <c r="AO1336" s="2"/>
    </row>
    <row r="1337" spans="41:41" x14ac:dyDescent="0.25">
      <c r="AO1337" s="2"/>
    </row>
    <row r="1338" spans="41:41" x14ac:dyDescent="0.25">
      <c r="AO1338" s="2"/>
    </row>
    <row r="1339" spans="41:41" x14ac:dyDescent="0.25">
      <c r="AO1339" s="2"/>
    </row>
    <row r="1340" spans="41:41" x14ac:dyDescent="0.25">
      <c r="AO1340" s="2"/>
    </row>
    <row r="1341" spans="41:41" x14ac:dyDescent="0.25">
      <c r="AO1341" s="2"/>
    </row>
    <row r="1342" spans="41:41" x14ac:dyDescent="0.25">
      <c r="AO1342" s="2"/>
    </row>
    <row r="1343" spans="41:41" x14ac:dyDescent="0.25">
      <c r="AO1343" s="2"/>
    </row>
    <row r="1344" spans="41:41" x14ac:dyDescent="0.25">
      <c r="AO1344" s="2"/>
    </row>
    <row r="1345" spans="41:41" x14ac:dyDescent="0.25">
      <c r="AO1345" s="2"/>
    </row>
    <row r="1346" spans="41:41" x14ac:dyDescent="0.25">
      <c r="AO1346" s="2"/>
    </row>
    <row r="1347" spans="41:41" x14ac:dyDescent="0.25">
      <c r="AO1347" s="2"/>
    </row>
    <row r="1348" spans="41:41" x14ac:dyDescent="0.25">
      <c r="AO1348" s="2"/>
    </row>
    <row r="1349" spans="41:41" x14ac:dyDescent="0.25">
      <c r="AO1349" s="2"/>
    </row>
    <row r="1350" spans="41:41" x14ac:dyDescent="0.25">
      <c r="AO1350" s="2"/>
    </row>
    <row r="1351" spans="41:41" x14ac:dyDescent="0.25">
      <c r="AO1351" s="2"/>
    </row>
    <row r="1352" spans="41:41" x14ac:dyDescent="0.25">
      <c r="AO1352" s="2"/>
    </row>
    <row r="1353" spans="41:41" x14ac:dyDescent="0.25">
      <c r="AO1353" s="2"/>
    </row>
    <row r="1354" spans="41:41" x14ac:dyDescent="0.25">
      <c r="AO1354" s="2"/>
    </row>
    <row r="1355" spans="41:41" x14ac:dyDescent="0.25">
      <c r="AO1355" s="2"/>
    </row>
    <row r="1356" spans="41:41" x14ac:dyDescent="0.25">
      <c r="AO1356" s="2"/>
    </row>
    <row r="1357" spans="41:41" x14ac:dyDescent="0.25">
      <c r="AO1357" s="2"/>
    </row>
    <row r="1358" spans="41:41" x14ac:dyDescent="0.25">
      <c r="AO1358" s="2"/>
    </row>
    <row r="1359" spans="41:41" x14ac:dyDescent="0.25">
      <c r="AO1359" s="2"/>
    </row>
    <row r="1360" spans="41:41" x14ac:dyDescent="0.25">
      <c r="AO1360" s="2"/>
    </row>
    <row r="1361" spans="41:41" x14ac:dyDescent="0.25">
      <c r="AO1361" s="2"/>
    </row>
    <row r="1362" spans="41:41" x14ac:dyDescent="0.25">
      <c r="AO1362" s="2"/>
    </row>
    <row r="1363" spans="41:41" x14ac:dyDescent="0.25">
      <c r="AO1363" s="2"/>
    </row>
    <row r="1364" spans="41:41" x14ac:dyDescent="0.25">
      <c r="AO1364" s="2"/>
    </row>
    <row r="1365" spans="41:41" x14ac:dyDescent="0.25">
      <c r="AO1365" s="2"/>
    </row>
    <row r="1366" spans="41:41" x14ac:dyDescent="0.25">
      <c r="AO1366" s="2"/>
    </row>
    <row r="1367" spans="41:41" x14ac:dyDescent="0.25">
      <c r="AO1367" s="2"/>
    </row>
    <row r="1368" spans="41:41" x14ac:dyDescent="0.25">
      <c r="AO1368" s="2"/>
    </row>
    <row r="1369" spans="41:41" x14ac:dyDescent="0.25">
      <c r="AO1369" s="2"/>
    </row>
    <row r="1370" spans="41:41" x14ac:dyDescent="0.25">
      <c r="AO1370" s="2"/>
    </row>
    <row r="1371" spans="41:41" x14ac:dyDescent="0.25">
      <c r="AO1371" s="2"/>
    </row>
    <row r="1372" spans="41:41" x14ac:dyDescent="0.25">
      <c r="AO1372" s="2"/>
    </row>
    <row r="1373" spans="41:41" x14ac:dyDescent="0.25">
      <c r="AO1373" s="2"/>
    </row>
    <row r="1374" spans="41:41" x14ac:dyDescent="0.25">
      <c r="AO1374" s="2"/>
    </row>
    <row r="1375" spans="41:41" x14ac:dyDescent="0.25">
      <c r="AO1375" s="2"/>
    </row>
    <row r="1376" spans="41:41" x14ac:dyDescent="0.25">
      <c r="AO1376" s="2"/>
    </row>
    <row r="1377" spans="41:41" x14ac:dyDescent="0.25">
      <c r="AO1377" s="2"/>
    </row>
    <row r="1378" spans="41:41" x14ac:dyDescent="0.25">
      <c r="AO1378" s="2"/>
    </row>
    <row r="1379" spans="41:41" x14ac:dyDescent="0.25">
      <c r="AO1379" s="2"/>
    </row>
    <row r="1380" spans="41:41" x14ac:dyDescent="0.25">
      <c r="AO1380" s="2"/>
    </row>
    <row r="1381" spans="41:41" x14ac:dyDescent="0.25">
      <c r="AO1381" s="2"/>
    </row>
    <row r="1382" spans="41:41" x14ac:dyDescent="0.25">
      <c r="AO1382" s="2"/>
    </row>
    <row r="1383" spans="41:41" x14ac:dyDescent="0.25">
      <c r="AO1383" s="2"/>
    </row>
    <row r="1384" spans="41:41" x14ac:dyDescent="0.25">
      <c r="AO1384" s="2"/>
    </row>
    <row r="1385" spans="41:41" x14ac:dyDescent="0.25">
      <c r="AO1385" s="2"/>
    </row>
    <row r="1386" spans="41:41" x14ac:dyDescent="0.25">
      <c r="AO1386" s="2"/>
    </row>
    <row r="1387" spans="41:41" x14ac:dyDescent="0.25">
      <c r="AO1387" s="2"/>
    </row>
    <row r="1388" spans="41:41" x14ac:dyDescent="0.25">
      <c r="AO1388" s="2"/>
    </row>
    <row r="1389" spans="41:41" x14ac:dyDescent="0.25">
      <c r="AO1389" s="2"/>
    </row>
    <row r="1390" spans="41:41" x14ac:dyDescent="0.25">
      <c r="AO1390" s="2"/>
    </row>
    <row r="1391" spans="41:41" x14ac:dyDescent="0.25">
      <c r="AO1391" s="2"/>
    </row>
    <row r="1392" spans="41:41" x14ac:dyDescent="0.25">
      <c r="AO1392" s="2"/>
    </row>
    <row r="1393" spans="41:41" x14ac:dyDescent="0.25">
      <c r="AO1393" s="2"/>
    </row>
    <row r="1394" spans="41:41" x14ac:dyDescent="0.25">
      <c r="AO1394" s="2"/>
    </row>
    <row r="1395" spans="41:41" x14ac:dyDescent="0.25">
      <c r="AO1395" s="2"/>
    </row>
    <row r="1396" spans="41:41" x14ac:dyDescent="0.25">
      <c r="AO1396" s="2"/>
    </row>
    <row r="1397" spans="41:41" x14ac:dyDescent="0.25">
      <c r="AO1397" s="2"/>
    </row>
    <row r="1398" spans="41:41" x14ac:dyDescent="0.25">
      <c r="AO1398" s="2"/>
    </row>
    <row r="1399" spans="41:41" x14ac:dyDescent="0.25">
      <c r="AO1399" s="2"/>
    </row>
    <row r="1400" spans="41:41" x14ac:dyDescent="0.25">
      <c r="AO1400" s="2"/>
    </row>
    <row r="1401" spans="41:41" x14ac:dyDescent="0.25">
      <c r="AO1401" s="2"/>
    </row>
    <row r="1402" spans="41:41" x14ac:dyDescent="0.25">
      <c r="AO1402" s="2"/>
    </row>
    <row r="1403" spans="41:41" x14ac:dyDescent="0.25">
      <c r="AO1403" s="2"/>
    </row>
    <row r="1404" spans="41:41" x14ac:dyDescent="0.25">
      <c r="AO1404" s="2"/>
    </row>
    <row r="1405" spans="41:41" x14ac:dyDescent="0.25">
      <c r="AO1405" s="2"/>
    </row>
    <row r="1406" spans="41:41" x14ac:dyDescent="0.25">
      <c r="AO1406" s="2"/>
    </row>
    <row r="1407" spans="41:41" x14ac:dyDescent="0.25">
      <c r="AO1407" s="2"/>
    </row>
    <row r="1408" spans="41:41" x14ac:dyDescent="0.25">
      <c r="AO1408" s="2"/>
    </row>
    <row r="1409" spans="41:41" x14ac:dyDescent="0.25">
      <c r="AO1409" s="2"/>
    </row>
    <row r="1410" spans="41:41" x14ac:dyDescent="0.25">
      <c r="AO1410" s="2"/>
    </row>
    <row r="1411" spans="41:41" x14ac:dyDescent="0.25">
      <c r="AO1411" s="2"/>
    </row>
    <row r="1412" spans="41:41" x14ac:dyDescent="0.25">
      <c r="AO1412" s="2"/>
    </row>
    <row r="1413" spans="41:41" x14ac:dyDescent="0.25">
      <c r="AO1413" s="2"/>
    </row>
    <row r="1414" spans="41:41" x14ac:dyDescent="0.25">
      <c r="AO1414" s="2"/>
    </row>
    <row r="1415" spans="41:41" x14ac:dyDescent="0.25">
      <c r="AO1415" s="2"/>
    </row>
    <row r="1416" spans="41:41" x14ac:dyDescent="0.25">
      <c r="AO1416" s="2"/>
    </row>
    <row r="1417" spans="41:41" x14ac:dyDescent="0.25">
      <c r="AO1417" s="2"/>
    </row>
    <row r="1418" spans="41:41" x14ac:dyDescent="0.25">
      <c r="AO1418" s="2"/>
    </row>
    <row r="1419" spans="41:41" x14ac:dyDescent="0.25">
      <c r="AO1419" s="2"/>
    </row>
    <row r="1420" spans="41:41" x14ac:dyDescent="0.25">
      <c r="AO1420" s="2"/>
    </row>
    <row r="1421" spans="41:41" x14ac:dyDescent="0.25">
      <c r="AO1421" s="2"/>
    </row>
    <row r="1422" spans="41:41" x14ac:dyDescent="0.25">
      <c r="AO1422" s="2"/>
    </row>
    <row r="1423" spans="41:41" x14ac:dyDescent="0.25">
      <c r="AO1423" s="2"/>
    </row>
    <row r="1424" spans="41:41" x14ac:dyDescent="0.25">
      <c r="AO1424" s="2"/>
    </row>
    <row r="1425" spans="41:41" x14ac:dyDescent="0.25">
      <c r="AO1425" s="2"/>
    </row>
    <row r="1426" spans="41:41" x14ac:dyDescent="0.25">
      <c r="AO1426" s="2"/>
    </row>
    <row r="1427" spans="41:41" x14ac:dyDescent="0.25">
      <c r="AO1427" s="2"/>
    </row>
    <row r="1428" spans="41:41" x14ac:dyDescent="0.25">
      <c r="AO1428" s="2"/>
    </row>
    <row r="1429" spans="41:41" x14ac:dyDescent="0.25">
      <c r="AO1429" s="2"/>
    </row>
    <row r="1430" spans="41:41" x14ac:dyDescent="0.25">
      <c r="AO1430" s="2"/>
    </row>
    <row r="1431" spans="41:41" x14ac:dyDescent="0.25">
      <c r="AO1431" s="2"/>
    </row>
    <row r="1432" spans="41:41" x14ac:dyDescent="0.25">
      <c r="AO1432" s="2"/>
    </row>
    <row r="1433" spans="41:41" x14ac:dyDescent="0.25">
      <c r="AO1433" s="2"/>
    </row>
    <row r="1434" spans="41:41" x14ac:dyDescent="0.25">
      <c r="AO1434" s="2"/>
    </row>
    <row r="1435" spans="41:41" x14ac:dyDescent="0.25">
      <c r="AO1435" s="2"/>
    </row>
    <row r="1436" spans="41:41" x14ac:dyDescent="0.25">
      <c r="AO1436" s="2"/>
    </row>
    <row r="1437" spans="41:41" x14ac:dyDescent="0.25">
      <c r="AO1437" s="2"/>
    </row>
    <row r="1438" spans="41:41" x14ac:dyDescent="0.25">
      <c r="AO1438" s="2"/>
    </row>
    <row r="1439" spans="41:41" x14ac:dyDescent="0.25">
      <c r="AO1439" s="2"/>
    </row>
    <row r="1440" spans="41:41" x14ac:dyDescent="0.25">
      <c r="AO1440" s="2"/>
    </row>
    <row r="1441" spans="41:41" x14ac:dyDescent="0.25">
      <c r="AO1441" s="2"/>
    </row>
    <row r="1442" spans="41:41" x14ac:dyDescent="0.25">
      <c r="AO1442" s="2"/>
    </row>
    <row r="1443" spans="41:41" x14ac:dyDescent="0.25">
      <c r="AO1443" s="2"/>
    </row>
    <row r="1444" spans="41:41" x14ac:dyDescent="0.25">
      <c r="AO1444" s="2"/>
    </row>
    <row r="1445" spans="41:41" x14ac:dyDescent="0.25">
      <c r="AO1445" s="2"/>
    </row>
    <row r="1446" spans="41:41" x14ac:dyDescent="0.25">
      <c r="AO1446" s="2"/>
    </row>
    <row r="1447" spans="41:41" x14ac:dyDescent="0.25">
      <c r="AO1447" s="2"/>
    </row>
    <row r="1448" spans="41:41" x14ac:dyDescent="0.25">
      <c r="AO1448" s="2"/>
    </row>
    <row r="1449" spans="41:41" x14ac:dyDescent="0.25">
      <c r="AO1449" s="2"/>
    </row>
    <row r="1450" spans="41:41" x14ac:dyDescent="0.25">
      <c r="AO1450" s="2"/>
    </row>
    <row r="1451" spans="41:41" x14ac:dyDescent="0.25">
      <c r="AO1451" s="2"/>
    </row>
    <row r="1452" spans="41:41" x14ac:dyDescent="0.25">
      <c r="AO1452" s="2"/>
    </row>
    <row r="1453" spans="41:41" x14ac:dyDescent="0.25">
      <c r="AO1453" s="2"/>
    </row>
    <row r="1454" spans="41:41" x14ac:dyDescent="0.25">
      <c r="AO1454" s="2"/>
    </row>
    <row r="1455" spans="41:41" x14ac:dyDescent="0.25">
      <c r="AO1455" s="2"/>
    </row>
    <row r="1456" spans="41:41" x14ac:dyDescent="0.25">
      <c r="AO1456" s="2"/>
    </row>
    <row r="1457" spans="41:41" x14ac:dyDescent="0.25">
      <c r="AO1457" s="2"/>
    </row>
    <row r="1458" spans="41:41" x14ac:dyDescent="0.25">
      <c r="AO1458" s="2"/>
    </row>
    <row r="1459" spans="41:41" x14ac:dyDescent="0.25">
      <c r="AO1459" s="2"/>
    </row>
    <row r="1460" spans="41:41" x14ac:dyDescent="0.25">
      <c r="AO1460" s="2"/>
    </row>
    <row r="1461" spans="41:41" x14ac:dyDescent="0.25">
      <c r="AO1461" s="2"/>
    </row>
    <row r="1462" spans="41:41" x14ac:dyDescent="0.25">
      <c r="AO1462" s="2"/>
    </row>
    <row r="1463" spans="41:41" x14ac:dyDescent="0.25">
      <c r="AO1463" s="2"/>
    </row>
    <row r="1464" spans="41:41" x14ac:dyDescent="0.25">
      <c r="AO1464" s="2"/>
    </row>
    <row r="1465" spans="41:41" x14ac:dyDescent="0.25">
      <c r="AO1465" s="2"/>
    </row>
    <row r="1466" spans="41:41" x14ac:dyDescent="0.25">
      <c r="AO1466" s="2"/>
    </row>
    <row r="1467" spans="41:41" x14ac:dyDescent="0.25">
      <c r="AO1467" s="2"/>
    </row>
    <row r="1468" spans="41:41" x14ac:dyDescent="0.25">
      <c r="AO1468" s="2"/>
    </row>
    <row r="1469" spans="41:41" x14ac:dyDescent="0.25">
      <c r="AO1469" s="2"/>
    </row>
    <row r="1470" spans="41:41" x14ac:dyDescent="0.25">
      <c r="AO1470" s="2"/>
    </row>
    <row r="1471" spans="41:41" x14ac:dyDescent="0.25">
      <c r="AO1471" s="2"/>
    </row>
    <row r="1472" spans="41:41" x14ac:dyDescent="0.25">
      <c r="AO1472" s="2"/>
    </row>
    <row r="1473" spans="41:41" x14ac:dyDescent="0.25">
      <c r="AO1473" s="2"/>
    </row>
    <row r="1474" spans="41:41" x14ac:dyDescent="0.25">
      <c r="AO1474" s="2"/>
    </row>
    <row r="1475" spans="41:41" x14ac:dyDescent="0.25">
      <c r="AO1475" s="2"/>
    </row>
    <row r="1476" spans="41:41" x14ac:dyDescent="0.25">
      <c r="AO1476" s="2"/>
    </row>
    <row r="1477" spans="41:41" x14ac:dyDescent="0.25">
      <c r="AO1477" s="2"/>
    </row>
    <row r="1478" spans="41:41" x14ac:dyDescent="0.25">
      <c r="AO1478" s="2"/>
    </row>
    <row r="1479" spans="41:41" x14ac:dyDescent="0.25">
      <c r="AO1479" s="2"/>
    </row>
    <row r="1480" spans="41:41" x14ac:dyDescent="0.25">
      <c r="AO1480" s="2"/>
    </row>
    <row r="1481" spans="41:41" x14ac:dyDescent="0.25">
      <c r="AO1481" s="2"/>
    </row>
    <row r="1482" spans="41:41" x14ac:dyDescent="0.25">
      <c r="AO1482" s="2"/>
    </row>
    <row r="1483" spans="41:41" x14ac:dyDescent="0.25">
      <c r="AO1483" s="2"/>
    </row>
    <row r="1484" spans="41:41" x14ac:dyDescent="0.25">
      <c r="AO1484" s="2"/>
    </row>
    <row r="1485" spans="41:41" x14ac:dyDescent="0.25">
      <c r="AO1485" s="2"/>
    </row>
    <row r="1486" spans="41:41" x14ac:dyDescent="0.25">
      <c r="AO1486" s="2"/>
    </row>
    <row r="1487" spans="41:41" x14ac:dyDescent="0.25">
      <c r="AO1487" s="2"/>
    </row>
    <row r="1488" spans="41:41" x14ac:dyDescent="0.25">
      <c r="AO1488" s="2"/>
    </row>
    <row r="1489" spans="41:41" x14ac:dyDescent="0.25">
      <c r="AO1489" s="2"/>
    </row>
    <row r="1490" spans="41:41" x14ac:dyDescent="0.25">
      <c r="AO1490" s="2"/>
    </row>
    <row r="1491" spans="41:41" x14ac:dyDescent="0.25">
      <c r="AO1491" s="2"/>
    </row>
    <row r="1492" spans="41:41" x14ac:dyDescent="0.25">
      <c r="AO1492" s="2"/>
    </row>
    <row r="1493" spans="41:41" x14ac:dyDescent="0.25">
      <c r="AO1493" s="2"/>
    </row>
    <row r="1494" spans="41:41" x14ac:dyDescent="0.25">
      <c r="AO1494" s="2"/>
    </row>
    <row r="1495" spans="41:41" x14ac:dyDescent="0.25">
      <c r="AO1495" s="2"/>
    </row>
    <row r="1496" spans="41:41" x14ac:dyDescent="0.25">
      <c r="AO1496" s="2"/>
    </row>
    <row r="1497" spans="41:41" x14ac:dyDescent="0.25">
      <c r="AO1497" s="2"/>
    </row>
    <row r="1498" spans="41:41" x14ac:dyDescent="0.25">
      <c r="AO1498" s="2"/>
    </row>
    <row r="1499" spans="41:41" x14ac:dyDescent="0.25">
      <c r="AO1499" s="2"/>
    </row>
    <row r="1500" spans="41:41" x14ac:dyDescent="0.25">
      <c r="AO1500" s="2"/>
    </row>
    <row r="1501" spans="41:41" x14ac:dyDescent="0.25">
      <c r="AO1501" s="2"/>
    </row>
    <row r="1502" spans="41:41" x14ac:dyDescent="0.25">
      <c r="AO1502" s="2"/>
    </row>
    <row r="1503" spans="41:41" x14ac:dyDescent="0.25">
      <c r="AO1503" s="2"/>
    </row>
    <row r="1504" spans="41:41" x14ac:dyDescent="0.25">
      <c r="AO1504" s="2"/>
    </row>
    <row r="1505" spans="41:41" x14ac:dyDescent="0.25">
      <c r="AO1505" s="2"/>
    </row>
    <row r="1506" spans="41:41" x14ac:dyDescent="0.25">
      <c r="AO1506" s="2"/>
    </row>
    <row r="1507" spans="41:41" x14ac:dyDescent="0.25">
      <c r="AO1507" s="2"/>
    </row>
    <row r="1508" spans="41:41" x14ac:dyDescent="0.25">
      <c r="AO1508" s="2"/>
    </row>
    <row r="1509" spans="41:41" x14ac:dyDescent="0.25">
      <c r="AO1509" s="2"/>
    </row>
    <row r="1510" spans="41:41" x14ac:dyDescent="0.25">
      <c r="AO1510" s="2"/>
    </row>
    <row r="1511" spans="41:41" x14ac:dyDescent="0.25">
      <c r="AO1511" s="2"/>
    </row>
    <row r="1512" spans="41:41" x14ac:dyDescent="0.25">
      <c r="AO1512" s="2"/>
    </row>
    <row r="1513" spans="41:41" x14ac:dyDescent="0.25">
      <c r="AO1513" s="2"/>
    </row>
    <row r="1514" spans="41:41" x14ac:dyDescent="0.25">
      <c r="AO1514" s="2"/>
    </row>
    <row r="1515" spans="41:41" x14ac:dyDescent="0.25">
      <c r="AO1515" s="2"/>
    </row>
    <row r="1516" spans="41:41" x14ac:dyDescent="0.25">
      <c r="AO1516" s="2"/>
    </row>
    <row r="1517" spans="41:41" x14ac:dyDescent="0.25">
      <c r="AO1517" s="2"/>
    </row>
    <row r="1518" spans="41:41" x14ac:dyDescent="0.25">
      <c r="AO1518" s="2"/>
    </row>
    <row r="1519" spans="41:41" x14ac:dyDescent="0.25">
      <c r="AO1519" s="2"/>
    </row>
    <row r="1520" spans="41:41" x14ac:dyDescent="0.25">
      <c r="AO1520" s="2"/>
    </row>
    <row r="1521" spans="41:41" x14ac:dyDescent="0.25">
      <c r="AO1521" s="2"/>
    </row>
    <row r="1522" spans="41:41" x14ac:dyDescent="0.25">
      <c r="AO1522" s="2"/>
    </row>
    <row r="1523" spans="41:41" x14ac:dyDescent="0.25">
      <c r="AO1523" s="2"/>
    </row>
    <row r="1524" spans="41:41" x14ac:dyDescent="0.25">
      <c r="AO1524" s="2"/>
    </row>
    <row r="1525" spans="41:41" x14ac:dyDescent="0.25">
      <c r="AO1525" s="2"/>
    </row>
    <row r="1526" spans="41:41" x14ac:dyDescent="0.25">
      <c r="AO1526" s="2"/>
    </row>
    <row r="1527" spans="41:41" x14ac:dyDescent="0.25">
      <c r="AO1527" s="2"/>
    </row>
    <row r="1528" spans="41:41" x14ac:dyDescent="0.25">
      <c r="AO1528" s="2"/>
    </row>
    <row r="1529" spans="41:41" x14ac:dyDescent="0.25">
      <c r="AO1529" s="2"/>
    </row>
    <row r="1530" spans="41:41" x14ac:dyDescent="0.25">
      <c r="AO1530" s="2"/>
    </row>
    <row r="1531" spans="41:41" x14ac:dyDescent="0.25">
      <c r="AO1531" s="2"/>
    </row>
    <row r="1532" spans="41:41" x14ac:dyDescent="0.25">
      <c r="AO1532" s="2"/>
    </row>
    <row r="1533" spans="41:41" x14ac:dyDescent="0.25">
      <c r="AO1533" s="2"/>
    </row>
    <row r="1534" spans="41:41" x14ac:dyDescent="0.25">
      <c r="AO1534" s="2"/>
    </row>
    <row r="1535" spans="41:41" x14ac:dyDescent="0.25">
      <c r="AO1535" s="2"/>
    </row>
    <row r="1536" spans="41:41" x14ac:dyDescent="0.25">
      <c r="AO1536" s="2"/>
    </row>
    <row r="1537" spans="41:41" x14ac:dyDescent="0.25">
      <c r="AO1537" s="2"/>
    </row>
    <row r="1538" spans="41:41" x14ac:dyDescent="0.25">
      <c r="AO1538" s="2"/>
    </row>
    <row r="1539" spans="41:41" x14ac:dyDescent="0.25">
      <c r="AO1539" s="2"/>
    </row>
    <row r="1540" spans="41:41" x14ac:dyDescent="0.25">
      <c r="AO1540" s="2"/>
    </row>
    <row r="1541" spans="41:41" x14ac:dyDescent="0.25">
      <c r="AO1541" s="2"/>
    </row>
    <row r="1542" spans="41:41" x14ac:dyDescent="0.25">
      <c r="AO1542" s="2"/>
    </row>
    <row r="1543" spans="41:41" x14ac:dyDescent="0.25">
      <c r="AO1543" s="2"/>
    </row>
    <row r="1544" spans="41:41" x14ac:dyDescent="0.25">
      <c r="AO1544" s="2"/>
    </row>
    <row r="1545" spans="41:41" x14ac:dyDescent="0.25">
      <c r="AO1545" s="2"/>
    </row>
    <row r="1546" spans="41:41" x14ac:dyDescent="0.25">
      <c r="AO1546" s="2"/>
    </row>
    <row r="1547" spans="41:41" x14ac:dyDescent="0.25">
      <c r="AO1547" s="2"/>
    </row>
    <row r="1548" spans="41:41" x14ac:dyDescent="0.25">
      <c r="AO1548" s="2"/>
    </row>
    <row r="1549" spans="41:41" x14ac:dyDescent="0.25">
      <c r="AO1549" s="2"/>
    </row>
    <row r="1550" spans="41:41" x14ac:dyDescent="0.25">
      <c r="AO1550" s="2"/>
    </row>
    <row r="1551" spans="41:41" x14ac:dyDescent="0.25">
      <c r="AO1551" s="2"/>
    </row>
    <row r="1552" spans="41:41" x14ac:dyDescent="0.25">
      <c r="AO1552" s="2"/>
    </row>
    <row r="1553" spans="41:41" x14ac:dyDescent="0.25">
      <c r="AO1553" s="2"/>
    </row>
    <row r="1554" spans="41:41" x14ac:dyDescent="0.25">
      <c r="AO1554" s="2"/>
    </row>
    <row r="1555" spans="41:41" x14ac:dyDescent="0.25">
      <c r="AO1555" s="2"/>
    </row>
    <row r="1556" spans="41:41" x14ac:dyDescent="0.25">
      <c r="AO1556" s="2"/>
    </row>
    <row r="1557" spans="41:41" x14ac:dyDescent="0.25">
      <c r="AO1557" s="2"/>
    </row>
    <row r="1558" spans="41:41" x14ac:dyDescent="0.25">
      <c r="AO1558" s="2"/>
    </row>
    <row r="1559" spans="41:41" x14ac:dyDescent="0.25">
      <c r="AO1559" s="2"/>
    </row>
    <row r="1560" spans="41:41" x14ac:dyDescent="0.25">
      <c r="AO1560" s="2"/>
    </row>
    <row r="1561" spans="41:41" x14ac:dyDescent="0.25">
      <c r="AO1561" s="2"/>
    </row>
    <row r="1562" spans="41:41" x14ac:dyDescent="0.25">
      <c r="AO1562" s="2"/>
    </row>
    <row r="1563" spans="41:41" x14ac:dyDescent="0.25">
      <c r="AO1563" s="2"/>
    </row>
    <row r="1564" spans="41:41" x14ac:dyDescent="0.25">
      <c r="AO1564" s="2"/>
    </row>
    <row r="1565" spans="41:41" x14ac:dyDescent="0.25">
      <c r="AO1565" s="2"/>
    </row>
    <row r="1566" spans="41:41" x14ac:dyDescent="0.25">
      <c r="AO1566" s="2"/>
    </row>
    <row r="1567" spans="41:41" x14ac:dyDescent="0.25">
      <c r="AO1567" s="2"/>
    </row>
    <row r="1568" spans="41:41" x14ac:dyDescent="0.25">
      <c r="AO1568" s="2"/>
    </row>
    <row r="1569" spans="41:41" x14ac:dyDescent="0.25">
      <c r="AO1569" s="2"/>
    </row>
    <row r="1570" spans="41:41" x14ac:dyDescent="0.25">
      <c r="AO1570" s="2"/>
    </row>
    <row r="1571" spans="41:41" x14ac:dyDescent="0.25">
      <c r="AO1571" s="2"/>
    </row>
    <row r="1572" spans="41:41" x14ac:dyDescent="0.25">
      <c r="AO1572" s="2"/>
    </row>
    <row r="1573" spans="41:41" x14ac:dyDescent="0.25">
      <c r="AO1573" s="2"/>
    </row>
    <row r="1574" spans="41:41" x14ac:dyDescent="0.25">
      <c r="AO1574" s="2"/>
    </row>
    <row r="1575" spans="41:41" x14ac:dyDescent="0.25">
      <c r="AO1575" s="2"/>
    </row>
    <row r="1576" spans="41:41" x14ac:dyDescent="0.25">
      <c r="AO1576" s="2"/>
    </row>
    <row r="1577" spans="41:41" x14ac:dyDescent="0.25">
      <c r="AO1577" s="2"/>
    </row>
    <row r="1578" spans="41:41" x14ac:dyDescent="0.25">
      <c r="AO1578" s="2"/>
    </row>
    <row r="1579" spans="41:41" x14ac:dyDescent="0.25">
      <c r="AO1579" s="2"/>
    </row>
    <row r="1580" spans="41:41" x14ac:dyDescent="0.25">
      <c r="AO1580" s="2"/>
    </row>
    <row r="1581" spans="41:41" x14ac:dyDescent="0.25">
      <c r="AO1581" s="2"/>
    </row>
    <row r="1582" spans="41:41" x14ac:dyDescent="0.25">
      <c r="AO1582" s="2"/>
    </row>
    <row r="1583" spans="41:41" x14ac:dyDescent="0.25">
      <c r="AO1583" s="2"/>
    </row>
    <row r="1584" spans="41:41" x14ac:dyDescent="0.25">
      <c r="AO1584" s="2"/>
    </row>
    <row r="1585" spans="41:41" x14ac:dyDescent="0.25">
      <c r="AO1585" s="2"/>
    </row>
    <row r="1586" spans="41:41" x14ac:dyDescent="0.25">
      <c r="AO1586" s="2"/>
    </row>
    <row r="1587" spans="41:41" x14ac:dyDescent="0.25">
      <c r="AO1587" s="2"/>
    </row>
    <row r="1588" spans="41:41" x14ac:dyDescent="0.25">
      <c r="AO1588" s="2"/>
    </row>
    <row r="1589" spans="41:41" x14ac:dyDescent="0.25">
      <c r="AO1589" s="2"/>
    </row>
    <row r="1590" spans="41:41" x14ac:dyDescent="0.25">
      <c r="AO1590" s="2"/>
    </row>
    <row r="1591" spans="41:41" x14ac:dyDescent="0.25">
      <c r="AO1591" s="2"/>
    </row>
    <row r="1592" spans="41:41" x14ac:dyDescent="0.25">
      <c r="AO1592" s="2"/>
    </row>
    <row r="1593" spans="41:41" x14ac:dyDescent="0.25">
      <c r="AO1593" s="2"/>
    </row>
    <row r="1594" spans="41:41" x14ac:dyDescent="0.25">
      <c r="AO1594" s="2"/>
    </row>
    <row r="1595" spans="41:41" x14ac:dyDescent="0.25">
      <c r="AO1595" s="2"/>
    </row>
    <row r="1596" spans="41:41" x14ac:dyDescent="0.25">
      <c r="AO1596" s="2"/>
    </row>
    <row r="1597" spans="41:41" x14ac:dyDescent="0.25">
      <c r="AO1597" s="2"/>
    </row>
    <row r="1598" spans="41:41" x14ac:dyDescent="0.25">
      <c r="AO1598" s="2"/>
    </row>
    <row r="1599" spans="41:41" x14ac:dyDescent="0.25">
      <c r="AO1599" s="2"/>
    </row>
    <row r="1600" spans="41:41" x14ac:dyDescent="0.25">
      <c r="AO1600" s="2"/>
    </row>
    <row r="1601" spans="41:41" x14ac:dyDescent="0.25">
      <c r="AO1601" s="2"/>
    </row>
    <row r="1602" spans="41:41" x14ac:dyDescent="0.25">
      <c r="AO1602" s="2"/>
    </row>
    <row r="1603" spans="41:41" x14ac:dyDescent="0.25">
      <c r="AO1603" s="2"/>
    </row>
    <row r="1604" spans="41:41" x14ac:dyDescent="0.25">
      <c r="AO1604" s="2"/>
    </row>
    <row r="1605" spans="41:41" x14ac:dyDescent="0.25">
      <c r="AO1605" s="2"/>
    </row>
    <row r="1606" spans="41:41" x14ac:dyDescent="0.25">
      <c r="AO1606" s="2"/>
    </row>
    <row r="1607" spans="41:41" x14ac:dyDescent="0.25">
      <c r="AO1607" s="2"/>
    </row>
    <row r="1608" spans="41:41" x14ac:dyDescent="0.25">
      <c r="AO1608" s="2"/>
    </row>
    <row r="1609" spans="41:41" x14ac:dyDescent="0.25">
      <c r="AO1609" s="2"/>
    </row>
    <row r="1610" spans="41:41" x14ac:dyDescent="0.25">
      <c r="AO1610" s="2"/>
    </row>
    <row r="1611" spans="41:41" x14ac:dyDescent="0.25">
      <c r="AO1611" s="2"/>
    </row>
    <row r="1612" spans="41:41" x14ac:dyDescent="0.25">
      <c r="AO1612" s="2"/>
    </row>
    <row r="1613" spans="41:41" x14ac:dyDescent="0.25">
      <c r="AO1613" s="2"/>
    </row>
    <row r="1614" spans="41:41" x14ac:dyDescent="0.25">
      <c r="AO1614" s="2"/>
    </row>
    <row r="1615" spans="41:41" x14ac:dyDescent="0.25">
      <c r="AO1615" s="2"/>
    </row>
    <row r="1616" spans="41:41" x14ac:dyDescent="0.25">
      <c r="AO1616" s="2"/>
    </row>
    <row r="1617" spans="41:41" x14ac:dyDescent="0.25">
      <c r="AO1617" s="2"/>
    </row>
    <row r="1618" spans="41:41" x14ac:dyDescent="0.25">
      <c r="AO1618" s="2"/>
    </row>
    <row r="1619" spans="41:41" x14ac:dyDescent="0.25">
      <c r="AO1619" s="2"/>
    </row>
    <row r="1620" spans="41:41" x14ac:dyDescent="0.25">
      <c r="AO1620" s="2"/>
    </row>
    <row r="1621" spans="41:41" x14ac:dyDescent="0.25">
      <c r="AO1621" s="2"/>
    </row>
    <row r="1622" spans="41:41" x14ac:dyDescent="0.25">
      <c r="AO1622" s="2"/>
    </row>
    <row r="1623" spans="41:41" x14ac:dyDescent="0.25">
      <c r="AO1623" s="2"/>
    </row>
    <row r="1624" spans="41:41" x14ac:dyDescent="0.25">
      <c r="AO1624" s="2"/>
    </row>
    <row r="1625" spans="41:41" x14ac:dyDescent="0.25">
      <c r="AO1625" s="2"/>
    </row>
    <row r="1626" spans="41:41" x14ac:dyDescent="0.25">
      <c r="AO1626" s="2"/>
    </row>
    <row r="1627" spans="41:41" x14ac:dyDescent="0.25">
      <c r="AO1627" s="2"/>
    </row>
    <row r="1628" spans="41:41" x14ac:dyDescent="0.25">
      <c r="AO1628" s="2"/>
    </row>
    <row r="1629" spans="41:41" x14ac:dyDescent="0.25">
      <c r="AO1629" s="2"/>
    </row>
    <row r="1630" spans="41:41" x14ac:dyDescent="0.25">
      <c r="AO1630" s="2"/>
    </row>
    <row r="1631" spans="41:41" x14ac:dyDescent="0.25">
      <c r="AO1631" s="2"/>
    </row>
    <row r="1632" spans="41:41" x14ac:dyDescent="0.25">
      <c r="AO1632" s="2"/>
    </row>
    <row r="1633" spans="41:41" x14ac:dyDescent="0.25">
      <c r="AO1633" s="2"/>
    </row>
    <row r="1634" spans="41:41" x14ac:dyDescent="0.25">
      <c r="AO1634" s="2"/>
    </row>
    <row r="1635" spans="41:41" x14ac:dyDescent="0.25">
      <c r="AO1635" s="2"/>
    </row>
    <row r="1636" spans="41:41" x14ac:dyDescent="0.25">
      <c r="AO1636" s="2"/>
    </row>
    <row r="1637" spans="41:41" x14ac:dyDescent="0.25">
      <c r="AO1637" s="2"/>
    </row>
    <row r="1638" spans="41:41" x14ac:dyDescent="0.25">
      <c r="AO1638" s="2"/>
    </row>
    <row r="1639" spans="41:41" x14ac:dyDescent="0.25">
      <c r="AO1639" s="2"/>
    </row>
    <row r="1640" spans="41:41" x14ac:dyDescent="0.25">
      <c r="AO1640" s="2"/>
    </row>
    <row r="1641" spans="41:41" x14ac:dyDescent="0.25">
      <c r="AO1641" s="2"/>
    </row>
    <row r="1642" spans="41:41" x14ac:dyDescent="0.25">
      <c r="AO1642" s="2"/>
    </row>
    <row r="1643" spans="41:41" x14ac:dyDescent="0.25">
      <c r="AO1643" s="2"/>
    </row>
    <row r="1644" spans="41:41" x14ac:dyDescent="0.25">
      <c r="AO1644" s="2"/>
    </row>
    <row r="1645" spans="41:41" x14ac:dyDescent="0.25">
      <c r="AO1645" s="2"/>
    </row>
    <row r="1646" spans="41:41" x14ac:dyDescent="0.25">
      <c r="AO1646" s="2"/>
    </row>
    <row r="1647" spans="41:41" x14ac:dyDescent="0.25">
      <c r="AO1647" s="2"/>
    </row>
    <row r="1648" spans="41:41" x14ac:dyDescent="0.25">
      <c r="AO1648" s="2"/>
    </row>
    <row r="1649" spans="41:41" x14ac:dyDescent="0.25">
      <c r="AO1649" s="2"/>
    </row>
    <row r="1650" spans="41:41" x14ac:dyDescent="0.25">
      <c r="AO1650" s="2"/>
    </row>
    <row r="1651" spans="41:41" x14ac:dyDescent="0.25">
      <c r="AO1651" s="2"/>
    </row>
    <row r="1652" spans="41:41" x14ac:dyDescent="0.25">
      <c r="AO1652" s="2"/>
    </row>
    <row r="1653" spans="41:41" x14ac:dyDescent="0.25">
      <c r="AO1653" s="2"/>
    </row>
    <row r="1654" spans="41:41" x14ac:dyDescent="0.25">
      <c r="AO1654" s="2"/>
    </row>
    <row r="1655" spans="41:41" x14ac:dyDescent="0.25">
      <c r="AO1655" s="2"/>
    </row>
    <row r="1656" spans="41:41" x14ac:dyDescent="0.25">
      <c r="AO1656" s="2"/>
    </row>
    <row r="1657" spans="41:41" x14ac:dyDescent="0.25">
      <c r="AO1657" s="2"/>
    </row>
    <row r="1658" spans="41:41" x14ac:dyDescent="0.25">
      <c r="AO1658" s="2"/>
    </row>
    <row r="1659" spans="41:41" x14ac:dyDescent="0.25">
      <c r="AO1659" s="2"/>
    </row>
    <row r="1660" spans="41:41" x14ac:dyDescent="0.25">
      <c r="AO1660" s="2"/>
    </row>
    <row r="1661" spans="41:41" x14ac:dyDescent="0.25">
      <c r="AO1661" s="2"/>
    </row>
    <row r="1662" spans="41:41" x14ac:dyDescent="0.25">
      <c r="AO1662" s="2"/>
    </row>
    <row r="1663" spans="41:41" x14ac:dyDescent="0.25">
      <c r="AO1663" s="2"/>
    </row>
    <row r="1664" spans="41:41" x14ac:dyDescent="0.25">
      <c r="AO1664" s="2"/>
    </row>
    <row r="1665" spans="41:41" x14ac:dyDescent="0.25">
      <c r="AO1665" s="2"/>
    </row>
    <row r="1666" spans="41:41" x14ac:dyDescent="0.25">
      <c r="AO1666" s="2"/>
    </row>
    <row r="1667" spans="41:41" x14ac:dyDescent="0.25">
      <c r="AO1667" s="2"/>
    </row>
    <row r="1668" spans="41:41" x14ac:dyDescent="0.25">
      <c r="AO1668" s="2"/>
    </row>
    <row r="1669" spans="41:41" x14ac:dyDescent="0.25">
      <c r="AO1669" s="2"/>
    </row>
    <row r="1670" spans="41:41" x14ac:dyDescent="0.25">
      <c r="AO1670" s="2"/>
    </row>
    <row r="1671" spans="41:41" x14ac:dyDescent="0.25">
      <c r="AO1671" s="2"/>
    </row>
    <row r="1672" spans="41:41" x14ac:dyDescent="0.25">
      <c r="AO1672" s="2"/>
    </row>
    <row r="1673" spans="41:41" x14ac:dyDescent="0.25">
      <c r="AO1673" s="2"/>
    </row>
    <row r="1674" spans="41:41" x14ac:dyDescent="0.25">
      <c r="AO1674" s="2"/>
    </row>
    <row r="1675" spans="41:41" x14ac:dyDescent="0.25">
      <c r="AO1675" s="2"/>
    </row>
    <row r="1676" spans="41:41" x14ac:dyDescent="0.25">
      <c r="AO1676" s="2"/>
    </row>
    <row r="1677" spans="41:41" x14ac:dyDescent="0.25">
      <c r="AO1677" s="2"/>
    </row>
    <row r="1678" spans="41:41" x14ac:dyDescent="0.25">
      <c r="AO1678" s="2"/>
    </row>
    <row r="1679" spans="41:41" x14ac:dyDescent="0.25">
      <c r="AO1679" s="2"/>
    </row>
    <row r="1680" spans="41:41" x14ac:dyDescent="0.25">
      <c r="AO1680" s="2"/>
    </row>
    <row r="1681" spans="41:41" x14ac:dyDescent="0.25">
      <c r="AO1681" s="2"/>
    </row>
    <row r="1682" spans="41:41" x14ac:dyDescent="0.25">
      <c r="AO1682" s="2"/>
    </row>
    <row r="1683" spans="41:41" x14ac:dyDescent="0.25">
      <c r="AO1683" s="2"/>
    </row>
    <row r="1684" spans="41:41" x14ac:dyDescent="0.25">
      <c r="AO1684" s="2"/>
    </row>
    <row r="1685" spans="41:41" x14ac:dyDescent="0.25">
      <c r="AO1685" s="2"/>
    </row>
    <row r="1686" spans="41:41" x14ac:dyDescent="0.25">
      <c r="AO1686" s="2"/>
    </row>
    <row r="1687" spans="41:41" x14ac:dyDescent="0.25">
      <c r="AO1687" s="2"/>
    </row>
    <row r="1688" spans="41:41" x14ac:dyDescent="0.25">
      <c r="AO1688" s="2"/>
    </row>
    <row r="1689" spans="41:41" x14ac:dyDescent="0.25">
      <c r="AO1689" s="2"/>
    </row>
    <row r="1690" spans="41:41" x14ac:dyDescent="0.25">
      <c r="AO1690" s="2"/>
    </row>
    <row r="1691" spans="41:41" x14ac:dyDescent="0.25">
      <c r="AO1691" s="2"/>
    </row>
    <row r="1692" spans="41:41" x14ac:dyDescent="0.25">
      <c r="AO1692" s="2"/>
    </row>
    <row r="1693" spans="41:41" x14ac:dyDescent="0.25">
      <c r="AO1693" s="2"/>
    </row>
    <row r="1694" spans="41:41" x14ac:dyDescent="0.25">
      <c r="AO1694" s="2"/>
    </row>
    <row r="1695" spans="41:41" x14ac:dyDescent="0.25">
      <c r="AO1695" s="2"/>
    </row>
  </sheetData>
  <sheetProtection algorithmName="SHA-512" hashValue="wyOdfIK0IKGkJvmM1GSvAKrHC888uu2Ygh4Efklqh0stzCIV/iqK8kulKqrUXJ5fA5sRu/kttCMrZurDK/dMdA==" saltValue="Er0hDdnCLNdf28Rwua+DJA==" spinCount="100000" sheet="1" objects="1" scenarios="1"/>
  <mergeCells count="6">
    <mergeCell ref="BK1:CA1"/>
    <mergeCell ref="A1:V1"/>
    <mergeCell ref="W1:AD1"/>
    <mergeCell ref="AS1:AV1"/>
    <mergeCell ref="AE1:AK1"/>
    <mergeCell ref="AL1:AR1"/>
  </mergeCells>
  <conditionalFormatting sqref="AD3:AD1163 AP1118:AP1163 AW1116:AW1117 BA1114:BA1115">
    <cfRule type="cellIs" dxfId="96" priority="1" operator="equal">
      <formula>"Ишончсиз"</formula>
    </cfRule>
    <cfRule type="cellIs" dxfId="95" priority="2" operator="equal">
      <formula>"Ишончли"</formula>
    </cfRule>
  </conditionalFormatting>
  <dataValidations xWindow="1379" yWindow="532" count="12">
    <dataValidation type="custom" allowBlank="1" showInputMessage="1" showErrorMessage="1" errorTitle="Хато маълумот" error="Э-почта хато киритилди!_x000a_Э-почта формати бундай бўлиши керак:_x000a_Масалан: user@ung.uz" promptTitle="Э-почта" prompt="Э-почтангизнии киритинг!_x000a_Масалан: user@ung.uz" sqref="Z1142:Z1145 AO1118:AO1695 AV3:AV1113 BA1117 AT1118:AT1159" xr:uid="{551FFBD1-AC17-4B80-8FB0-FAA3264D8A63}">
      <formula1>ISNUMBER(MATCH("*@*.?*",Z3,0))</formula1>
    </dataValidation>
    <dataValidation type="date" allowBlank="1" showInputMessage="1" showErrorMessage="1" errorTitle="Сана нотўғри" error="Санани нотўғри киритдингиз" promptTitle="Сана" prompt="кун/ой/йил форматида киритинг!_x000a_Масалан: 01/01/2020" sqref="E3:E1135 AV1116:AV1117 AG1114:AG1159 C1116:C1141 X1114:X1117 AA1118:AA1141 AB1118 BC3:BC1111 BF3:BF1113 AJ1116:AJ1141 AX3:AX1115 AT1116 AZ3:AZ1115" xr:uid="{0D823142-3843-4A50-82A3-C981585F735C}">
      <formula1>32874</formula1>
      <formula2>73051</formula2>
    </dataValidation>
    <dataValidation type="decimal" allowBlank="1" showInputMessage="1" showErrorMessage="1" errorTitle="Нотўғри маълумот" error="Фақат рақамлар ёзинг_x000a_Ҳарф ёзманг!" promptTitle="Майдон" prompt="Фақат рақамлар ёзинг_x000a_Ҳарф ёзманг!_x000a_Масалан: 1234.1234" sqref="M3:M1139" xr:uid="{999F33A6-179D-40FB-9598-5184ACF9CB42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Майдон(Га)" prompt="Фақат рақамлар ёзинг_x000a_Ҳарф ёзманг!_x000a_Масалан: 1234.1234" sqref="N3:N1111" xr:uid="{FB7F3D3F-3715-4E4B-B45B-8E2328414624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Сумма" prompt="Фақат рақамлар ёзинг_x000a_Ҳарф ёзманг!_x000a_Масалан: 1234.1234" sqref="S4:S1145 Q4:Q1141 R4:R1137 Q3:T3 T4:T1141 Z3:Z1117 AC1118:AC1141 AI3:AI1118 BB3:BB1115 AS1116:AS1117 AL1118:AL1141 AP3:AP1115 AR3:AR1117 BE3:BE1115 BA1116" xr:uid="{7A73B26F-1C6B-40A1-8340-5A9793E28F34}">
      <formula1>0</formula1>
      <formula2>100000000000</formula2>
    </dataValidation>
    <dataValidation type="whole" allowBlank="1" showInputMessage="1" showErrorMessage="1" errorTitle="Нотўғри маълумот" error="Фақат рақам ёзинг_x000a_Ҳарф ёзманг!" promptTitle="Сон" prompt="Фақат рақам ёзинг_x000a_Ҳарф ёзманг!" sqref="P3:P1091" xr:uid="{62B48BAB-9CE8-4DF2-A46E-1EBEA178D181}">
      <formula1>0</formula1>
      <formula2>1000000</formula2>
    </dataValidation>
    <dataValidation allowBlank="1" showInputMessage="1" showErrorMessage="1" promptTitle="Кадастр рақами" prompt="Фақат кадастр рақамини киритинг!_x000a_СЎЗ ЁЗМАНГ!" sqref="B3:B1141" xr:uid="{E95824C1-10EC-4FC7-97DC-D61B55CC0181}"/>
    <dataValidation type="whole" allowBlank="1" showInputMessage="1" showErrorMessage="1" errorTitle="Нотўғри тел. рақами" error="+998 ни ёзманг!_x000a_Фақат код ва рақамларни ёзинг_x000a_Масалан: 991002233" promptTitle="Тел. рақами" prompt="Тел. рақамини киритинг_x000a_+998 ни ёзманг!_x000a_Фақат код ва рақамларни ёзинг_x000a_Масалан: 991002233" sqref="AU3:AV3 AV4:AV1113 AS1118:AS1163 AU4:AU1117 AN1116:AN1161 BD1112:BD1115 AZ1116:AZ1117" xr:uid="{FF85DDA6-D06D-46EC-A705-921C4D8091AE}">
      <formula1>100000000</formula1>
      <formula2>999999999</formula2>
    </dataValidation>
    <dataValidation type="whole" allowBlank="1" showInputMessage="1" showErrorMessage="1" errorTitle="Хато маълумот" error="Кунни киритинг! Ҳарф ёзманг!" promptTitle="Кун" prompt="Кунни киритинг! Ҳарф ёзманг!" sqref="AH3:AH1162" xr:uid="{8D15DA98-61E3-491F-83B6-79EB8FB320F4}">
      <formula1>0</formula1>
      <formula2>10000000</formula2>
    </dataValidation>
    <dataValidation type="decimal" allowBlank="1" showInputMessage="1" showErrorMessage="1" errorTitle="Хато маълумот!" error="Фақат рақам ёзинг!_x000a_Ҳарф ёзманг!" promptTitle="Фоиз" prompt="Фоизни киритинг!_x000a_Фақат рақам ёзинг!_x000a_Ҳарф ёзманг!" sqref="AO3:AO1116" xr:uid="{35384342-0B60-4228-A4D3-7BC03DA8FC2B}">
      <formula1>0</formula1>
      <formula2>100</formula2>
    </dataValidation>
    <dataValidation type="date" allowBlank="1" showInputMessage="1" showErrorMessage="1" errorTitle="Сана нотўғри" error="Санани нотўғри киритдингиз" promptTitle="Сана" prompt="ой/кун/йил форматида киритинг!_x000a_Масалан: 01/21/2020" sqref="C3:C1115" xr:uid="{BF2D28F7-F112-4DCD-AF37-07024F6A7022}">
      <formula1>32874</formula1>
      <formula2>73051</formula2>
    </dataValidation>
    <dataValidation type="date" allowBlank="1" showInputMessage="1" showErrorMessage="1" errorTitle="Сана нотўғри" error="Санани нотўғри киритдингиз" promptTitle="Сана" prompt="ой/кун/йил форматида киритинг!_x000a_Масалан: 01/21/2020" sqref="X3:X1113 AB3:AB1117 AG3:AG1113 AJ3:AJ1115 AM3:AM1113" xr:uid="{D69465FA-CCC5-4AEE-8CA4-1868CE741DFB}">
      <formula1>32874</formula1>
      <formula2>73051</formula2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xWindow="1379" yWindow="532" count="7">
        <x14:dataValidation type="list" allowBlank="1" showInputMessage="1" showErrorMessage="1" errorTitle="Нотўғри маълумот" error="Вилоятни рўйхатдан танламадингиз!" promptTitle="Вилоятлар" prompt="Рўйхатдан вилоятни танланг!" xr:uid="{11FF266A-6229-45E2-9BC9-4DD23D854421}">
          <x14:formula1>
            <xm:f>Tables!$B$4:$B$17</xm:f>
          </x14:formula1>
          <xm:sqref>F3:F1143</xm:sqref>
        </x14:dataValidation>
        <x14:dataValidation type="list" allowBlank="1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0AA8C0B6-D9DB-4DB2-A730-1F0EC46B2A8F}">
          <x14:formula1>
            <xm:f>_xlfn.XLOOKUP($F1118,Tables!$H$3:$U$3,Tables!$H$4:$U$25)</xm:f>
          </x14:formula1>
          <xm:sqref>G1118:G1141</xm:sqref>
        </x14:dataValidation>
        <x14:dataValidation type="list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25F2BAFA-649D-409B-BC9B-4299923B9C93}">
          <x14:formula1>
            <xm:f>_xlfn.XLOOKUP($F3,Tables!$H$3:$U$3,Tables!$H$4:$U$25)</xm:f>
          </x14:formula1>
          <xm:sqref>G3:G1117</xm:sqref>
        </x14:dataValidation>
        <x14:dataValidation type="list" allowBlank="1" showInputMessage="1" showErrorMessage="1" errorTitle="Хато маълумот" error="Ташкилотни рўйхатдан танламадингиз!" promptTitle="Ташкилот номи" prompt="Ташкилотни рўйхатдан танланг!" xr:uid="{ABA26AE1-BF96-4FB8-9EC3-017347BF1890}">
          <x14:formula1>
            <xm:f>Tables!$AC$4:$AC$31</xm:f>
          </x14:formula1>
          <xm:sqref>K3:K1117</xm:sqref>
        </x14:dataValidation>
        <x14:dataValidation type="list" allowBlank="1" showInputMessage="1" showErrorMessage="1" errorTitle="Хато маълумот!" error="Инфратузилмаларни рўйхатдан танламадингиз!_x000a_1 тадан ортиқ танлашингиз мумкин!" promptTitle="Инфратузилма" prompt="Инфратузилмаларни рўйхатдан танланг!_x000a_1 тадан ортиқ танлашингиз мумкин!" xr:uid="{CC9232DC-8A86-43A6-B8D7-37E180A50297}">
          <x14:formula1>
            <xm:f>Tables!$Z$4:$Z$8</xm:f>
          </x14:formula1>
          <xm:sqref>O3:O1132</xm:sqref>
        </x14:dataValidation>
        <x14:dataValidation type="list" allowBlank="1" showInputMessage="1" showErrorMessage="1" errorTitle="Хато маълумот" error="Таклифни рўйхатдан танламадингиз!" promptTitle="Таклиф" prompt="Таклифни рўйхатдан танланг!" xr:uid="{15B24224-98CE-4CF7-B427-3AB9D9F2EDC8}">
          <x14:formula1>
            <xm:f>Tables!$W$4:$W$18</xm:f>
          </x14:formula1>
          <xm:sqref>U3:U1117</xm:sqref>
        </x14:dataValidation>
        <x14:dataValidation type="list" allowBlank="1" showInputMessage="1" showErrorMessage="1" errorTitle="Хато маълумот" error="Рўйхатдан танламадингиз!" promptTitle="Баҳолаш ҳолати" prompt="Рўйхатдан танланг!" xr:uid="{6A81DF66-6FA4-4D0A-8C04-C6956E3FF890}">
          <x14:formula1>
            <xm:f>Tables!$Z$12:$Z$13</xm:f>
          </x14:formula1>
          <xm:sqref>AD3:AD1163 AP1118:AP1163 BA1114:BA1115 AW1116:AW1117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3C72C-0C5B-4C37-AED8-B39C87517B8F}">
  <sheetPr codeName="Sheet2"/>
  <dimension ref="A1:AG202"/>
  <sheetViews>
    <sheetView topLeftCell="X1" workbookViewId="0">
      <selection activeCell="Z13" sqref="Z13"/>
    </sheetView>
  </sheetViews>
  <sheetFormatPr defaultRowHeight="15" x14ac:dyDescent="0.25"/>
  <cols>
    <col min="1" max="1" width="19.85546875" style="8" customWidth="1"/>
    <col min="2" max="2" width="26.85546875" style="8" customWidth="1"/>
    <col min="3" max="3" width="9.140625" style="8"/>
    <col min="4" max="4" width="16.28515625" style="8" customWidth="1"/>
    <col min="5" max="5" width="26.28515625" style="8" customWidth="1"/>
    <col min="6" max="6" width="16.7109375" style="8" customWidth="1"/>
    <col min="7" max="7" width="9.140625" style="8"/>
    <col min="8" max="8" width="27.5703125" style="8" customWidth="1"/>
    <col min="9" max="9" width="30.85546875" style="8" customWidth="1"/>
    <col min="10" max="10" width="31.85546875" style="8" customWidth="1"/>
    <col min="11" max="11" width="25.5703125" style="8" customWidth="1"/>
    <col min="12" max="12" width="26" style="8" customWidth="1"/>
    <col min="13" max="13" width="21.140625" style="8" customWidth="1"/>
    <col min="14" max="14" width="23.5703125" style="8" customWidth="1"/>
    <col min="15" max="15" width="27.5703125" style="8" customWidth="1"/>
    <col min="16" max="16" width="26.42578125" style="8" customWidth="1"/>
    <col min="17" max="17" width="22.42578125" style="8" customWidth="1"/>
    <col min="18" max="18" width="23.42578125" style="8" customWidth="1"/>
    <col min="19" max="19" width="24.5703125" style="8" customWidth="1"/>
    <col min="20" max="20" width="24.140625" style="8" customWidth="1"/>
    <col min="21" max="21" width="32.42578125" style="8" customWidth="1"/>
    <col min="22" max="22" width="9.140625" style="8"/>
    <col min="23" max="23" width="56" style="8" customWidth="1"/>
    <col min="24" max="24" width="17.140625" style="8" customWidth="1"/>
    <col min="25" max="25" width="24.5703125" style="8" customWidth="1"/>
    <col min="26" max="26" width="25.5703125" style="8" customWidth="1"/>
    <col min="27" max="27" width="32.85546875" style="8" customWidth="1"/>
    <col min="28" max="28" width="9.140625" style="8"/>
    <col min="29" max="29" width="34.85546875" style="8" customWidth="1"/>
    <col min="30" max="30" width="17.140625" style="8" customWidth="1"/>
    <col min="31" max="31" width="9.140625" style="8"/>
    <col min="32" max="32" width="30.85546875" style="8" customWidth="1"/>
    <col min="33" max="33" width="16.85546875" style="8" customWidth="1"/>
    <col min="34" max="16384" width="9.140625" style="8"/>
  </cols>
  <sheetData>
    <row r="1" spans="1:33" x14ac:dyDescent="0.25">
      <c r="A1" s="44" t="s">
        <v>28</v>
      </c>
      <c r="B1" s="44"/>
      <c r="D1" s="44" t="s">
        <v>29</v>
      </c>
      <c r="E1" s="44"/>
      <c r="F1" s="44"/>
    </row>
    <row r="2" spans="1:33" ht="76.5" customHeight="1" x14ac:dyDescent="0.25">
      <c r="A2" s="44"/>
      <c r="B2" s="44"/>
      <c r="C2" s="9"/>
      <c r="D2" s="44"/>
      <c r="E2" s="44"/>
      <c r="F2" s="44"/>
      <c r="G2" s="10"/>
    </row>
    <row r="3" spans="1:33" ht="21.75" customHeight="1" x14ac:dyDescent="0.25">
      <c r="A3" s="11" t="s">
        <v>30</v>
      </c>
      <c r="B3" s="11" t="s">
        <v>31</v>
      </c>
      <c r="C3" s="10"/>
      <c r="D3" s="12" t="s">
        <v>32</v>
      </c>
      <c r="E3" s="12" t="s">
        <v>33</v>
      </c>
      <c r="F3" s="12" t="s">
        <v>30</v>
      </c>
      <c r="G3" s="10"/>
      <c r="H3" s="10" t="s">
        <v>34</v>
      </c>
      <c r="I3" s="10" t="s">
        <v>35</v>
      </c>
      <c r="J3" s="10" t="s">
        <v>36</v>
      </c>
      <c r="K3" s="10" t="s">
        <v>37</v>
      </c>
      <c r="L3" s="11" t="s">
        <v>38</v>
      </c>
      <c r="M3" s="10" t="s">
        <v>39</v>
      </c>
      <c r="N3" s="11" t="s">
        <v>40</v>
      </c>
      <c r="O3" s="11" t="s">
        <v>41</v>
      </c>
      <c r="P3" s="13" t="s">
        <v>42</v>
      </c>
      <c r="Q3" s="13" t="s">
        <v>43</v>
      </c>
      <c r="R3" s="13" t="s">
        <v>44</v>
      </c>
      <c r="S3" s="13" t="s">
        <v>45</v>
      </c>
      <c r="T3" s="13" t="s">
        <v>46</v>
      </c>
      <c r="U3" s="13" t="s">
        <v>47</v>
      </c>
      <c r="W3" s="14" t="s">
        <v>48</v>
      </c>
      <c r="X3" s="14" t="s">
        <v>49</v>
      </c>
      <c r="Z3" s="10" t="s">
        <v>50</v>
      </c>
      <c r="AA3" s="10" t="s">
        <v>51</v>
      </c>
      <c r="AC3" s="11" t="s">
        <v>52</v>
      </c>
      <c r="AD3" s="10" t="s">
        <v>53</v>
      </c>
      <c r="AF3" s="10" t="s">
        <v>15</v>
      </c>
      <c r="AG3" s="10" t="s">
        <v>54</v>
      </c>
    </row>
    <row r="4" spans="1:33" ht="54" customHeight="1" x14ac:dyDescent="0.25">
      <c r="A4" s="11">
        <v>1</v>
      </c>
      <c r="B4" s="11" t="s">
        <v>36</v>
      </c>
      <c r="C4" s="10"/>
      <c r="D4" s="10">
        <v>2</v>
      </c>
      <c r="E4" s="10" t="s">
        <v>55</v>
      </c>
      <c r="F4" s="10">
        <v>7</v>
      </c>
      <c r="G4" s="10"/>
      <c r="H4" s="10" t="s">
        <v>56</v>
      </c>
      <c r="I4" s="15" t="s">
        <v>57</v>
      </c>
      <c r="J4" s="16" t="s">
        <v>58</v>
      </c>
      <c r="K4" s="10" t="s">
        <v>59</v>
      </c>
      <c r="L4" s="16" t="s">
        <v>60</v>
      </c>
      <c r="M4" s="17" t="s">
        <v>61</v>
      </c>
      <c r="N4" s="17" t="s">
        <v>62</v>
      </c>
      <c r="O4" s="16" t="s">
        <v>55</v>
      </c>
      <c r="P4" s="17" t="s">
        <v>63</v>
      </c>
      <c r="Q4" s="17" t="s">
        <v>64</v>
      </c>
      <c r="R4" s="17" t="s">
        <v>65</v>
      </c>
      <c r="S4" s="16" t="s">
        <v>66</v>
      </c>
      <c r="T4" s="17" t="s">
        <v>67</v>
      </c>
      <c r="U4" s="16" t="s">
        <v>68</v>
      </c>
      <c r="W4" s="11" t="s">
        <v>69</v>
      </c>
      <c r="X4" s="11">
        <v>1</v>
      </c>
      <c r="Z4" s="10" t="s">
        <v>70</v>
      </c>
      <c r="AA4" s="10">
        <v>1</v>
      </c>
      <c r="AC4" s="11" t="s">
        <v>71</v>
      </c>
      <c r="AD4" s="11">
        <v>1</v>
      </c>
      <c r="AF4" s="11" t="s">
        <v>72</v>
      </c>
      <c r="AG4" s="11">
        <v>1</v>
      </c>
    </row>
    <row r="5" spans="1:33" ht="27.75" customHeight="1" x14ac:dyDescent="0.25">
      <c r="A5" s="11">
        <v>2</v>
      </c>
      <c r="B5" s="11" t="s">
        <v>37</v>
      </c>
      <c r="C5" s="10"/>
      <c r="D5" s="10">
        <v>3</v>
      </c>
      <c r="E5" s="10" t="s">
        <v>73</v>
      </c>
      <c r="F5" s="10">
        <v>7</v>
      </c>
      <c r="G5" s="10"/>
      <c r="H5" s="10" t="s">
        <v>74</v>
      </c>
      <c r="I5" s="18" t="s">
        <v>75</v>
      </c>
      <c r="J5" s="10" t="s">
        <v>76</v>
      </c>
      <c r="K5" s="10" t="s">
        <v>77</v>
      </c>
      <c r="L5" s="17" t="s">
        <v>78</v>
      </c>
      <c r="M5" s="17" t="s">
        <v>79</v>
      </c>
      <c r="N5" s="17" t="s">
        <v>80</v>
      </c>
      <c r="O5" s="17" t="s">
        <v>73</v>
      </c>
      <c r="P5" s="17" t="s">
        <v>81</v>
      </c>
      <c r="Q5" s="17" t="s">
        <v>82</v>
      </c>
      <c r="R5" s="17" t="s">
        <v>83</v>
      </c>
      <c r="S5" s="17" t="s">
        <v>84</v>
      </c>
      <c r="T5" s="17" t="s">
        <v>85</v>
      </c>
      <c r="U5" s="17" t="s">
        <v>86</v>
      </c>
      <c r="W5" s="10" t="s">
        <v>87</v>
      </c>
      <c r="X5" s="11">
        <v>2</v>
      </c>
      <c r="Z5" s="10" t="s">
        <v>88</v>
      </c>
      <c r="AA5" s="10">
        <v>2</v>
      </c>
      <c r="AC5" s="11" t="s">
        <v>89</v>
      </c>
      <c r="AD5" s="11">
        <v>2</v>
      </c>
      <c r="AF5" s="11" t="s">
        <v>90</v>
      </c>
      <c r="AG5" s="11">
        <v>2</v>
      </c>
    </row>
    <row r="6" spans="1:33" ht="23.25" customHeight="1" x14ac:dyDescent="0.25">
      <c r="A6" s="11">
        <v>3</v>
      </c>
      <c r="B6" s="11" t="s">
        <v>35</v>
      </c>
      <c r="C6" s="10"/>
      <c r="D6" s="10">
        <v>4</v>
      </c>
      <c r="E6" s="10" t="s">
        <v>91</v>
      </c>
      <c r="F6" s="10">
        <v>7</v>
      </c>
      <c r="G6" s="10"/>
      <c r="H6" s="10" t="s">
        <v>92</v>
      </c>
      <c r="I6" s="15" t="s">
        <v>93</v>
      </c>
      <c r="J6" s="10" t="s">
        <v>94</v>
      </c>
      <c r="K6" s="10" t="s">
        <v>95</v>
      </c>
      <c r="L6" s="16" t="s">
        <v>96</v>
      </c>
      <c r="M6" s="17" t="s">
        <v>97</v>
      </c>
      <c r="N6" s="17" t="s">
        <v>98</v>
      </c>
      <c r="O6" s="16" t="s">
        <v>91</v>
      </c>
      <c r="P6" s="17" t="s">
        <v>99</v>
      </c>
      <c r="Q6" s="17" t="s">
        <v>100</v>
      </c>
      <c r="R6" s="17" t="s">
        <v>101</v>
      </c>
      <c r="S6" s="16" t="s">
        <v>102</v>
      </c>
      <c r="T6" s="17" t="s">
        <v>103</v>
      </c>
      <c r="U6" s="16" t="s">
        <v>104</v>
      </c>
      <c r="W6" s="10" t="s">
        <v>105</v>
      </c>
      <c r="X6" s="11">
        <v>3</v>
      </c>
      <c r="Z6" s="10" t="s">
        <v>106</v>
      </c>
      <c r="AA6" s="10">
        <v>3</v>
      </c>
      <c r="AC6" s="11" t="s">
        <v>107</v>
      </c>
      <c r="AD6" s="11">
        <v>3</v>
      </c>
      <c r="AF6" s="11" t="s">
        <v>108</v>
      </c>
      <c r="AG6" s="11">
        <v>3</v>
      </c>
    </row>
    <row r="7" spans="1:33" ht="30" x14ac:dyDescent="0.25">
      <c r="A7" s="11">
        <v>4</v>
      </c>
      <c r="B7" s="11" t="s">
        <v>38</v>
      </c>
      <c r="C7" s="10"/>
      <c r="D7" s="10">
        <v>5</v>
      </c>
      <c r="E7" s="10" t="s">
        <v>56</v>
      </c>
      <c r="F7" s="10">
        <v>8</v>
      </c>
      <c r="G7" s="10"/>
      <c r="H7" s="10" t="s">
        <v>109</v>
      </c>
      <c r="I7" s="18" t="s">
        <v>110</v>
      </c>
      <c r="J7" s="10" t="s">
        <v>111</v>
      </c>
      <c r="K7" s="10" t="s">
        <v>112</v>
      </c>
      <c r="L7" s="17" t="s">
        <v>113</v>
      </c>
      <c r="M7" s="17" t="s">
        <v>114</v>
      </c>
      <c r="N7" s="17" t="s">
        <v>115</v>
      </c>
      <c r="O7" s="17" t="s">
        <v>116</v>
      </c>
      <c r="P7" s="17" t="s">
        <v>117</v>
      </c>
      <c r="Q7" s="17" t="s">
        <v>118</v>
      </c>
      <c r="R7" s="17" t="s">
        <v>119</v>
      </c>
      <c r="S7" s="17" t="s">
        <v>120</v>
      </c>
      <c r="T7" s="17" t="s">
        <v>121</v>
      </c>
      <c r="U7" s="17" t="s">
        <v>122</v>
      </c>
      <c r="W7" s="11" t="s">
        <v>123</v>
      </c>
      <c r="X7" s="11">
        <v>4</v>
      </c>
      <c r="Z7" s="10" t="s">
        <v>124</v>
      </c>
      <c r="AA7" s="10">
        <v>4</v>
      </c>
      <c r="AC7" s="11" t="s">
        <v>125</v>
      </c>
      <c r="AD7" s="11">
        <v>4</v>
      </c>
      <c r="AF7" s="11" t="s">
        <v>126</v>
      </c>
      <c r="AG7" s="11">
        <v>4</v>
      </c>
    </row>
    <row r="8" spans="1:33" x14ac:dyDescent="0.25">
      <c r="A8" s="11">
        <v>5</v>
      </c>
      <c r="B8" s="11" t="s">
        <v>39</v>
      </c>
      <c r="C8" s="10"/>
      <c r="D8" s="10">
        <v>6</v>
      </c>
      <c r="E8" s="10" t="s">
        <v>74</v>
      </c>
      <c r="F8" s="10">
        <v>8</v>
      </c>
      <c r="G8" s="10"/>
      <c r="H8" s="10" t="s">
        <v>127</v>
      </c>
      <c r="I8" s="15" t="s">
        <v>128</v>
      </c>
      <c r="J8" s="10" t="s">
        <v>129</v>
      </c>
      <c r="K8" s="10" t="s">
        <v>130</v>
      </c>
      <c r="L8" s="16" t="s">
        <v>131</v>
      </c>
      <c r="M8" s="17" t="s">
        <v>132</v>
      </c>
      <c r="N8" s="17" t="s">
        <v>133</v>
      </c>
      <c r="O8" s="16" t="s">
        <v>134</v>
      </c>
      <c r="P8" s="17" t="s">
        <v>135</v>
      </c>
      <c r="Q8" s="17" t="s">
        <v>136</v>
      </c>
      <c r="R8" s="17" t="s">
        <v>137</v>
      </c>
      <c r="S8" s="16" t="s">
        <v>138</v>
      </c>
      <c r="T8" s="17" t="s">
        <v>139</v>
      </c>
      <c r="U8" s="16" t="s">
        <v>140</v>
      </c>
      <c r="W8" s="10" t="s">
        <v>141</v>
      </c>
      <c r="X8" s="11">
        <v>6</v>
      </c>
      <c r="Z8" s="10" t="s">
        <v>142</v>
      </c>
      <c r="AA8" s="10">
        <v>5</v>
      </c>
      <c r="AC8" s="11" t="s">
        <v>143</v>
      </c>
      <c r="AD8" s="11">
        <v>5</v>
      </c>
      <c r="AF8" s="11" t="s">
        <v>144</v>
      </c>
      <c r="AG8" s="11">
        <v>5</v>
      </c>
    </row>
    <row r="9" spans="1:33" ht="30" x14ac:dyDescent="0.25">
      <c r="A9" s="11">
        <v>6</v>
      </c>
      <c r="B9" s="11" t="s">
        <v>40</v>
      </c>
      <c r="C9" s="10"/>
      <c r="D9" s="10">
        <v>7</v>
      </c>
      <c r="E9" s="10" t="s">
        <v>92</v>
      </c>
      <c r="F9" s="10">
        <v>8</v>
      </c>
      <c r="G9" s="10"/>
      <c r="H9" s="10" t="s">
        <v>145</v>
      </c>
      <c r="I9" s="18" t="s">
        <v>146</v>
      </c>
      <c r="J9" s="10" t="s">
        <v>147</v>
      </c>
      <c r="K9" s="10" t="s">
        <v>148</v>
      </c>
      <c r="L9" s="17" t="s">
        <v>149</v>
      </c>
      <c r="M9" s="17" t="s">
        <v>150</v>
      </c>
      <c r="N9" s="17" t="s">
        <v>151</v>
      </c>
      <c r="O9" s="17" t="s">
        <v>152</v>
      </c>
      <c r="P9" s="17" t="s">
        <v>153</v>
      </c>
      <c r="Q9" s="17" t="s">
        <v>154</v>
      </c>
      <c r="R9" s="17" t="s">
        <v>155</v>
      </c>
      <c r="S9" s="17" t="s">
        <v>156</v>
      </c>
      <c r="T9" s="17" t="s">
        <v>157</v>
      </c>
      <c r="U9" s="17" t="s">
        <v>158</v>
      </c>
      <c r="W9" s="10" t="s">
        <v>159</v>
      </c>
      <c r="X9" s="11">
        <v>7</v>
      </c>
      <c r="AC9" s="11" t="s">
        <v>160</v>
      </c>
      <c r="AD9" s="11">
        <v>6</v>
      </c>
      <c r="AF9" s="11" t="s">
        <v>161</v>
      </c>
      <c r="AG9" s="11">
        <v>6</v>
      </c>
    </row>
    <row r="10" spans="1:33" ht="30" x14ac:dyDescent="0.25">
      <c r="A10" s="11">
        <v>7</v>
      </c>
      <c r="B10" s="11" t="s">
        <v>44</v>
      </c>
      <c r="C10" s="10"/>
      <c r="D10" s="10">
        <v>8</v>
      </c>
      <c r="E10" s="10" t="s">
        <v>109</v>
      </c>
      <c r="F10" s="10">
        <v>8</v>
      </c>
      <c r="G10" s="10"/>
      <c r="H10" s="10" t="s">
        <v>162</v>
      </c>
      <c r="I10" s="15" t="s">
        <v>163</v>
      </c>
      <c r="J10" s="10" t="s">
        <v>164</v>
      </c>
      <c r="K10" s="10" t="s">
        <v>165</v>
      </c>
      <c r="L10" s="16" t="s">
        <v>166</v>
      </c>
      <c r="M10" s="17" t="s">
        <v>167</v>
      </c>
      <c r="N10" s="17" t="s">
        <v>168</v>
      </c>
      <c r="O10" s="16" t="s">
        <v>169</v>
      </c>
      <c r="P10" s="17" t="s">
        <v>170</v>
      </c>
      <c r="Q10" s="17" t="s">
        <v>171</v>
      </c>
      <c r="R10" s="17" t="s">
        <v>172</v>
      </c>
      <c r="S10" s="16" t="s">
        <v>173</v>
      </c>
      <c r="T10" s="17" t="s">
        <v>174</v>
      </c>
      <c r="U10" s="16" t="s">
        <v>175</v>
      </c>
      <c r="W10" s="11" t="s">
        <v>176</v>
      </c>
      <c r="X10" s="11">
        <v>8</v>
      </c>
      <c r="AC10" s="11" t="s">
        <v>177</v>
      </c>
      <c r="AD10" s="11">
        <v>7</v>
      </c>
    </row>
    <row r="11" spans="1:33" ht="27.75" customHeight="1" x14ac:dyDescent="0.25">
      <c r="A11" s="11">
        <v>8</v>
      </c>
      <c r="B11" s="11" t="s">
        <v>34</v>
      </c>
      <c r="C11" s="10"/>
      <c r="D11" s="10">
        <v>9</v>
      </c>
      <c r="E11" s="10" t="s">
        <v>127</v>
      </c>
      <c r="F11" s="10">
        <v>8</v>
      </c>
      <c r="G11" s="10"/>
      <c r="H11" s="10" t="s">
        <v>178</v>
      </c>
      <c r="I11" s="18" t="s">
        <v>179</v>
      </c>
      <c r="J11" s="10" t="s">
        <v>180</v>
      </c>
      <c r="K11" s="10" t="s">
        <v>181</v>
      </c>
      <c r="L11" s="17" t="s">
        <v>182</v>
      </c>
      <c r="M11" s="17" t="s">
        <v>183</v>
      </c>
      <c r="N11" s="17" t="s">
        <v>184</v>
      </c>
      <c r="O11" s="17" t="s">
        <v>185</v>
      </c>
      <c r="P11" s="17" t="s">
        <v>186</v>
      </c>
      <c r="Q11" s="17" t="s">
        <v>187</v>
      </c>
      <c r="R11" s="17" t="s">
        <v>188</v>
      </c>
      <c r="S11" s="17" t="s">
        <v>189</v>
      </c>
      <c r="T11" s="17" t="s">
        <v>190</v>
      </c>
      <c r="U11" s="17" t="s">
        <v>191</v>
      </c>
      <c r="W11" s="11" t="s">
        <v>192</v>
      </c>
      <c r="X11" s="11">
        <v>9</v>
      </c>
      <c r="Z11" s="10" t="s">
        <v>311</v>
      </c>
      <c r="AC11" s="11" t="s">
        <v>193</v>
      </c>
      <c r="AD11" s="11">
        <v>8</v>
      </c>
    </row>
    <row r="12" spans="1:33" ht="27.75" customHeight="1" x14ac:dyDescent="0.25">
      <c r="A12" s="11">
        <v>9</v>
      </c>
      <c r="B12" s="11" t="s">
        <v>42</v>
      </c>
      <c r="C12" s="10"/>
      <c r="D12" s="10">
        <v>10</v>
      </c>
      <c r="E12" s="10" t="s">
        <v>145</v>
      </c>
      <c r="F12" s="10">
        <v>8</v>
      </c>
      <c r="G12" s="10"/>
      <c r="H12" s="10" t="s">
        <v>194</v>
      </c>
      <c r="I12" s="15" t="s">
        <v>195</v>
      </c>
      <c r="J12" s="10" t="s">
        <v>196</v>
      </c>
      <c r="K12" s="10" t="s">
        <v>197</v>
      </c>
      <c r="L12" s="16" t="s">
        <v>198</v>
      </c>
      <c r="M12" s="17" t="s">
        <v>199</v>
      </c>
      <c r="N12" s="17" t="s">
        <v>200</v>
      </c>
      <c r="O12" s="16" t="s">
        <v>201</v>
      </c>
      <c r="P12" s="17" t="s">
        <v>202</v>
      </c>
      <c r="Q12" s="17" t="s">
        <v>203</v>
      </c>
      <c r="R12" s="17" t="s">
        <v>204</v>
      </c>
      <c r="S12" s="16" t="s">
        <v>205</v>
      </c>
      <c r="T12" s="17" t="s">
        <v>206</v>
      </c>
      <c r="U12" s="16" t="s">
        <v>207</v>
      </c>
      <c r="W12" s="11" t="s">
        <v>208</v>
      </c>
      <c r="X12" s="11">
        <v>10</v>
      </c>
      <c r="Z12" s="10" t="s">
        <v>312</v>
      </c>
      <c r="AC12" s="11" t="s">
        <v>209</v>
      </c>
      <c r="AD12" s="11">
        <v>9</v>
      </c>
    </row>
    <row r="13" spans="1:33" ht="40.5" customHeight="1" x14ac:dyDescent="0.25">
      <c r="A13" s="11">
        <v>10</v>
      </c>
      <c r="B13" s="11" t="s">
        <v>43</v>
      </c>
      <c r="C13" s="10"/>
      <c r="D13" s="10">
        <v>11</v>
      </c>
      <c r="E13" s="10" t="s">
        <v>162</v>
      </c>
      <c r="F13" s="10">
        <v>8</v>
      </c>
      <c r="G13" s="10"/>
      <c r="H13" s="10" t="s">
        <v>210</v>
      </c>
      <c r="I13" s="18" t="s">
        <v>211</v>
      </c>
      <c r="J13" s="10" t="s">
        <v>212</v>
      </c>
      <c r="K13" s="10" t="s">
        <v>213</v>
      </c>
      <c r="L13" s="17" t="s">
        <v>214</v>
      </c>
      <c r="M13" s="19" t="s">
        <v>215</v>
      </c>
      <c r="N13" s="17" t="s">
        <v>216</v>
      </c>
      <c r="O13" s="17" t="s">
        <v>217</v>
      </c>
      <c r="P13" s="17" t="s">
        <v>218</v>
      </c>
      <c r="Q13" s="17" t="s">
        <v>219</v>
      </c>
      <c r="R13" s="17" t="s">
        <v>220</v>
      </c>
      <c r="S13" s="17" t="s">
        <v>221</v>
      </c>
      <c r="T13" s="17" t="s">
        <v>222</v>
      </c>
      <c r="U13" s="17" t="s">
        <v>223</v>
      </c>
      <c r="W13" s="11" t="s">
        <v>224</v>
      </c>
      <c r="X13" s="11">
        <v>11</v>
      </c>
      <c r="Z13" s="10" t="s">
        <v>313</v>
      </c>
      <c r="AC13" s="11" t="s">
        <v>225</v>
      </c>
      <c r="AD13" s="11">
        <v>10</v>
      </c>
    </row>
    <row r="14" spans="1:33" ht="30" x14ac:dyDescent="0.25">
      <c r="A14" s="11">
        <v>11</v>
      </c>
      <c r="B14" s="11" t="s">
        <v>44</v>
      </c>
      <c r="C14" s="10"/>
      <c r="D14" s="10">
        <v>12</v>
      </c>
      <c r="E14" s="10" t="s">
        <v>178</v>
      </c>
      <c r="F14" s="10">
        <v>8</v>
      </c>
      <c r="G14" s="10"/>
      <c r="H14" s="10" t="s">
        <v>226</v>
      </c>
      <c r="I14" s="15" t="s">
        <v>227</v>
      </c>
      <c r="J14" s="10" t="s">
        <v>228</v>
      </c>
      <c r="K14" s="10" t="s">
        <v>229</v>
      </c>
      <c r="L14" s="16" t="s">
        <v>230</v>
      </c>
      <c r="N14" s="17" t="s">
        <v>231</v>
      </c>
      <c r="O14" s="16" t="s">
        <v>232</v>
      </c>
      <c r="P14" s="17" t="s">
        <v>233</v>
      </c>
      <c r="Q14" s="17" t="s">
        <v>234</v>
      </c>
      <c r="R14" s="17" t="s">
        <v>235</v>
      </c>
      <c r="S14" s="16" t="s">
        <v>236</v>
      </c>
      <c r="T14" s="19" t="s">
        <v>237</v>
      </c>
      <c r="U14" s="16" t="s">
        <v>238</v>
      </c>
      <c r="W14" s="10" t="s">
        <v>239</v>
      </c>
      <c r="X14" s="11">
        <v>12</v>
      </c>
      <c r="AC14" s="11" t="s">
        <v>160</v>
      </c>
      <c r="AD14" s="11">
        <v>11</v>
      </c>
    </row>
    <row r="15" spans="1:33" ht="54" customHeight="1" x14ac:dyDescent="0.25">
      <c r="A15" s="11">
        <v>12</v>
      </c>
      <c r="B15" s="11" t="s">
        <v>45</v>
      </c>
      <c r="C15" s="10"/>
      <c r="D15" s="10">
        <v>13</v>
      </c>
      <c r="E15" s="10" t="s">
        <v>194</v>
      </c>
      <c r="F15" s="10">
        <v>8</v>
      </c>
      <c r="G15" s="10"/>
      <c r="H15" s="10"/>
      <c r="I15" s="18" t="s">
        <v>240</v>
      </c>
      <c r="J15" s="10" t="s">
        <v>241</v>
      </c>
      <c r="K15" s="10" t="s">
        <v>242</v>
      </c>
      <c r="L15" s="17" t="s">
        <v>243</v>
      </c>
      <c r="N15" s="19" t="s">
        <v>244</v>
      </c>
      <c r="O15" s="17" t="s">
        <v>245</v>
      </c>
      <c r="P15" s="17" t="s">
        <v>246</v>
      </c>
      <c r="Q15" s="17" t="s">
        <v>247</v>
      </c>
      <c r="R15" s="17" t="s">
        <v>248</v>
      </c>
      <c r="S15" s="19" t="s">
        <v>249</v>
      </c>
      <c r="U15" s="17" t="s">
        <v>250</v>
      </c>
      <c r="W15" s="11" t="s">
        <v>251</v>
      </c>
      <c r="X15" s="11">
        <v>13</v>
      </c>
      <c r="AC15" s="11" t="s">
        <v>252</v>
      </c>
      <c r="AD15" s="11">
        <v>12</v>
      </c>
    </row>
    <row r="16" spans="1:33" ht="51" customHeight="1" x14ac:dyDescent="0.25">
      <c r="A16" s="11">
        <v>13</v>
      </c>
      <c r="B16" s="11" t="s">
        <v>46</v>
      </c>
      <c r="C16" s="10"/>
      <c r="D16" s="10">
        <v>14</v>
      </c>
      <c r="E16" s="10" t="s">
        <v>210</v>
      </c>
      <c r="F16" s="10">
        <v>8</v>
      </c>
      <c r="G16" s="10"/>
      <c r="H16" s="10"/>
      <c r="I16" s="20" t="s">
        <v>253</v>
      </c>
      <c r="J16" s="10" t="s">
        <v>254</v>
      </c>
      <c r="K16" s="10" t="s">
        <v>255</v>
      </c>
      <c r="L16" s="16" t="s">
        <v>256</v>
      </c>
      <c r="O16" s="16" t="s">
        <v>257</v>
      </c>
      <c r="P16" s="17" t="s">
        <v>258</v>
      </c>
      <c r="Q16" s="17" t="s">
        <v>259</v>
      </c>
      <c r="R16" s="17" t="s">
        <v>260</v>
      </c>
      <c r="U16" s="16" t="s">
        <v>261</v>
      </c>
      <c r="W16" s="11" t="s">
        <v>262</v>
      </c>
      <c r="X16" s="11">
        <v>14</v>
      </c>
      <c r="AC16" s="11" t="s">
        <v>263</v>
      </c>
      <c r="AD16" s="11">
        <v>13</v>
      </c>
    </row>
    <row r="17" spans="1:30" ht="36.75" customHeight="1" x14ac:dyDescent="0.25">
      <c r="A17" s="11">
        <v>14</v>
      </c>
      <c r="B17" s="11" t="s">
        <v>47</v>
      </c>
      <c r="C17" s="10"/>
      <c r="D17" s="10">
        <v>15</v>
      </c>
      <c r="E17" s="10" t="s">
        <v>226</v>
      </c>
      <c r="F17" s="10">
        <v>8</v>
      </c>
      <c r="G17" s="10"/>
      <c r="H17" s="10"/>
      <c r="I17" s="10"/>
      <c r="J17" s="19" t="s">
        <v>264</v>
      </c>
      <c r="L17" s="17" t="s">
        <v>265</v>
      </c>
      <c r="O17" s="17" t="s">
        <v>266</v>
      </c>
      <c r="P17" s="19" t="s">
        <v>267</v>
      </c>
      <c r="Q17" s="17" t="s">
        <v>268</v>
      </c>
      <c r="R17" s="17" t="s">
        <v>269</v>
      </c>
      <c r="U17" s="17" t="s">
        <v>270</v>
      </c>
      <c r="W17" s="11" t="s">
        <v>271</v>
      </c>
      <c r="X17" s="11">
        <v>15</v>
      </c>
      <c r="AC17" s="11" t="s">
        <v>272</v>
      </c>
      <c r="AD17" s="11">
        <v>14</v>
      </c>
    </row>
    <row r="18" spans="1:30" ht="44.25" customHeight="1" x14ac:dyDescent="0.25">
      <c r="A18" s="11"/>
      <c r="B18" s="11"/>
      <c r="C18" s="10"/>
      <c r="D18" s="10">
        <v>16</v>
      </c>
      <c r="E18" s="10" t="s">
        <v>63</v>
      </c>
      <c r="F18" s="10">
        <v>9</v>
      </c>
      <c r="G18" s="10"/>
      <c r="H18" s="10"/>
      <c r="I18" s="10"/>
      <c r="J18" s="19" t="s">
        <v>273</v>
      </c>
      <c r="L18" s="21" t="s">
        <v>274</v>
      </c>
      <c r="O18" s="16" t="s">
        <v>275</v>
      </c>
      <c r="Q18" s="17" t="s">
        <v>276</v>
      </c>
      <c r="R18" s="17" t="s">
        <v>277</v>
      </c>
      <c r="U18" s="16" t="s">
        <v>278</v>
      </c>
      <c r="W18" s="11" t="s">
        <v>279</v>
      </c>
      <c r="X18" s="11">
        <v>16</v>
      </c>
      <c r="AC18" s="11" t="s">
        <v>280</v>
      </c>
      <c r="AD18" s="11">
        <v>15</v>
      </c>
    </row>
    <row r="19" spans="1:30" x14ac:dyDescent="0.25">
      <c r="A19" s="11"/>
      <c r="B19" s="11"/>
      <c r="C19" s="10"/>
      <c r="D19" s="10">
        <v>17</v>
      </c>
      <c r="E19" s="10" t="s">
        <v>59</v>
      </c>
      <c r="F19" s="10">
        <v>2</v>
      </c>
      <c r="G19" s="10"/>
      <c r="H19" s="10"/>
      <c r="I19" s="10"/>
      <c r="O19" s="19" t="s">
        <v>281</v>
      </c>
      <c r="Q19" s="17" t="s">
        <v>282</v>
      </c>
      <c r="R19" s="17" t="s">
        <v>283</v>
      </c>
      <c r="U19" s="19" t="s">
        <v>284</v>
      </c>
      <c r="AC19" s="11" t="s">
        <v>285</v>
      </c>
      <c r="AD19" s="11">
        <v>16</v>
      </c>
    </row>
    <row r="20" spans="1:30" x14ac:dyDescent="0.25">
      <c r="A20" s="11"/>
      <c r="B20" s="11"/>
      <c r="C20" s="10"/>
      <c r="D20" s="10">
        <v>18</v>
      </c>
      <c r="E20" s="10" t="s">
        <v>57</v>
      </c>
      <c r="F20" s="10">
        <v>3</v>
      </c>
      <c r="G20" s="10"/>
      <c r="H20" s="10"/>
      <c r="I20" s="10"/>
      <c r="Q20" s="17" t="s">
        <v>286</v>
      </c>
      <c r="R20" s="17" t="s">
        <v>287</v>
      </c>
      <c r="AC20" s="11" t="s">
        <v>288</v>
      </c>
      <c r="AD20" s="11">
        <v>17</v>
      </c>
    </row>
    <row r="21" spans="1:30" x14ac:dyDescent="0.25">
      <c r="A21" s="11"/>
      <c r="B21" s="11"/>
      <c r="C21" s="10"/>
      <c r="D21" s="10">
        <v>19</v>
      </c>
      <c r="E21" s="10" t="s">
        <v>75</v>
      </c>
      <c r="F21" s="10">
        <v>3</v>
      </c>
      <c r="G21" s="10"/>
      <c r="H21" s="10"/>
      <c r="I21" s="10"/>
      <c r="Q21" s="17" t="s">
        <v>289</v>
      </c>
      <c r="R21" s="17" t="s">
        <v>290</v>
      </c>
      <c r="AC21" s="11" t="s">
        <v>291</v>
      </c>
      <c r="AD21" s="11">
        <v>18</v>
      </c>
    </row>
    <row r="22" spans="1:30" x14ac:dyDescent="0.25">
      <c r="A22" s="11"/>
      <c r="B22" s="11"/>
      <c r="C22" s="10"/>
      <c r="D22" s="10">
        <v>20</v>
      </c>
      <c r="E22" s="10" t="s">
        <v>93</v>
      </c>
      <c r="F22" s="10">
        <v>3</v>
      </c>
      <c r="G22" s="10"/>
      <c r="H22" s="10"/>
      <c r="I22" s="10"/>
      <c r="Q22" s="17" t="s">
        <v>292</v>
      </c>
      <c r="R22" s="19" t="s">
        <v>293</v>
      </c>
      <c r="AC22" s="11" t="s">
        <v>294</v>
      </c>
      <c r="AD22" s="11">
        <v>19</v>
      </c>
    </row>
    <row r="23" spans="1:30" x14ac:dyDescent="0.25">
      <c r="A23" s="10"/>
      <c r="B23" s="10"/>
      <c r="C23" s="10"/>
      <c r="D23" s="10">
        <v>21</v>
      </c>
      <c r="E23" s="10" t="s">
        <v>110</v>
      </c>
      <c r="F23" s="10">
        <v>3</v>
      </c>
      <c r="G23" s="10"/>
      <c r="H23" s="10"/>
      <c r="I23" s="10"/>
      <c r="Q23" s="17" t="s">
        <v>295</v>
      </c>
      <c r="AC23" s="11" t="s">
        <v>296</v>
      </c>
      <c r="AD23" s="11">
        <v>20</v>
      </c>
    </row>
    <row r="24" spans="1:30" x14ac:dyDescent="0.25">
      <c r="A24" s="10"/>
      <c r="B24" s="10"/>
      <c r="C24" s="10"/>
      <c r="D24" s="10">
        <v>22</v>
      </c>
      <c r="E24" s="10" t="s">
        <v>128</v>
      </c>
      <c r="F24" s="10">
        <v>3</v>
      </c>
      <c r="G24" s="10"/>
      <c r="H24" s="10"/>
      <c r="I24" s="10"/>
      <c r="Q24" s="17" t="s">
        <v>297</v>
      </c>
      <c r="AC24" s="11" t="s">
        <v>298</v>
      </c>
      <c r="AD24" s="11">
        <v>21</v>
      </c>
    </row>
    <row r="25" spans="1:30" x14ac:dyDescent="0.25">
      <c r="A25" s="10"/>
      <c r="B25" s="10"/>
      <c r="C25" s="10"/>
      <c r="D25" s="10">
        <v>23</v>
      </c>
      <c r="E25" s="10" t="s">
        <v>146</v>
      </c>
      <c r="F25" s="10">
        <v>3</v>
      </c>
      <c r="G25" s="10"/>
      <c r="H25" s="10"/>
      <c r="I25" s="10"/>
      <c r="Q25" s="19" t="s">
        <v>299</v>
      </c>
      <c r="AC25" s="11" t="s">
        <v>300</v>
      </c>
      <c r="AD25" s="11">
        <v>22</v>
      </c>
    </row>
    <row r="26" spans="1:30" x14ac:dyDescent="0.25">
      <c r="A26" s="10"/>
      <c r="B26" s="10"/>
      <c r="C26" s="10"/>
      <c r="D26" s="10">
        <v>24</v>
      </c>
      <c r="E26" s="10" t="s">
        <v>163</v>
      </c>
      <c r="F26" s="10">
        <v>3</v>
      </c>
      <c r="G26" s="10"/>
      <c r="H26" s="10"/>
      <c r="I26" s="10"/>
      <c r="AC26" s="11" t="s">
        <v>301</v>
      </c>
      <c r="AD26" s="11">
        <v>23</v>
      </c>
    </row>
    <row r="27" spans="1:30" x14ac:dyDescent="0.25">
      <c r="A27" s="10"/>
      <c r="B27" s="10"/>
      <c r="C27" s="10"/>
      <c r="D27" s="10">
        <v>25</v>
      </c>
      <c r="E27" s="10" t="s">
        <v>179</v>
      </c>
      <c r="F27" s="10">
        <v>3</v>
      </c>
      <c r="G27" s="10"/>
      <c r="H27" s="10"/>
      <c r="I27" s="10"/>
      <c r="AC27" s="11" t="s">
        <v>302</v>
      </c>
      <c r="AD27" s="11">
        <v>24</v>
      </c>
    </row>
    <row r="28" spans="1:30" x14ac:dyDescent="0.25">
      <c r="A28" s="10"/>
      <c r="B28" s="10"/>
      <c r="C28" s="10"/>
      <c r="D28" s="10">
        <v>26</v>
      </c>
      <c r="E28" s="10" t="s">
        <v>195</v>
      </c>
      <c r="F28" s="10">
        <v>3</v>
      </c>
      <c r="G28" s="10"/>
      <c r="H28" s="10"/>
      <c r="I28" s="10"/>
      <c r="AC28" s="11" t="s">
        <v>303</v>
      </c>
      <c r="AD28" s="11">
        <v>25</v>
      </c>
    </row>
    <row r="29" spans="1:30" x14ac:dyDescent="0.25">
      <c r="A29" s="10"/>
      <c r="B29" s="10"/>
      <c r="C29" s="10"/>
      <c r="D29" s="10">
        <v>27</v>
      </c>
      <c r="E29" s="10" t="s">
        <v>211</v>
      </c>
      <c r="F29" s="10">
        <v>3</v>
      </c>
      <c r="G29" s="10"/>
      <c r="H29" s="10"/>
      <c r="I29" s="10"/>
      <c r="AC29" s="11" t="s">
        <v>304</v>
      </c>
      <c r="AD29" s="11">
        <v>26</v>
      </c>
    </row>
    <row r="30" spans="1:30" x14ac:dyDescent="0.25">
      <c r="A30" s="10"/>
      <c r="B30" s="10"/>
      <c r="C30" s="10"/>
      <c r="D30" s="10">
        <v>28</v>
      </c>
      <c r="E30" s="10" t="s">
        <v>227</v>
      </c>
      <c r="F30" s="10">
        <v>3</v>
      </c>
      <c r="G30" s="10"/>
      <c r="H30" s="10"/>
      <c r="I30" s="10"/>
      <c r="AC30" s="11" t="s">
        <v>305</v>
      </c>
      <c r="AD30" s="11">
        <v>27</v>
      </c>
    </row>
    <row r="31" spans="1:30" x14ac:dyDescent="0.25">
      <c r="A31" s="10"/>
      <c r="B31" s="10"/>
      <c r="C31" s="10"/>
      <c r="D31" s="10">
        <v>29</v>
      </c>
      <c r="E31" s="10" t="s">
        <v>240</v>
      </c>
      <c r="F31" s="10">
        <v>3</v>
      </c>
      <c r="G31" s="10"/>
      <c r="H31" s="10"/>
      <c r="I31" s="10"/>
      <c r="AC31" s="11" t="s">
        <v>306</v>
      </c>
      <c r="AD31" s="11">
        <v>28</v>
      </c>
    </row>
    <row r="32" spans="1:30" x14ac:dyDescent="0.25">
      <c r="A32" s="10"/>
      <c r="B32" s="10"/>
      <c r="C32" s="10"/>
      <c r="D32" s="10">
        <v>30</v>
      </c>
      <c r="E32" s="10" t="s">
        <v>253</v>
      </c>
      <c r="F32" s="10">
        <v>3</v>
      </c>
      <c r="G32" s="10"/>
      <c r="H32" s="10"/>
      <c r="I32" s="10"/>
    </row>
    <row r="33" spans="1:9" x14ac:dyDescent="0.25">
      <c r="A33" s="10"/>
      <c r="B33" s="10"/>
      <c r="C33" s="10"/>
      <c r="D33" s="10">
        <v>31</v>
      </c>
      <c r="E33" s="10" t="s">
        <v>58</v>
      </c>
      <c r="F33" s="10">
        <v>1</v>
      </c>
      <c r="G33" s="10"/>
      <c r="H33" s="10"/>
      <c r="I33" s="10"/>
    </row>
    <row r="34" spans="1:9" x14ac:dyDescent="0.25">
      <c r="A34" s="10"/>
      <c r="B34" s="10"/>
      <c r="C34" s="10"/>
      <c r="D34" s="10">
        <v>32</v>
      </c>
      <c r="E34" s="10" t="s">
        <v>264</v>
      </c>
      <c r="F34" s="10">
        <v>1</v>
      </c>
      <c r="G34" s="10"/>
      <c r="H34" s="10"/>
      <c r="I34" s="10"/>
    </row>
    <row r="35" spans="1:9" x14ac:dyDescent="0.25">
      <c r="A35" s="10"/>
      <c r="B35" s="10"/>
      <c r="C35" s="10"/>
      <c r="D35" s="10">
        <v>34</v>
      </c>
      <c r="E35" s="10" t="s">
        <v>77</v>
      </c>
      <c r="F35" s="10">
        <v>2</v>
      </c>
      <c r="G35" s="10"/>
      <c r="H35" s="10"/>
      <c r="I35" s="10"/>
    </row>
    <row r="36" spans="1:9" x14ac:dyDescent="0.25">
      <c r="A36" s="10"/>
      <c r="B36" s="10"/>
      <c r="C36" s="10"/>
      <c r="D36" s="10">
        <v>35</v>
      </c>
      <c r="E36" s="10" t="s">
        <v>95</v>
      </c>
      <c r="F36" s="10">
        <v>2</v>
      </c>
      <c r="G36" s="10"/>
      <c r="H36" s="10"/>
      <c r="I36" s="10"/>
    </row>
    <row r="37" spans="1:9" x14ac:dyDescent="0.25">
      <c r="A37" s="10"/>
      <c r="B37" s="10"/>
      <c r="C37" s="10"/>
      <c r="D37" s="10">
        <v>36</v>
      </c>
      <c r="E37" s="10" t="s">
        <v>112</v>
      </c>
      <c r="F37" s="10">
        <v>2</v>
      </c>
      <c r="G37" s="10"/>
      <c r="H37" s="10"/>
      <c r="I37" s="10"/>
    </row>
    <row r="38" spans="1:9" x14ac:dyDescent="0.25">
      <c r="A38" s="10"/>
      <c r="B38" s="10"/>
      <c r="C38" s="10"/>
      <c r="D38" s="10">
        <v>37</v>
      </c>
      <c r="E38" s="10" t="s">
        <v>130</v>
      </c>
      <c r="F38" s="10">
        <v>2</v>
      </c>
      <c r="G38" s="10"/>
      <c r="H38" s="10"/>
      <c r="I38" s="10"/>
    </row>
    <row r="39" spans="1:9" x14ac:dyDescent="0.25">
      <c r="A39" s="10"/>
      <c r="B39" s="10"/>
      <c r="C39" s="10"/>
      <c r="D39" s="10">
        <v>38</v>
      </c>
      <c r="E39" s="10" t="s">
        <v>148</v>
      </c>
      <c r="F39" s="10">
        <v>2</v>
      </c>
      <c r="G39" s="10"/>
      <c r="H39" s="10"/>
      <c r="I39" s="10"/>
    </row>
    <row r="40" spans="1:9" x14ac:dyDescent="0.25">
      <c r="A40" s="10"/>
      <c r="B40" s="10"/>
      <c r="C40" s="10"/>
      <c r="D40" s="10">
        <v>39</v>
      </c>
      <c r="E40" s="10" t="s">
        <v>165</v>
      </c>
      <c r="F40" s="10">
        <v>2</v>
      </c>
      <c r="G40" s="10"/>
      <c r="H40" s="10"/>
      <c r="I40" s="10"/>
    </row>
    <row r="41" spans="1:9" x14ac:dyDescent="0.25">
      <c r="A41" s="10"/>
      <c r="B41" s="10"/>
      <c r="C41" s="10"/>
      <c r="D41" s="10">
        <v>40</v>
      </c>
      <c r="E41" s="10" t="s">
        <v>181</v>
      </c>
      <c r="F41" s="10">
        <v>2</v>
      </c>
      <c r="G41" s="10"/>
      <c r="H41" s="10"/>
      <c r="I41" s="10"/>
    </row>
    <row r="42" spans="1:9" x14ac:dyDescent="0.25">
      <c r="A42" s="10"/>
      <c r="B42" s="10"/>
      <c r="C42" s="10"/>
      <c r="D42" s="10">
        <v>41</v>
      </c>
      <c r="E42" s="10" t="s">
        <v>197</v>
      </c>
      <c r="F42" s="10">
        <v>2</v>
      </c>
      <c r="G42" s="10"/>
      <c r="H42" s="10"/>
      <c r="I42" s="10"/>
    </row>
    <row r="43" spans="1:9" x14ac:dyDescent="0.25">
      <c r="A43" s="10"/>
      <c r="B43" s="10"/>
      <c r="C43" s="10"/>
      <c r="D43" s="10">
        <v>42</v>
      </c>
      <c r="E43" s="10" t="s">
        <v>213</v>
      </c>
      <c r="F43" s="10">
        <v>2</v>
      </c>
      <c r="G43" s="10"/>
      <c r="H43" s="10"/>
      <c r="I43" s="10"/>
    </row>
    <row r="44" spans="1:9" x14ac:dyDescent="0.25">
      <c r="A44" s="10"/>
      <c r="B44" s="10"/>
      <c r="C44" s="10"/>
      <c r="D44" s="10">
        <v>43</v>
      </c>
      <c r="E44" s="10" t="s">
        <v>229</v>
      </c>
      <c r="F44" s="10">
        <v>2</v>
      </c>
      <c r="G44" s="10"/>
      <c r="H44" s="10"/>
      <c r="I44" s="10"/>
    </row>
    <row r="45" spans="1:9" x14ac:dyDescent="0.25">
      <c r="A45" s="10"/>
      <c r="B45" s="10"/>
      <c r="C45" s="10"/>
      <c r="D45" s="10">
        <v>44</v>
      </c>
      <c r="E45" s="10" t="s">
        <v>242</v>
      </c>
      <c r="F45" s="10">
        <v>2</v>
      </c>
      <c r="G45" s="10"/>
      <c r="H45" s="10"/>
      <c r="I45" s="10"/>
    </row>
    <row r="46" spans="1:9" x14ac:dyDescent="0.25">
      <c r="A46" s="10"/>
      <c r="B46" s="10"/>
      <c r="C46" s="10"/>
      <c r="D46" s="10">
        <v>45</v>
      </c>
      <c r="E46" s="10" t="s">
        <v>255</v>
      </c>
      <c r="F46" s="10">
        <v>2</v>
      </c>
      <c r="G46" s="10"/>
      <c r="H46" s="10"/>
      <c r="I46" s="10"/>
    </row>
    <row r="47" spans="1:9" x14ac:dyDescent="0.25">
      <c r="A47" s="10"/>
      <c r="B47" s="10"/>
      <c r="C47" s="10"/>
      <c r="D47" s="10">
        <v>47</v>
      </c>
      <c r="E47" s="10" t="s">
        <v>273</v>
      </c>
      <c r="F47" s="10">
        <v>1</v>
      </c>
      <c r="G47" s="10"/>
      <c r="H47" s="10"/>
      <c r="I47" s="10"/>
    </row>
    <row r="48" spans="1:9" x14ac:dyDescent="0.25">
      <c r="A48" s="10"/>
      <c r="B48" s="10"/>
      <c r="C48" s="10"/>
      <c r="D48" s="10">
        <v>48</v>
      </c>
      <c r="E48" s="10" t="s">
        <v>68</v>
      </c>
      <c r="F48" s="10">
        <v>14</v>
      </c>
      <c r="G48" s="10"/>
      <c r="H48" s="10"/>
      <c r="I48" s="10"/>
    </row>
    <row r="49" spans="1:9" x14ac:dyDescent="0.25">
      <c r="A49" s="10"/>
      <c r="B49" s="10"/>
      <c r="C49" s="10"/>
      <c r="D49" s="10">
        <v>49</v>
      </c>
      <c r="E49" s="10" t="s">
        <v>86</v>
      </c>
      <c r="F49" s="10">
        <v>14</v>
      </c>
      <c r="G49" s="10"/>
      <c r="H49" s="10"/>
      <c r="I49" s="10"/>
    </row>
    <row r="50" spans="1:9" x14ac:dyDescent="0.25">
      <c r="A50" s="10"/>
      <c r="B50" s="10"/>
      <c r="C50" s="10"/>
      <c r="D50" s="10">
        <v>50</v>
      </c>
      <c r="E50" s="10" t="s">
        <v>104</v>
      </c>
      <c r="F50" s="10">
        <v>14</v>
      </c>
      <c r="G50" s="10"/>
      <c r="H50" s="10"/>
      <c r="I50" s="10"/>
    </row>
    <row r="51" spans="1:9" x14ac:dyDescent="0.25">
      <c r="A51" s="10"/>
      <c r="B51" s="10"/>
      <c r="C51" s="10"/>
      <c r="D51" s="10">
        <v>51</v>
      </c>
      <c r="E51" s="10" t="s">
        <v>122</v>
      </c>
      <c r="F51" s="10">
        <v>14</v>
      </c>
      <c r="G51" s="10"/>
      <c r="H51" s="10"/>
      <c r="I51" s="10"/>
    </row>
    <row r="52" spans="1:9" x14ac:dyDescent="0.25">
      <c r="A52" s="10"/>
      <c r="B52" s="10"/>
      <c r="C52" s="10"/>
      <c r="D52" s="10">
        <v>52</v>
      </c>
      <c r="E52" s="10" t="s">
        <v>140</v>
      </c>
      <c r="F52" s="10">
        <v>14</v>
      </c>
      <c r="G52" s="10"/>
      <c r="H52" s="10"/>
      <c r="I52" s="10"/>
    </row>
    <row r="53" spans="1:9" x14ac:dyDescent="0.25">
      <c r="A53" s="10"/>
      <c r="B53" s="10"/>
      <c r="C53" s="10"/>
      <c r="D53" s="10">
        <v>53</v>
      </c>
      <c r="E53" s="10" t="s">
        <v>158</v>
      </c>
      <c r="F53" s="10">
        <v>14</v>
      </c>
      <c r="G53" s="10"/>
      <c r="H53" s="10"/>
      <c r="I53" s="10"/>
    </row>
    <row r="54" spans="1:9" x14ac:dyDescent="0.25">
      <c r="A54" s="10"/>
      <c r="B54" s="10"/>
      <c r="C54" s="10"/>
      <c r="D54" s="10">
        <v>54</v>
      </c>
      <c r="E54" s="10" t="s">
        <v>175</v>
      </c>
      <c r="F54" s="10">
        <v>14</v>
      </c>
      <c r="G54" s="10"/>
      <c r="H54" s="10"/>
      <c r="I54" s="10"/>
    </row>
    <row r="55" spans="1:9" x14ac:dyDescent="0.25">
      <c r="A55" s="10"/>
      <c r="B55" s="10"/>
      <c r="C55" s="10"/>
      <c r="D55" s="10">
        <v>55</v>
      </c>
      <c r="E55" s="10" t="s">
        <v>191</v>
      </c>
      <c r="F55" s="10">
        <v>14</v>
      </c>
      <c r="G55" s="10"/>
      <c r="H55" s="10"/>
      <c r="I55" s="10"/>
    </row>
    <row r="56" spans="1:9" x14ac:dyDescent="0.25">
      <c r="A56" s="10"/>
      <c r="B56" s="10"/>
      <c r="C56" s="10"/>
      <c r="D56" s="10">
        <v>56</v>
      </c>
      <c r="E56" s="10" t="s">
        <v>207</v>
      </c>
      <c r="F56" s="10">
        <v>14</v>
      </c>
      <c r="G56" s="10"/>
      <c r="H56" s="10"/>
      <c r="I56" s="10"/>
    </row>
    <row r="57" spans="1:9" x14ac:dyDescent="0.25">
      <c r="A57" s="10"/>
      <c r="B57" s="10"/>
      <c r="C57" s="10"/>
      <c r="D57" s="10">
        <v>57</v>
      </c>
      <c r="E57" s="10" t="s">
        <v>223</v>
      </c>
      <c r="F57" s="10">
        <v>14</v>
      </c>
      <c r="G57" s="10"/>
      <c r="H57" s="10"/>
      <c r="I57" s="10"/>
    </row>
    <row r="58" spans="1:9" x14ac:dyDescent="0.25">
      <c r="A58" s="10"/>
      <c r="B58" s="10"/>
      <c r="C58" s="10"/>
      <c r="D58" s="10">
        <v>58</v>
      </c>
      <c r="E58" s="10" t="s">
        <v>238</v>
      </c>
      <c r="F58" s="10">
        <v>14</v>
      </c>
      <c r="G58" s="10"/>
      <c r="H58" s="10"/>
      <c r="I58" s="10"/>
    </row>
    <row r="59" spans="1:9" x14ac:dyDescent="0.25">
      <c r="A59" s="10"/>
      <c r="B59" s="10"/>
      <c r="C59" s="10"/>
      <c r="D59" s="10">
        <v>59</v>
      </c>
      <c r="E59" s="10" t="s">
        <v>250</v>
      </c>
      <c r="F59" s="10">
        <v>14</v>
      </c>
      <c r="G59" s="10"/>
      <c r="H59" s="10"/>
      <c r="I59" s="10"/>
    </row>
    <row r="60" spans="1:9" x14ac:dyDescent="0.25">
      <c r="A60" s="10"/>
      <c r="B60" s="10"/>
      <c r="C60" s="10"/>
      <c r="D60" s="10">
        <v>60</v>
      </c>
      <c r="E60" s="10" t="s">
        <v>261</v>
      </c>
      <c r="F60" s="10">
        <v>14</v>
      </c>
      <c r="G60" s="10"/>
      <c r="H60" s="10"/>
      <c r="I60" s="10"/>
    </row>
    <row r="61" spans="1:9" x14ac:dyDescent="0.25">
      <c r="A61" s="10"/>
      <c r="B61" s="10"/>
      <c r="C61" s="10"/>
      <c r="D61" s="10">
        <v>61</v>
      </c>
      <c r="E61" s="10" t="s">
        <v>270</v>
      </c>
      <c r="F61" s="10">
        <v>14</v>
      </c>
      <c r="G61" s="10"/>
      <c r="H61" s="10"/>
      <c r="I61" s="10"/>
    </row>
    <row r="62" spans="1:9" x14ac:dyDescent="0.25">
      <c r="A62" s="10"/>
      <c r="B62" s="10"/>
      <c r="C62" s="10"/>
      <c r="D62" s="10">
        <v>62</v>
      </c>
      <c r="E62" s="10" t="s">
        <v>278</v>
      </c>
      <c r="F62" s="10">
        <v>14</v>
      </c>
      <c r="G62" s="10"/>
      <c r="H62" s="10"/>
      <c r="I62" s="10"/>
    </row>
    <row r="63" spans="1:9" x14ac:dyDescent="0.25">
      <c r="A63" s="10"/>
      <c r="B63" s="10"/>
      <c r="C63" s="10"/>
      <c r="D63" s="10">
        <v>63</v>
      </c>
      <c r="E63" s="10" t="s">
        <v>284</v>
      </c>
      <c r="F63" s="10">
        <v>14</v>
      </c>
      <c r="G63" s="10"/>
      <c r="H63" s="10"/>
      <c r="I63" s="10"/>
    </row>
    <row r="64" spans="1:9" x14ac:dyDescent="0.25">
      <c r="A64" s="10"/>
      <c r="B64" s="10"/>
      <c r="C64" s="10"/>
      <c r="D64" s="10">
        <v>64</v>
      </c>
      <c r="E64" s="10" t="s">
        <v>60</v>
      </c>
      <c r="F64" s="10">
        <v>4</v>
      </c>
      <c r="G64" s="10"/>
      <c r="H64" s="10"/>
      <c r="I64" s="10"/>
    </row>
    <row r="65" spans="1:9" x14ac:dyDescent="0.25">
      <c r="A65" s="10"/>
      <c r="B65" s="10"/>
      <c r="C65" s="10"/>
      <c r="D65" s="10">
        <v>65</v>
      </c>
      <c r="E65" s="10" t="s">
        <v>78</v>
      </c>
      <c r="F65" s="10">
        <v>4</v>
      </c>
      <c r="G65" s="10"/>
      <c r="H65" s="10"/>
      <c r="I65" s="10"/>
    </row>
    <row r="66" spans="1:9" x14ac:dyDescent="0.25">
      <c r="A66" s="10"/>
      <c r="B66" s="10"/>
      <c r="C66" s="10"/>
      <c r="D66" s="10">
        <v>66</v>
      </c>
      <c r="E66" s="10" t="s">
        <v>96</v>
      </c>
      <c r="F66" s="10">
        <v>4</v>
      </c>
      <c r="G66" s="10"/>
      <c r="H66" s="10"/>
      <c r="I66" s="10"/>
    </row>
    <row r="67" spans="1:9" x14ac:dyDescent="0.25">
      <c r="A67" s="10"/>
      <c r="B67" s="10"/>
      <c r="C67" s="10"/>
      <c r="D67" s="10">
        <v>67</v>
      </c>
      <c r="E67" s="10" t="s">
        <v>113</v>
      </c>
      <c r="F67" s="10">
        <v>4</v>
      </c>
      <c r="G67" s="10"/>
      <c r="H67" s="10"/>
      <c r="I67" s="10"/>
    </row>
    <row r="68" spans="1:9" x14ac:dyDescent="0.25">
      <c r="A68" s="10"/>
      <c r="B68" s="10"/>
      <c r="C68" s="10"/>
      <c r="D68" s="10">
        <v>68</v>
      </c>
      <c r="E68" s="10" t="s">
        <v>131</v>
      </c>
      <c r="F68" s="10">
        <v>4</v>
      </c>
      <c r="G68" s="10"/>
      <c r="H68" s="10"/>
      <c r="I68" s="10"/>
    </row>
    <row r="69" spans="1:9" x14ac:dyDescent="0.25">
      <c r="A69" s="10"/>
      <c r="B69" s="10"/>
      <c r="C69" s="10"/>
      <c r="D69" s="10">
        <v>69</v>
      </c>
      <c r="E69" s="10" t="s">
        <v>149</v>
      </c>
      <c r="F69" s="10">
        <v>4</v>
      </c>
      <c r="G69" s="10"/>
      <c r="H69" s="10"/>
      <c r="I69" s="10"/>
    </row>
    <row r="70" spans="1:9" x14ac:dyDescent="0.25">
      <c r="A70" s="10"/>
      <c r="B70" s="10"/>
      <c r="C70" s="10"/>
      <c r="D70" s="10">
        <v>70</v>
      </c>
      <c r="E70" s="10" t="s">
        <v>166</v>
      </c>
      <c r="F70" s="10">
        <v>4</v>
      </c>
      <c r="G70" s="10"/>
      <c r="H70" s="10"/>
      <c r="I70" s="10"/>
    </row>
    <row r="71" spans="1:9" x14ac:dyDescent="0.25">
      <c r="A71" s="10"/>
      <c r="B71" s="10"/>
      <c r="C71" s="10"/>
      <c r="D71" s="10">
        <v>71</v>
      </c>
      <c r="E71" s="10" t="s">
        <v>182</v>
      </c>
      <c r="F71" s="10">
        <v>4</v>
      </c>
      <c r="G71" s="10"/>
      <c r="H71" s="10"/>
      <c r="I71" s="10"/>
    </row>
    <row r="72" spans="1:9" x14ac:dyDescent="0.25">
      <c r="A72" s="10"/>
      <c r="B72" s="10"/>
      <c r="C72" s="10"/>
      <c r="D72" s="10">
        <v>72</v>
      </c>
      <c r="E72" s="10" t="s">
        <v>198</v>
      </c>
      <c r="F72" s="10">
        <v>4</v>
      </c>
      <c r="G72" s="10"/>
      <c r="H72" s="10"/>
      <c r="I72" s="10"/>
    </row>
    <row r="73" spans="1:9" x14ac:dyDescent="0.25">
      <c r="A73" s="10"/>
      <c r="B73" s="10"/>
      <c r="C73" s="10"/>
      <c r="D73" s="10">
        <v>73</v>
      </c>
      <c r="E73" s="10" t="s">
        <v>214</v>
      </c>
      <c r="F73" s="10">
        <v>4</v>
      </c>
      <c r="G73" s="10"/>
      <c r="H73" s="10"/>
      <c r="I73" s="10"/>
    </row>
    <row r="74" spans="1:9" x14ac:dyDescent="0.25">
      <c r="A74" s="10"/>
      <c r="B74" s="10"/>
      <c r="C74" s="10"/>
      <c r="D74" s="10">
        <v>74</v>
      </c>
      <c r="E74" s="10" t="s">
        <v>230</v>
      </c>
      <c r="F74" s="10">
        <v>4</v>
      </c>
      <c r="G74" s="10"/>
      <c r="H74" s="10"/>
      <c r="I74" s="10"/>
    </row>
    <row r="75" spans="1:9" x14ac:dyDescent="0.25">
      <c r="A75" s="10"/>
      <c r="B75" s="10"/>
      <c r="C75" s="10"/>
      <c r="D75" s="10">
        <v>75</v>
      </c>
      <c r="E75" s="10" t="s">
        <v>243</v>
      </c>
      <c r="F75" s="10">
        <v>4</v>
      </c>
      <c r="G75" s="10"/>
      <c r="H75" s="10"/>
      <c r="I75" s="10"/>
    </row>
    <row r="76" spans="1:9" x14ac:dyDescent="0.25">
      <c r="A76" s="10"/>
      <c r="B76" s="10"/>
      <c r="C76" s="10"/>
      <c r="D76" s="10">
        <v>76</v>
      </c>
      <c r="E76" s="10" t="s">
        <v>256</v>
      </c>
      <c r="F76" s="10">
        <v>4</v>
      </c>
      <c r="G76" s="10"/>
      <c r="H76" s="10"/>
      <c r="I76" s="10"/>
    </row>
    <row r="77" spans="1:9" x14ac:dyDescent="0.25">
      <c r="A77" s="10"/>
      <c r="B77" s="10"/>
      <c r="C77" s="10"/>
      <c r="D77" s="10">
        <v>77</v>
      </c>
      <c r="E77" s="10" t="s">
        <v>265</v>
      </c>
      <c r="F77" s="10">
        <v>4</v>
      </c>
      <c r="G77" s="10"/>
      <c r="H77" s="10"/>
      <c r="I77" s="10"/>
    </row>
    <row r="78" spans="1:9" x14ac:dyDescent="0.25">
      <c r="A78" s="10"/>
      <c r="B78" s="10"/>
      <c r="C78" s="10"/>
      <c r="D78" s="10">
        <v>78</v>
      </c>
      <c r="E78" s="10" t="s">
        <v>274</v>
      </c>
      <c r="F78" s="10">
        <v>4</v>
      </c>
      <c r="G78" s="10"/>
      <c r="H78" s="10"/>
      <c r="I78" s="10"/>
    </row>
    <row r="79" spans="1:9" x14ac:dyDescent="0.25">
      <c r="A79" s="10"/>
      <c r="B79" s="10"/>
      <c r="C79" s="10"/>
      <c r="D79" s="10">
        <v>79</v>
      </c>
      <c r="E79" s="10" t="s">
        <v>61</v>
      </c>
      <c r="F79" s="10">
        <v>5</v>
      </c>
      <c r="G79" s="10"/>
      <c r="H79" s="10"/>
      <c r="I79" s="10"/>
    </row>
    <row r="80" spans="1:9" x14ac:dyDescent="0.25">
      <c r="A80" s="10"/>
      <c r="B80" s="10"/>
      <c r="C80" s="10"/>
      <c r="D80" s="10">
        <v>80</v>
      </c>
      <c r="E80" s="10" t="s">
        <v>79</v>
      </c>
      <c r="F80" s="10">
        <v>5</v>
      </c>
      <c r="G80" s="10"/>
      <c r="H80" s="10"/>
      <c r="I80" s="10"/>
    </row>
    <row r="81" spans="1:9" x14ac:dyDescent="0.25">
      <c r="A81" s="10"/>
      <c r="B81" s="10"/>
      <c r="C81" s="10"/>
      <c r="D81" s="10">
        <v>81</v>
      </c>
      <c r="E81" s="10" t="s">
        <v>97</v>
      </c>
      <c r="F81" s="10">
        <v>5</v>
      </c>
      <c r="G81" s="10"/>
      <c r="H81" s="10"/>
      <c r="I81" s="10"/>
    </row>
    <row r="82" spans="1:9" x14ac:dyDescent="0.25">
      <c r="A82" s="10"/>
      <c r="B82" s="10"/>
      <c r="C82" s="10"/>
      <c r="D82" s="10">
        <v>82</v>
      </c>
      <c r="E82" s="10" t="s">
        <v>114</v>
      </c>
      <c r="F82" s="10">
        <v>5</v>
      </c>
      <c r="G82" s="10"/>
      <c r="H82" s="10"/>
      <c r="I82" s="10"/>
    </row>
    <row r="83" spans="1:9" x14ac:dyDescent="0.25">
      <c r="A83" s="10"/>
      <c r="B83" s="10"/>
      <c r="C83" s="10"/>
      <c r="D83" s="10">
        <v>83</v>
      </c>
      <c r="E83" s="10" t="s">
        <v>132</v>
      </c>
      <c r="F83" s="10">
        <v>5</v>
      </c>
      <c r="G83" s="10"/>
      <c r="H83" s="10"/>
      <c r="I83" s="10"/>
    </row>
    <row r="84" spans="1:9" x14ac:dyDescent="0.25">
      <c r="A84" s="10"/>
      <c r="B84" s="10"/>
      <c r="C84" s="10"/>
      <c r="D84" s="10">
        <v>84</v>
      </c>
      <c r="E84" s="10" t="s">
        <v>150</v>
      </c>
      <c r="F84" s="10">
        <v>5</v>
      </c>
      <c r="G84" s="10"/>
      <c r="H84" s="10"/>
      <c r="I84" s="10"/>
    </row>
    <row r="85" spans="1:9" x14ac:dyDescent="0.25">
      <c r="A85" s="10"/>
      <c r="B85" s="10"/>
      <c r="C85" s="10"/>
      <c r="D85" s="10">
        <v>85</v>
      </c>
      <c r="E85" s="10" t="s">
        <v>167</v>
      </c>
      <c r="F85" s="10">
        <v>5</v>
      </c>
      <c r="G85" s="10"/>
      <c r="H85" s="10"/>
      <c r="I85" s="10"/>
    </row>
    <row r="86" spans="1:9" x14ac:dyDescent="0.25">
      <c r="A86" s="10"/>
      <c r="B86" s="10"/>
      <c r="C86" s="10"/>
      <c r="D86" s="10">
        <v>86</v>
      </c>
      <c r="E86" s="10" t="s">
        <v>183</v>
      </c>
      <c r="F86" s="10">
        <v>5</v>
      </c>
      <c r="G86" s="10"/>
      <c r="H86" s="10"/>
      <c r="I86" s="10"/>
    </row>
    <row r="87" spans="1:9" x14ac:dyDescent="0.25">
      <c r="A87" s="10"/>
      <c r="B87" s="10"/>
      <c r="C87" s="10"/>
      <c r="D87" s="10">
        <v>87</v>
      </c>
      <c r="E87" s="10" t="s">
        <v>199</v>
      </c>
      <c r="F87" s="10">
        <v>5</v>
      </c>
      <c r="G87" s="10"/>
      <c r="H87" s="10"/>
      <c r="I87" s="10"/>
    </row>
    <row r="88" spans="1:9" x14ac:dyDescent="0.25">
      <c r="A88" s="10"/>
      <c r="B88" s="10"/>
      <c r="C88" s="10"/>
      <c r="D88" s="10">
        <v>88</v>
      </c>
      <c r="E88" s="10" t="s">
        <v>215</v>
      </c>
      <c r="F88" s="10">
        <v>5</v>
      </c>
      <c r="G88" s="10"/>
      <c r="H88" s="10"/>
      <c r="I88" s="10"/>
    </row>
    <row r="89" spans="1:9" x14ac:dyDescent="0.25">
      <c r="A89" s="10"/>
      <c r="B89" s="10"/>
      <c r="C89" s="10"/>
      <c r="D89" s="10">
        <v>89</v>
      </c>
      <c r="E89" s="10" t="s">
        <v>62</v>
      </c>
      <c r="F89" s="10">
        <v>6</v>
      </c>
      <c r="G89" s="10"/>
      <c r="H89" s="10"/>
      <c r="I89" s="10"/>
    </row>
    <row r="90" spans="1:9" x14ac:dyDescent="0.25">
      <c r="A90" s="10"/>
      <c r="B90" s="10"/>
      <c r="C90" s="10"/>
      <c r="D90" s="10">
        <v>90</v>
      </c>
      <c r="E90" s="10" t="s">
        <v>80</v>
      </c>
      <c r="F90" s="10">
        <v>6</v>
      </c>
      <c r="G90" s="10"/>
      <c r="H90" s="10"/>
      <c r="I90" s="10"/>
    </row>
    <row r="91" spans="1:9" x14ac:dyDescent="0.25">
      <c r="A91" s="10"/>
      <c r="B91" s="10"/>
      <c r="C91" s="10"/>
      <c r="D91" s="10">
        <v>91</v>
      </c>
      <c r="E91" s="10" t="s">
        <v>98</v>
      </c>
      <c r="F91" s="10">
        <v>6</v>
      </c>
      <c r="G91" s="10"/>
      <c r="H91" s="10"/>
      <c r="I91" s="10"/>
    </row>
    <row r="92" spans="1:9" x14ac:dyDescent="0.25">
      <c r="A92" s="10"/>
      <c r="B92" s="10"/>
      <c r="C92" s="10"/>
      <c r="D92" s="10">
        <v>92</v>
      </c>
      <c r="E92" s="10" t="s">
        <v>115</v>
      </c>
      <c r="F92" s="10">
        <v>6</v>
      </c>
      <c r="G92" s="10"/>
      <c r="H92" s="10"/>
      <c r="I92" s="10"/>
    </row>
    <row r="93" spans="1:9" x14ac:dyDescent="0.25">
      <c r="A93" s="10"/>
      <c r="B93" s="10"/>
      <c r="C93" s="10"/>
      <c r="D93" s="10">
        <v>93</v>
      </c>
      <c r="E93" s="10" t="s">
        <v>133</v>
      </c>
      <c r="F93" s="10">
        <v>6</v>
      </c>
      <c r="G93" s="10"/>
      <c r="H93" s="10"/>
      <c r="I93" s="10"/>
    </row>
    <row r="94" spans="1:9" x14ac:dyDescent="0.25">
      <c r="A94" s="10"/>
      <c r="B94" s="10"/>
      <c r="C94" s="10"/>
      <c r="D94" s="10">
        <v>94</v>
      </c>
      <c r="E94" s="10" t="s">
        <v>151</v>
      </c>
      <c r="F94" s="10">
        <v>6</v>
      </c>
      <c r="G94" s="10"/>
      <c r="H94" s="10"/>
      <c r="I94" s="10"/>
    </row>
    <row r="95" spans="1:9" x14ac:dyDescent="0.25">
      <c r="A95" s="10"/>
      <c r="B95" s="10"/>
      <c r="C95" s="10"/>
      <c r="D95" s="10">
        <v>95</v>
      </c>
      <c r="E95" s="10" t="s">
        <v>168</v>
      </c>
      <c r="F95" s="10">
        <v>6</v>
      </c>
      <c r="G95" s="10"/>
      <c r="H95" s="10"/>
      <c r="I95" s="10"/>
    </row>
    <row r="96" spans="1:9" x14ac:dyDescent="0.25">
      <c r="A96" s="10"/>
      <c r="B96" s="10"/>
      <c r="C96" s="10"/>
      <c r="D96" s="10">
        <v>96</v>
      </c>
      <c r="E96" s="10" t="s">
        <v>184</v>
      </c>
      <c r="F96" s="10">
        <v>6</v>
      </c>
      <c r="G96" s="10"/>
      <c r="H96" s="10"/>
      <c r="I96" s="10"/>
    </row>
    <row r="97" spans="1:9" x14ac:dyDescent="0.25">
      <c r="A97" s="10"/>
      <c r="B97" s="10"/>
      <c r="C97" s="10"/>
      <c r="D97" s="10">
        <v>97</v>
      </c>
      <c r="E97" s="10" t="s">
        <v>200</v>
      </c>
      <c r="F97" s="10">
        <v>6</v>
      </c>
      <c r="G97" s="10"/>
      <c r="H97" s="10"/>
      <c r="I97" s="10"/>
    </row>
    <row r="98" spans="1:9" x14ac:dyDescent="0.25">
      <c r="A98" s="10"/>
      <c r="B98" s="10"/>
      <c r="C98" s="10"/>
      <c r="D98" s="10">
        <v>98</v>
      </c>
      <c r="E98" s="10" t="s">
        <v>216</v>
      </c>
      <c r="F98" s="10">
        <v>6</v>
      </c>
      <c r="G98" s="10"/>
      <c r="H98" s="10"/>
      <c r="I98" s="10"/>
    </row>
    <row r="99" spans="1:9" x14ac:dyDescent="0.25">
      <c r="A99" s="10"/>
      <c r="B99" s="10"/>
      <c r="C99" s="10"/>
      <c r="D99" s="10">
        <v>99</v>
      </c>
      <c r="E99" s="10" t="s">
        <v>231</v>
      </c>
      <c r="F99" s="10">
        <v>6</v>
      </c>
      <c r="G99" s="10"/>
      <c r="H99" s="10"/>
      <c r="I99" s="10"/>
    </row>
    <row r="100" spans="1:9" x14ac:dyDescent="0.25">
      <c r="A100" s="10"/>
      <c r="B100" s="10"/>
      <c r="C100" s="10"/>
      <c r="D100" s="10">
        <v>100</v>
      </c>
      <c r="E100" s="10" t="s">
        <v>244</v>
      </c>
      <c r="F100" s="10">
        <v>6</v>
      </c>
      <c r="G100" s="10"/>
      <c r="H100" s="10"/>
      <c r="I100" s="10"/>
    </row>
    <row r="101" spans="1:9" x14ac:dyDescent="0.25">
      <c r="A101" s="10"/>
      <c r="B101" s="10"/>
      <c r="C101" s="10"/>
      <c r="D101" s="10">
        <v>101</v>
      </c>
      <c r="E101" s="10" t="s">
        <v>116</v>
      </c>
      <c r="F101" s="10">
        <v>7</v>
      </c>
      <c r="G101" s="10"/>
      <c r="H101" s="10"/>
      <c r="I101" s="10"/>
    </row>
    <row r="102" spans="1:9" x14ac:dyDescent="0.25">
      <c r="A102" s="10"/>
      <c r="B102" s="10"/>
      <c r="C102" s="10"/>
      <c r="D102" s="10">
        <v>102</v>
      </c>
      <c r="E102" s="10" t="s">
        <v>134</v>
      </c>
      <c r="F102" s="10">
        <v>7</v>
      </c>
      <c r="G102" s="10"/>
      <c r="H102" s="10"/>
      <c r="I102" s="10"/>
    </row>
    <row r="103" spans="1:9" x14ac:dyDescent="0.25">
      <c r="A103" s="10"/>
      <c r="B103" s="10"/>
      <c r="C103" s="10"/>
      <c r="D103" s="10">
        <v>103</v>
      </c>
      <c r="E103" s="10" t="s">
        <v>152</v>
      </c>
      <c r="F103" s="10">
        <v>7</v>
      </c>
      <c r="G103" s="10"/>
      <c r="H103" s="10"/>
      <c r="I103" s="10"/>
    </row>
    <row r="104" spans="1:9" x14ac:dyDescent="0.25">
      <c r="A104" s="10"/>
      <c r="B104" s="10"/>
      <c r="C104" s="10"/>
      <c r="D104" s="10">
        <v>104</v>
      </c>
      <c r="E104" s="10" t="s">
        <v>169</v>
      </c>
      <c r="F104" s="10">
        <v>7</v>
      </c>
      <c r="G104" s="10"/>
      <c r="H104" s="10"/>
      <c r="I104" s="10"/>
    </row>
    <row r="105" spans="1:9" x14ac:dyDescent="0.25">
      <c r="A105" s="10"/>
      <c r="B105" s="10"/>
      <c r="C105" s="10"/>
      <c r="D105" s="10">
        <v>105</v>
      </c>
      <c r="E105" s="10" t="s">
        <v>185</v>
      </c>
      <c r="F105" s="10">
        <v>7</v>
      </c>
      <c r="G105" s="10"/>
      <c r="H105" s="10"/>
      <c r="I105" s="10"/>
    </row>
    <row r="106" spans="1:9" x14ac:dyDescent="0.25">
      <c r="A106" s="10"/>
      <c r="B106" s="10"/>
      <c r="C106" s="10"/>
      <c r="D106" s="10">
        <v>106</v>
      </c>
      <c r="E106" s="10" t="s">
        <v>201</v>
      </c>
      <c r="F106" s="10">
        <v>7</v>
      </c>
      <c r="G106" s="10"/>
      <c r="H106" s="10"/>
      <c r="I106" s="10"/>
    </row>
    <row r="107" spans="1:9" x14ac:dyDescent="0.25">
      <c r="A107" s="10"/>
      <c r="B107" s="10"/>
      <c r="C107" s="10"/>
      <c r="D107" s="10">
        <v>107</v>
      </c>
      <c r="E107" s="10" t="s">
        <v>217</v>
      </c>
      <c r="F107" s="10">
        <v>7</v>
      </c>
      <c r="G107" s="10"/>
      <c r="H107" s="10"/>
      <c r="I107" s="10"/>
    </row>
    <row r="108" spans="1:9" x14ac:dyDescent="0.25">
      <c r="A108" s="10"/>
      <c r="B108" s="10"/>
      <c r="C108" s="10"/>
      <c r="D108" s="10">
        <v>108</v>
      </c>
      <c r="E108" s="10" t="s">
        <v>232</v>
      </c>
      <c r="F108" s="10">
        <v>7</v>
      </c>
      <c r="G108" s="10"/>
      <c r="H108" s="10"/>
      <c r="I108" s="10"/>
    </row>
    <row r="109" spans="1:9" x14ac:dyDescent="0.25">
      <c r="A109" s="10"/>
      <c r="B109" s="10"/>
      <c r="C109" s="10"/>
      <c r="D109" s="10">
        <v>109</v>
      </c>
      <c r="E109" s="10" t="s">
        <v>245</v>
      </c>
      <c r="F109" s="10">
        <v>7</v>
      </c>
      <c r="G109" s="10"/>
      <c r="H109" s="10"/>
      <c r="I109" s="10"/>
    </row>
    <row r="110" spans="1:9" x14ac:dyDescent="0.25">
      <c r="A110" s="10"/>
      <c r="B110" s="10"/>
      <c r="C110" s="10"/>
      <c r="D110" s="10">
        <v>110</v>
      </c>
      <c r="E110" s="10" t="s">
        <v>257</v>
      </c>
      <c r="F110" s="10">
        <v>7</v>
      </c>
      <c r="G110" s="10"/>
      <c r="H110" s="10"/>
      <c r="I110" s="10"/>
    </row>
    <row r="111" spans="1:9" x14ac:dyDescent="0.25">
      <c r="A111" s="10"/>
      <c r="B111" s="10"/>
      <c r="C111" s="10"/>
      <c r="D111" s="10">
        <v>111</v>
      </c>
      <c r="E111" s="10" t="s">
        <v>266</v>
      </c>
      <c r="F111" s="10">
        <v>7</v>
      </c>
      <c r="G111" s="10"/>
      <c r="H111" s="10"/>
      <c r="I111" s="10"/>
    </row>
    <row r="112" spans="1:9" x14ac:dyDescent="0.25">
      <c r="A112" s="10"/>
      <c r="B112" s="10"/>
      <c r="C112" s="10"/>
      <c r="D112" s="10">
        <v>112</v>
      </c>
      <c r="E112" s="10" t="s">
        <v>275</v>
      </c>
      <c r="F112" s="10">
        <v>7</v>
      </c>
      <c r="G112" s="10"/>
      <c r="H112" s="10"/>
      <c r="I112" s="10"/>
    </row>
    <row r="113" spans="1:9" x14ac:dyDescent="0.25">
      <c r="A113" s="10"/>
      <c r="B113" s="10"/>
      <c r="C113" s="10"/>
      <c r="D113" s="10">
        <v>113</v>
      </c>
      <c r="E113" s="10" t="s">
        <v>281</v>
      </c>
      <c r="F113" s="10">
        <v>7</v>
      </c>
      <c r="G113" s="10"/>
      <c r="H113" s="10"/>
      <c r="I113" s="10"/>
    </row>
    <row r="114" spans="1:9" x14ac:dyDescent="0.25">
      <c r="A114" s="10"/>
      <c r="B114" s="10"/>
      <c r="C114" s="10"/>
      <c r="D114" s="10">
        <v>114</v>
      </c>
      <c r="E114" s="10" t="s">
        <v>267</v>
      </c>
      <c r="F114" s="10">
        <v>9</v>
      </c>
      <c r="G114" s="10"/>
      <c r="H114" s="10"/>
      <c r="I114" s="10"/>
    </row>
    <row r="115" spans="1:9" x14ac:dyDescent="0.25">
      <c r="A115" s="10"/>
      <c r="B115" s="10"/>
      <c r="C115" s="10"/>
      <c r="D115" s="10">
        <v>115</v>
      </c>
      <c r="E115" s="10" t="s">
        <v>81</v>
      </c>
      <c r="F115" s="10">
        <v>9</v>
      </c>
      <c r="G115" s="10"/>
      <c r="H115" s="10"/>
      <c r="I115" s="10"/>
    </row>
    <row r="116" spans="1:9" x14ac:dyDescent="0.25">
      <c r="A116" s="10"/>
      <c r="B116" s="10"/>
      <c r="C116" s="10"/>
      <c r="D116" s="10">
        <v>116</v>
      </c>
      <c r="E116" s="10" t="s">
        <v>99</v>
      </c>
      <c r="F116" s="10">
        <v>9</v>
      </c>
      <c r="G116" s="10"/>
      <c r="H116" s="10"/>
      <c r="I116" s="10"/>
    </row>
    <row r="117" spans="1:9" x14ac:dyDescent="0.25">
      <c r="A117" s="10"/>
      <c r="B117" s="10"/>
      <c r="C117" s="10"/>
      <c r="D117" s="10">
        <v>117</v>
      </c>
      <c r="E117" s="10" t="s">
        <v>117</v>
      </c>
      <c r="F117" s="10">
        <v>9</v>
      </c>
      <c r="G117" s="10"/>
      <c r="H117" s="10"/>
      <c r="I117" s="10"/>
    </row>
    <row r="118" spans="1:9" x14ac:dyDescent="0.25">
      <c r="A118" s="10"/>
      <c r="B118" s="10"/>
      <c r="C118" s="10"/>
      <c r="D118" s="10">
        <v>118</v>
      </c>
      <c r="E118" s="10" t="s">
        <v>135</v>
      </c>
      <c r="F118" s="10">
        <v>9</v>
      </c>
      <c r="G118" s="10"/>
      <c r="H118" s="10"/>
      <c r="I118" s="10"/>
    </row>
    <row r="119" spans="1:9" x14ac:dyDescent="0.25">
      <c r="A119" s="10"/>
      <c r="B119" s="10"/>
      <c r="C119" s="10"/>
      <c r="D119" s="10">
        <v>119</v>
      </c>
      <c r="E119" s="10" t="s">
        <v>153</v>
      </c>
      <c r="F119" s="10">
        <v>9</v>
      </c>
      <c r="G119" s="10"/>
      <c r="H119" s="10"/>
      <c r="I119" s="10"/>
    </row>
    <row r="120" spans="1:9" x14ac:dyDescent="0.25">
      <c r="A120" s="10"/>
      <c r="B120" s="10"/>
      <c r="C120" s="10"/>
      <c r="D120" s="10">
        <v>120</v>
      </c>
      <c r="E120" s="10" t="s">
        <v>170</v>
      </c>
      <c r="F120" s="10">
        <v>9</v>
      </c>
      <c r="G120" s="10"/>
      <c r="H120" s="10"/>
      <c r="I120" s="10"/>
    </row>
    <row r="121" spans="1:9" x14ac:dyDescent="0.25">
      <c r="A121" s="10"/>
      <c r="B121" s="10"/>
      <c r="C121" s="10"/>
      <c r="D121" s="10">
        <v>121</v>
      </c>
      <c r="E121" s="10" t="s">
        <v>186</v>
      </c>
      <c r="F121" s="10">
        <v>9</v>
      </c>
      <c r="G121" s="10"/>
      <c r="H121" s="10"/>
      <c r="I121" s="10"/>
    </row>
    <row r="122" spans="1:9" x14ac:dyDescent="0.25">
      <c r="A122" s="10"/>
      <c r="B122" s="10"/>
      <c r="C122" s="10"/>
      <c r="D122" s="10">
        <v>122</v>
      </c>
      <c r="E122" s="10" t="s">
        <v>202</v>
      </c>
      <c r="F122" s="10">
        <v>9</v>
      </c>
      <c r="G122" s="10"/>
      <c r="H122" s="10"/>
      <c r="I122" s="10"/>
    </row>
    <row r="123" spans="1:9" x14ac:dyDescent="0.25">
      <c r="A123" s="10"/>
      <c r="B123" s="10"/>
      <c r="C123" s="10"/>
      <c r="D123" s="10">
        <v>123</v>
      </c>
      <c r="E123" s="10" t="s">
        <v>218</v>
      </c>
      <c r="F123" s="10">
        <v>9</v>
      </c>
      <c r="G123" s="10"/>
      <c r="H123" s="10"/>
      <c r="I123" s="10"/>
    </row>
    <row r="124" spans="1:9" x14ac:dyDescent="0.25">
      <c r="A124" s="10"/>
      <c r="B124" s="10"/>
      <c r="C124" s="10"/>
      <c r="D124" s="10">
        <v>124</v>
      </c>
      <c r="E124" s="10" t="s">
        <v>233</v>
      </c>
      <c r="F124" s="10">
        <v>9</v>
      </c>
      <c r="G124" s="10"/>
      <c r="H124" s="10"/>
      <c r="I124" s="10"/>
    </row>
    <row r="125" spans="1:9" x14ac:dyDescent="0.25">
      <c r="A125" s="10"/>
      <c r="B125" s="10"/>
      <c r="C125" s="10"/>
      <c r="D125" s="10">
        <v>125</v>
      </c>
      <c r="E125" s="10" t="s">
        <v>246</v>
      </c>
      <c r="F125" s="10">
        <v>9</v>
      </c>
      <c r="G125" s="10"/>
      <c r="H125" s="10"/>
      <c r="I125" s="10"/>
    </row>
    <row r="126" spans="1:9" x14ac:dyDescent="0.25">
      <c r="A126" s="10"/>
      <c r="B126" s="10"/>
      <c r="C126" s="10"/>
      <c r="D126" s="10">
        <v>126</v>
      </c>
      <c r="E126" s="10" t="s">
        <v>258</v>
      </c>
      <c r="F126" s="10">
        <v>9</v>
      </c>
      <c r="G126" s="10"/>
      <c r="H126" s="10"/>
      <c r="I126" s="10"/>
    </row>
    <row r="127" spans="1:9" x14ac:dyDescent="0.25">
      <c r="A127" s="10"/>
      <c r="B127" s="10"/>
      <c r="C127" s="10"/>
      <c r="D127" s="10">
        <v>127</v>
      </c>
      <c r="E127" s="10" t="s">
        <v>64</v>
      </c>
      <c r="F127" s="10">
        <v>10</v>
      </c>
      <c r="G127" s="10"/>
      <c r="H127" s="10"/>
      <c r="I127" s="10"/>
    </row>
    <row r="128" spans="1:9" x14ac:dyDescent="0.25">
      <c r="A128" s="10"/>
      <c r="B128" s="10"/>
      <c r="C128" s="10"/>
      <c r="D128" s="10">
        <v>128</v>
      </c>
      <c r="E128" s="10" t="s">
        <v>82</v>
      </c>
      <c r="F128" s="10">
        <v>10</v>
      </c>
      <c r="G128" s="10"/>
      <c r="H128" s="10"/>
      <c r="I128" s="10"/>
    </row>
    <row r="129" spans="1:9" x14ac:dyDescent="0.25">
      <c r="A129" s="10"/>
      <c r="B129" s="10"/>
      <c r="C129" s="10"/>
      <c r="D129" s="10">
        <v>129</v>
      </c>
      <c r="E129" s="10" t="s">
        <v>100</v>
      </c>
      <c r="F129" s="10">
        <v>10</v>
      </c>
      <c r="G129" s="10"/>
      <c r="H129" s="10"/>
      <c r="I129" s="10"/>
    </row>
    <row r="130" spans="1:9" x14ac:dyDescent="0.25">
      <c r="A130" s="10"/>
      <c r="B130" s="10"/>
      <c r="C130" s="10"/>
      <c r="D130" s="10">
        <v>130</v>
      </c>
      <c r="E130" s="10" t="s">
        <v>118</v>
      </c>
      <c r="F130" s="10">
        <v>10</v>
      </c>
      <c r="G130" s="10"/>
      <c r="H130" s="10"/>
      <c r="I130" s="10"/>
    </row>
    <row r="131" spans="1:9" x14ac:dyDescent="0.25">
      <c r="A131" s="10"/>
      <c r="B131" s="10"/>
      <c r="C131" s="10"/>
      <c r="D131" s="10">
        <v>131</v>
      </c>
      <c r="E131" s="10" t="s">
        <v>136</v>
      </c>
      <c r="F131" s="10">
        <v>10</v>
      </c>
      <c r="G131" s="10"/>
      <c r="H131" s="10"/>
      <c r="I131" s="10"/>
    </row>
    <row r="132" spans="1:9" x14ac:dyDescent="0.25">
      <c r="A132" s="10"/>
      <c r="B132" s="10"/>
      <c r="C132" s="10"/>
      <c r="D132" s="10">
        <v>132</v>
      </c>
      <c r="E132" s="10" t="s">
        <v>154</v>
      </c>
      <c r="F132" s="10">
        <v>10</v>
      </c>
      <c r="G132" s="10"/>
      <c r="H132" s="10"/>
      <c r="I132" s="10"/>
    </row>
    <row r="133" spans="1:9" x14ac:dyDescent="0.25">
      <c r="A133" s="10"/>
      <c r="B133" s="10"/>
      <c r="C133" s="10"/>
      <c r="D133" s="10">
        <v>133</v>
      </c>
      <c r="E133" s="10" t="s">
        <v>171</v>
      </c>
      <c r="F133" s="10">
        <v>10</v>
      </c>
      <c r="G133" s="10"/>
      <c r="H133" s="10"/>
      <c r="I133" s="10"/>
    </row>
    <row r="134" spans="1:9" x14ac:dyDescent="0.25">
      <c r="A134" s="10"/>
      <c r="B134" s="10"/>
      <c r="C134" s="10"/>
      <c r="D134" s="10">
        <v>134</v>
      </c>
      <c r="E134" s="10" t="s">
        <v>187</v>
      </c>
      <c r="F134" s="10">
        <v>10</v>
      </c>
      <c r="G134" s="10"/>
      <c r="H134" s="10"/>
      <c r="I134" s="10"/>
    </row>
    <row r="135" spans="1:9" x14ac:dyDescent="0.25">
      <c r="A135" s="10"/>
      <c r="B135" s="10"/>
      <c r="C135" s="10"/>
      <c r="D135" s="10">
        <v>135</v>
      </c>
      <c r="E135" s="10" t="s">
        <v>203</v>
      </c>
      <c r="F135" s="10">
        <v>10</v>
      </c>
      <c r="G135" s="10"/>
      <c r="H135" s="10"/>
      <c r="I135" s="10"/>
    </row>
    <row r="136" spans="1:9" x14ac:dyDescent="0.25">
      <c r="A136" s="10"/>
      <c r="B136" s="10"/>
      <c r="C136" s="10"/>
      <c r="D136" s="10">
        <v>136</v>
      </c>
      <c r="E136" s="10" t="s">
        <v>219</v>
      </c>
      <c r="F136" s="10">
        <v>10</v>
      </c>
      <c r="G136" s="10"/>
      <c r="H136" s="10"/>
      <c r="I136" s="10"/>
    </row>
    <row r="137" spans="1:9" x14ac:dyDescent="0.25">
      <c r="A137" s="10"/>
      <c r="B137" s="10"/>
      <c r="C137" s="10"/>
      <c r="D137" s="10">
        <v>137</v>
      </c>
      <c r="E137" s="10" t="s">
        <v>234</v>
      </c>
      <c r="F137" s="10">
        <v>10</v>
      </c>
      <c r="G137" s="10"/>
      <c r="H137" s="10"/>
      <c r="I137" s="10"/>
    </row>
    <row r="138" spans="1:9" x14ac:dyDescent="0.25">
      <c r="A138" s="10"/>
      <c r="B138" s="10"/>
      <c r="C138" s="10"/>
      <c r="D138" s="10">
        <v>138</v>
      </c>
      <c r="E138" s="10" t="s">
        <v>247</v>
      </c>
      <c r="F138" s="10">
        <v>10</v>
      </c>
      <c r="G138" s="10"/>
      <c r="H138" s="10"/>
      <c r="I138" s="10"/>
    </row>
    <row r="139" spans="1:9" x14ac:dyDescent="0.25">
      <c r="A139" s="10"/>
      <c r="B139" s="10"/>
      <c r="C139" s="10"/>
      <c r="D139" s="10">
        <v>139</v>
      </c>
      <c r="E139" s="10" t="s">
        <v>259</v>
      </c>
      <c r="F139" s="10">
        <v>10</v>
      </c>
      <c r="G139" s="10"/>
      <c r="H139" s="10"/>
      <c r="I139" s="10"/>
    </row>
    <row r="140" spans="1:9" x14ac:dyDescent="0.25">
      <c r="A140" s="10"/>
      <c r="B140" s="10"/>
      <c r="C140" s="10"/>
      <c r="D140" s="10">
        <v>140</v>
      </c>
      <c r="E140" s="10" t="s">
        <v>268</v>
      </c>
      <c r="F140" s="10">
        <v>10</v>
      </c>
      <c r="G140" s="10"/>
      <c r="H140" s="10"/>
      <c r="I140" s="10"/>
    </row>
    <row r="141" spans="1:9" x14ac:dyDescent="0.25">
      <c r="A141" s="10"/>
      <c r="B141" s="10"/>
      <c r="C141" s="10"/>
      <c r="D141" s="10">
        <v>141</v>
      </c>
      <c r="E141" s="10" t="s">
        <v>276</v>
      </c>
      <c r="F141" s="10">
        <v>10</v>
      </c>
      <c r="G141" s="10"/>
      <c r="H141" s="10"/>
      <c r="I141" s="10"/>
    </row>
    <row r="142" spans="1:9" x14ac:dyDescent="0.25">
      <c r="A142" s="10"/>
      <c r="B142" s="10"/>
      <c r="C142" s="10"/>
      <c r="D142" s="10">
        <v>142</v>
      </c>
      <c r="E142" s="10" t="s">
        <v>282</v>
      </c>
      <c r="F142" s="10">
        <v>10</v>
      </c>
      <c r="G142" s="10"/>
      <c r="H142" s="10"/>
      <c r="I142" s="10"/>
    </row>
    <row r="143" spans="1:9" x14ac:dyDescent="0.25">
      <c r="A143" s="10"/>
      <c r="B143" s="10"/>
      <c r="C143" s="10"/>
      <c r="D143" s="10">
        <v>143</v>
      </c>
      <c r="E143" s="10" t="s">
        <v>286</v>
      </c>
      <c r="F143" s="10">
        <v>10</v>
      </c>
      <c r="G143" s="10"/>
      <c r="H143" s="10"/>
      <c r="I143" s="10"/>
    </row>
    <row r="144" spans="1:9" x14ac:dyDescent="0.25">
      <c r="A144" s="10"/>
      <c r="B144" s="10"/>
      <c r="C144" s="10"/>
      <c r="D144" s="10">
        <v>144</v>
      </c>
      <c r="E144" s="10" t="s">
        <v>289</v>
      </c>
      <c r="F144" s="10">
        <v>10</v>
      </c>
      <c r="G144" s="10"/>
      <c r="H144" s="10"/>
      <c r="I144" s="10"/>
    </row>
    <row r="145" spans="1:9" x14ac:dyDescent="0.25">
      <c r="A145" s="10"/>
      <c r="B145" s="10"/>
      <c r="C145" s="10"/>
      <c r="D145" s="10">
        <v>145</v>
      </c>
      <c r="E145" s="10" t="s">
        <v>292</v>
      </c>
      <c r="F145" s="10">
        <v>10</v>
      </c>
      <c r="G145" s="10"/>
      <c r="H145" s="10"/>
      <c r="I145" s="10"/>
    </row>
    <row r="146" spans="1:9" x14ac:dyDescent="0.25">
      <c r="A146" s="10"/>
      <c r="B146" s="10"/>
      <c r="C146" s="10"/>
      <c r="D146" s="10">
        <v>146</v>
      </c>
      <c r="E146" s="10" t="s">
        <v>295</v>
      </c>
      <c r="F146" s="10">
        <v>10</v>
      </c>
      <c r="G146" s="10"/>
      <c r="H146" s="10"/>
      <c r="I146" s="10"/>
    </row>
    <row r="147" spans="1:9" x14ac:dyDescent="0.25">
      <c r="A147" s="10"/>
      <c r="B147" s="10"/>
      <c r="C147" s="10"/>
      <c r="D147" s="10">
        <v>147</v>
      </c>
      <c r="E147" s="10" t="s">
        <v>297</v>
      </c>
      <c r="F147" s="10">
        <v>10</v>
      </c>
      <c r="G147" s="10"/>
      <c r="H147" s="10"/>
      <c r="I147" s="10"/>
    </row>
    <row r="148" spans="1:9" x14ac:dyDescent="0.25">
      <c r="A148" s="10"/>
      <c r="B148" s="10"/>
      <c r="C148" s="10"/>
      <c r="D148" s="10">
        <v>148</v>
      </c>
      <c r="E148" s="10" t="s">
        <v>299</v>
      </c>
      <c r="F148" s="10">
        <v>10</v>
      </c>
      <c r="G148" s="10"/>
      <c r="H148" s="10"/>
      <c r="I148" s="10"/>
    </row>
    <row r="149" spans="1:9" x14ac:dyDescent="0.25">
      <c r="A149" s="10"/>
      <c r="B149" s="10"/>
      <c r="C149" s="10"/>
      <c r="D149" s="10">
        <v>149</v>
      </c>
      <c r="E149" s="10" t="s">
        <v>65</v>
      </c>
      <c r="F149" s="10">
        <v>11</v>
      </c>
      <c r="G149" s="10"/>
      <c r="H149" s="10"/>
      <c r="I149" s="10"/>
    </row>
    <row r="150" spans="1:9" x14ac:dyDescent="0.25">
      <c r="A150" s="10"/>
      <c r="B150" s="10"/>
      <c r="C150" s="10"/>
      <c r="D150" s="10">
        <v>150</v>
      </c>
      <c r="E150" s="10" t="s">
        <v>83</v>
      </c>
      <c r="F150" s="10">
        <v>11</v>
      </c>
      <c r="G150" s="10"/>
      <c r="H150" s="10"/>
      <c r="I150" s="10"/>
    </row>
    <row r="151" spans="1:9" x14ac:dyDescent="0.25">
      <c r="A151" s="10"/>
      <c r="B151" s="10"/>
      <c r="C151" s="10"/>
      <c r="D151" s="10">
        <v>151</v>
      </c>
      <c r="E151" s="10" t="s">
        <v>101</v>
      </c>
      <c r="F151" s="10">
        <v>11</v>
      </c>
      <c r="G151" s="10"/>
      <c r="H151" s="10"/>
      <c r="I151" s="10"/>
    </row>
    <row r="152" spans="1:9" x14ac:dyDescent="0.25">
      <c r="A152" s="10"/>
      <c r="B152" s="10"/>
      <c r="C152" s="10"/>
      <c r="D152" s="10">
        <v>152</v>
      </c>
      <c r="E152" s="10" t="s">
        <v>119</v>
      </c>
      <c r="F152" s="10">
        <v>11</v>
      </c>
      <c r="G152" s="10"/>
      <c r="H152" s="10"/>
      <c r="I152" s="10"/>
    </row>
    <row r="153" spans="1:9" x14ac:dyDescent="0.25">
      <c r="A153" s="10"/>
      <c r="B153" s="10"/>
      <c r="C153" s="10"/>
      <c r="D153" s="10">
        <v>153</v>
      </c>
      <c r="E153" s="10" t="s">
        <v>137</v>
      </c>
      <c r="F153" s="10">
        <v>11</v>
      </c>
      <c r="G153" s="10"/>
      <c r="H153" s="10"/>
      <c r="I153" s="10"/>
    </row>
    <row r="154" spans="1:9" x14ac:dyDescent="0.25">
      <c r="A154" s="10"/>
      <c r="B154" s="10"/>
      <c r="C154" s="10"/>
      <c r="D154" s="10">
        <v>154</v>
      </c>
      <c r="E154" s="10" t="s">
        <v>155</v>
      </c>
      <c r="F154" s="10">
        <v>11</v>
      </c>
      <c r="G154" s="10"/>
      <c r="H154" s="10"/>
      <c r="I154" s="10"/>
    </row>
    <row r="155" spans="1:9" x14ac:dyDescent="0.25">
      <c r="A155" s="10"/>
      <c r="B155" s="10"/>
      <c r="C155" s="10"/>
      <c r="D155" s="10">
        <v>155</v>
      </c>
      <c r="E155" s="10" t="s">
        <v>172</v>
      </c>
      <c r="F155" s="10">
        <v>11</v>
      </c>
      <c r="G155" s="10"/>
      <c r="H155" s="10"/>
      <c r="I155" s="10"/>
    </row>
    <row r="156" spans="1:9" x14ac:dyDescent="0.25">
      <c r="A156" s="10"/>
      <c r="B156" s="10"/>
      <c r="C156" s="10"/>
      <c r="D156" s="10">
        <v>156</v>
      </c>
      <c r="E156" s="10" t="s">
        <v>188</v>
      </c>
      <c r="F156" s="10">
        <v>11</v>
      </c>
      <c r="G156" s="10"/>
      <c r="H156" s="10"/>
      <c r="I156" s="10"/>
    </row>
    <row r="157" spans="1:9" x14ac:dyDescent="0.25">
      <c r="A157" s="10"/>
      <c r="B157" s="10"/>
      <c r="C157" s="10"/>
      <c r="D157" s="10">
        <v>157</v>
      </c>
      <c r="E157" s="10" t="s">
        <v>204</v>
      </c>
      <c r="F157" s="10">
        <v>11</v>
      </c>
      <c r="G157" s="10"/>
      <c r="H157" s="10"/>
      <c r="I157" s="10"/>
    </row>
    <row r="158" spans="1:9" x14ac:dyDescent="0.25">
      <c r="A158" s="10"/>
      <c r="B158" s="10"/>
      <c r="C158" s="10"/>
      <c r="D158" s="10">
        <v>158</v>
      </c>
      <c r="E158" s="10" t="s">
        <v>220</v>
      </c>
      <c r="F158" s="10">
        <v>11</v>
      </c>
      <c r="G158" s="10"/>
      <c r="H158" s="10"/>
      <c r="I158" s="10"/>
    </row>
    <row r="159" spans="1:9" x14ac:dyDescent="0.25">
      <c r="A159" s="10"/>
      <c r="B159" s="10"/>
      <c r="C159" s="10"/>
      <c r="D159" s="10">
        <v>159</v>
      </c>
      <c r="E159" s="10" t="s">
        <v>235</v>
      </c>
      <c r="F159" s="10">
        <v>11</v>
      </c>
      <c r="G159" s="10"/>
      <c r="H159" s="10"/>
      <c r="I159" s="10"/>
    </row>
    <row r="160" spans="1:9" x14ac:dyDescent="0.25">
      <c r="A160" s="10"/>
      <c r="B160" s="10"/>
      <c r="C160" s="10"/>
      <c r="D160" s="10">
        <v>160</v>
      </c>
      <c r="E160" s="10" t="s">
        <v>248</v>
      </c>
      <c r="F160" s="10">
        <v>11</v>
      </c>
      <c r="G160" s="10"/>
      <c r="H160" s="10"/>
      <c r="I160" s="10"/>
    </row>
    <row r="161" spans="1:9" x14ac:dyDescent="0.25">
      <c r="A161" s="10"/>
      <c r="B161" s="10"/>
      <c r="C161" s="10"/>
      <c r="D161" s="10">
        <v>161</v>
      </c>
      <c r="E161" s="10" t="s">
        <v>260</v>
      </c>
      <c r="F161" s="10">
        <v>11</v>
      </c>
      <c r="G161" s="10"/>
      <c r="H161" s="10"/>
      <c r="I161" s="10"/>
    </row>
    <row r="162" spans="1:9" x14ac:dyDescent="0.25">
      <c r="A162" s="10"/>
      <c r="B162" s="10"/>
      <c r="C162" s="10"/>
      <c r="D162" s="10">
        <v>162</v>
      </c>
      <c r="E162" s="10" t="s">
        <v>269</v>
      </c>
      <c r="F162" s="10">
        <v>11</v>
      </c>
      <c r="G162" s="10"/>
      <c r="H162" s="10"/>
      <c r="I162" s="10"/>
    </row>
    <row r="163" spans="1:9" x14ac:dyDescent="0.25">
      <c r="A163" s="10"/>
      <c r="B163" s="10"/>
      <c r="C163" s="10"/>
      <c r="D163" s="10">
        <v>163</v>
      </c>
      <c r="E163" s="10" t="s">
        <v>277</v>
      </c>
      <c r="F163" s="10">
        <v>11</v>
      </c>
      <c r="G163" s="10"/>
      <c r="H163" s="10"/>
      <c r="I163" s="10"/>
    </row>
    <row r="164" spans="1:9" x14ac:dyDescent="0.25">
      <c r="A164" s="10"/>
      <c r="B164" s="10"/>
      <c r="C164" s="10"/>
      <c r="D164" s="10">
        <v>164</v>
      </c>
      <c r="E164" s="10" t="s">
        <v>283</v>
      </c>
      <c r="F164" s="10">
        <v>11</v>
      </c>
      <c r="G164" s="10"/>
      <c r="H164" s="10"/>
      <c r="I164" s="10"/>
    </row>
    <row r="165" spans="1:9" x14ac:dyDescent="0.25">
      <c r="A165" s="10"/>
      <c r="B165" s="10"/>
      <c r="C165" s="10"/>
      <c r="D165" s="10">
        <v>165</v>
      </c>
      <c r="E165" s="10" t="s">
        <v>287</v>
      </c>
      <c r="F165" s="10">
        <v>11</v>
      </c>
      <c r="G165" s="10"/>
      <c r="H165" s="10"/>
      <c r="I165" s="10"/>
    </row>
    <row r="166" spans="1:9" x14ac:dyDescent="0.25">
      <c r="A166" s="10"/>
      <c r="B166" s="10"/>
      <c r="C166" s="10"/>
      <c r="D166" s="10">
        <v>166</v>
      </c>
      <c r="E166" s="10" t="s">
        <v>290</v>
      </c>
      <c r="F166" s="10">
        <v>11</v>
      </c>
      <c r="G166" s="10"/>
      <c r="H166" s="10"/>
      <c r="I166" s="10"/>
    </row>
    <row r="167" spans="1:9" x14ac:dyDescent="0.25">
      <c r="A167" s="10"/>
      <c r="B167" s="10"/>
      <c r="C167" s="10"/>
      <c r="D167" s="10">
        <v>167</v>
      </c>
      <c r="E167" s="10" t="s">
        <v>293</v>
      </c>
      <c r="F167" s="10">
        <v>11</v>
      </c>
      <c r="G167" s="10"/>
      <c r="H167" s="10"/>
      <c r="I167" s="10"/>
    </row>
    <row r="168" spans="1:9" x14ac:dyDescent="0.25">
      <c r="A168" s="10"/>
      <c r="B168" s="10"/>
      <c r="C168" s="10"/>
      <c r="D168" s="10">
        <v>168</v>
      </c>
      <c r="E168" s="10" t="s">
        <v>66</v>
      </c>
      <c r="F168" s="10">
        <v>12</v>
      </c>
      <c r="G168" s="10"/>
      <c r="H168" s="10"/>
      <c r="I168" s="10"/>
    </row>
    <row r="169" spans="1:9" x14ac:dyDescent="0.25">
      <c r="A169" s="10"/>
      <c r="B169" s="10"/>
      <c r="C169" s="10"/>
      <c r="D169" s="10">
        <v>169</v>
      </c>
      <c r="E169" s="10" t="s">
        <v>84</v>
      </c>
      <c r="F169" s="10">
        <v>12</v>
      </c>
      <c r="G169" s="10"/>
      <c r="H169" s="10"/>
      <c r="I169" s="10"/>
    </row>
    <row r="170" spans="1:9" x14ac:dyDescent="0.25">
      <c r="A170" s="10"/>
      <c r="B170" s="10"/>
      <c r="C170" s="10"/>
      <c r="D170" s="10">
        <v>170</v>
      </c>
      <c r="E170" s="10" t="s">
        <v>102</v>
      </c>
      <c r="F170" s="10">
        <v>12</v>
      </c>
      <c r="G170" s="10"/>
      <c r="H170" s="10"/>
      <c r="I170" s="10"/>
    </row>
    <row r="171" spans="1:9" x14ac:dyDescent="0.25">
      <c r="A171" s="10"/>
      <c r="B171" s="10"/>
      <c r="C171" s="10"/>
      <c r="D171" s="10">
        <v>171</v>
      </c>
      <c r="E171" s="10" t="s">
        <v>120</v>
      </c>
      <c r="F171" s="10">
        <v>12</v>
      </c>
      <c r="G171" s="10"/>
      <c r="H171" s="10"/>
      <c r="I171" s="10"/>
    </row>
    <row r="172" spans="1:9" x14ac:dyDescent="0.25">
      <c r="A172" s="10"/>
      <c r="B172" s="10"/>
      <c r="C172" s="10"/>
      <c r="D172" s="10">
        <v>172</v>
      </c>
      <c r="E172" s="10" t="s">
        <v>138</v>
      </c>
      <c r="F172" s="10">
        <v>12</v>
      </c>
      <c r="G172" s="10"/>
      <c r="H172" s="10"/>
      <c r="I172" s="10"/>
    </row>
    <row r="173" spans="1:9" x14ac:dyDescent="0.25">
      <c r="A173" s="10"/>
      <c r="B173" s="10"/>
      <c r="C173" s="10"/>
      <c r="D173" s="10">
        <v>173</v>
      </c>
      <c r="E173" s="10" t="s">
        <v>156</v>
      </c>
      <c r="F173" s="10">
        <v>12</v>
      </c>
      <c r="G173" s="10"/>
      <c r="H173" s="10"/>
      <c r="I173" s="10"/>
    </row>
    <row r="174" spans="1:9" x14ac:dyDescent="0.25">
      <c r="A174" s="10"/>
      <c r="B174" s="10"/>
      <c r="C174" s="10"/>
      <c r="D174" s="10">
        <v>174</v>
      </c>
      <c r="E174" s="10" t="s">
        <v>173</v>
      </c>
      <c r="F174" s="10">
        <v>12</v>
      </c>
      <c r="G174" s="10"/>
      <c r="H174" s="10"/>
      <c r="I174" s="10"/>
    </row>
    <row r="175" spans="1:9" x14ac:dyDescent="0.25">
      <c r="A175" s="10"/>
      <c r="B175" s="10"/>
      <c r="C175" s="10"/>
      <c r="D175" s="10">
        <v>175</v>
      </c>
      <c r="E175" s="10" t="s">
        <v>189</v>
      </c>
      <c r="F175" s="10">
        <v>12</v>
      </c>
      <c r="G175" s="10"/>
      <c r="H175" s="10"/>
      <c r="I175" s="10"/>
    </row>
    <row r="176" spans="1:9" x14ac:dyDescent="0.25">
      <c r="A176" s="10"/>
      <c r="B176" s="10"/>
      <c r="C176" s="10"/>
      <c r="D176" s="10">
        <v>176</v>
      </c>
      <c r="E176" s="10" t="s">
        <v>205</v>
      </c>
      <c r="F176" s="10">
        <v>12</v>
      </c>
      <c r="G176" s="10"/>
      <c r="H176" s="10"/>
      <c r="I176" s="10"/>
    </row>
    <row r="177" spans="1:9" x14ac:dyDescent="0.25">
      <c r="A177" s="10"/>
      <c r="B177" s="10"/>
      <c r="C177" s="10"/>
      <c r="D177" s="10">
        <v>177</v>
      </c>
      <c r="E177" s="10" t="s">
        <v>221</v>
      </c>
      <c r="F177" s="10">
        <v>12</v>
      </c>
      <c r="G177" s="10"/>
      <c r="H177" s="10"/>
      <c r="I177" s="10"/>
    </row>
    <row r="178" spans="1:9" x14ac:dyDescent="0.25">
      <c r="A178" s="10"/>
      <c r="B178" s="10"/>
      <c r="C178" s="10"/>
      <c r="D178" s="10">
        <v>178</v>
      </c>
      <c r="E178" s="10" t="s">
        <v>236</v>
      </c>
      <c r="F178" s="10">
        <v>12</v>
      </c>
      <c r="G178" s="10"/>
      <c r="H178" s="10"/>
      <c r="I178" s="10"/>
    </row>
    <row r="179" spans="1:9" x14ac:dyDescent="0.25">
      <c r="A179" s="10"/>
      <c r="B179" s="10"/>
      <c r="C179" s="10"/>
      <c r="D179" s="10">
        <v>179</v>
      </c>
      <c r="E179" s="10" t="s">
        <v>249</v>
      </c>
      <c r="F179" s="10">
        <v>12</v>
      </c>
      <c r="G179" s="10"/>
      <c r="H179" s="10"/>
      <c r="I179" s="10"/>
    </row>
    <row r="180" spans="1:9" x14ac:dyDescent="0.25">
      <c r="A180" s="10"/>
      <c r="B180" s="10"/>
      <c r="C180" s="10"/>
      <c r="D180" s="10">
        <v>180</v>
      </c>
      <c r="E180" s="10" t="s">
        <v>67</v>
      </c>
      <c r="F180" s="10">
        <v>13</v>
      </c>
      <c r="G180" s="10"/>
      <c r="H180" s="10"/>
      <c r="I180" s="10"/>
    </row>
    <row r="181" spans="1:9" x14ac:dyDescent="0.25">
      <c r="A181" s="10"/>
      <c r="B181" s="10"/>
      <c r="C181" s="10"/>
      <c r="D181" s="10">
        <v>181</v>
      </c>
      <c r="E181" s="10" t="s">
        <v>85</v>
      </c>
      <c r="F181" s="10">
        <v>13</v>
      </c>
      <c r="G181" s="10"/>
      <c r="H181" s="10"/>
      <c r="I181" s="10"/>
    </row>
    <row r="182" spans="1:9" x14ac:dyDescent="0.25">
      <c r="A182" s="10"/>
      <c r="B182" s="10"/>
      <c r="C182" s="10"/>
      <c r="D182" s="10">
        <v>182</v>
      </c>
      <c r="E182" s="10" t="s">
        <v>103</v>
      </c>
      <c r="F182" s="10">
        <v>13</v>
      </c>
      <c r="G182" s="10"/>
      <c r="H182" s="10"/>
      <c r="I182" s="10"/>
    </row>
    <row r="183" spans="1:9" x14ac:dyDescent="0.25">
      <c r="A183" s="10"/>
      <c r="B183" s="10"/>
      <c r="C183" s="10"/>
      <c r="D183" s="10">
        <v>183</v>
      </c>
      <c r="E183" s="10" t="s">
        <v>121</v>
      </c>
      <c r="F183" s="10">
        <v>13</v>
      </c>
      <c r="G183" s="10"/>
      <c r="H183" s="10"/>
      <c r="I183" s="10"/>
    </row>
    <row r="184" spans="1:9" x14ac:dyDescent="0.25">
      <c r="A184" s="10"/>
      <c r="B184" s="10"/>
      <c r="C184" s="10"/>
      <c r="D184" s="10">
        <v>184</v>
      </c>
      <c r="E184" s="10" t="s">
        <v>139</v>
      </c>
      <c r="F184" s="10">
        <v>13</v>
      </c>
      <c r="G184" s="10"/>
      <c r="H184" s="10"/>
      <c r="I184" s="10"/>
    </row>
    <row r="185" spans="1:9" x14ac:dyDescent="0.25">
      <c r="A185" s="10"/>
      <c r="B185" s="10"/>
      <c r="C185" s="10"/>
      <c r="D185" s="10">
        <v>185</v>
      </c>
      <c r="E185" s="10" t="s">
        <v>157</v>
      </c>
      <c r="F185" s="10">
        <v>13</v>
      </c>
      <c r="G185" s="10"/>
      <c r="H185" s="10"/>
      <c r="I185" s="10"/>
    </row>
    <row r="186" spans="1:9" x14ac:dyDescent="0.25">
      <c r="A186" s="10"/>
      <c r="B186" s="10"/>
      <c r="C186" s="10"/>
      <c r="D186" s="10">
        <v>186</v>
      </c>
      <c r="E186" s="10" t="s">
        <v>174</v>
      </c>
      <c r="F186" s="10">
        <v>13</v>
      </c>
      <c r="G186" s="10"/>
      <c r="H186" s="10"/>
      <c r="I186" s="10"/>
    </row>
    <row r="187" spans="1:9" x14ac:dyDescent="0.25">
      <c r="A187" s="10"/>
      <c r="B187" s="10"/>
      <c r="C187" s="10"/>
      <c r="D187" s="10">
        <v>187</v>
      </c>
      <c r="E187" s="10" t="s">
        <v>190</v>
      </c>
      <c r="F187" s="10">
        <v>13</v>
      </c>
      <c r="G187" s="10"/>
      <c r="H187" s="10"/>
      <c r="I187" s="10"/>
    </row>
    <row r="188" spans="1:9" x14ac:dyDescent="0.25">
      <c r="A188" s="10"/>
      <c r="B188" s="10"/>
      <c r="C188" s="10"/>
      <c r="D188" s="10">
        <v>188</v>
      </c>
      <c r="E188" s="10" t="s">
        <v>206</v>
      </c>
      <c r="F188" s="10">
        <v>13</v>
      </c>
      <c r="G188" s="10"/>
      <c r="H188" s="10"/>
      <c r="I188" s="10"/>
    </row>
    <row r="189" spans="1:9" x14ac:dyDescent="0.25">
      <c r="A189" s="10"/>
      <c r="B189" s="10"/>
      <c r="C189" s="10"/>
      <c r="D189" s="10">
        <v>189</v>
      </c>
      <c r="E189" s="10" t="s">
        <v>222</v>
      </c>
      <c r="F189" s="10">
        <v>13</v>
      </c>
      <c r="G189" s="10"/>
      <c r="H189" s="10"/>
      <c r="I189" s="10"/>
    </row>
    <row r="190" spans="1:9" x14ac:dyDescent="0.25">
      <c r="A190" s="10"/>
      <c r="B190" s="10"/>
      <c r="C190" s="10"/>
      <c r="D190" s="10">
        <v>190</v>
      </c>
      <c r="E190" s="10" t="s">
        <v>237</v>
      </c>
      <c r="F190" s="10">
        <v>13</v>
      </c>
      <c r="G190" s="10"/>
      <c r="H190" s="10"/>
      <c r="I190" s="10"/>
    </row>
    <row r="191" spans="1:9" x14ac:dyDescent="0.25">
      <c r="A191" s="10"/>
      <c r="B191" s="10"/>
      <c r="C191" s="10"/>
      <c r="D191" s="10">
        <v>194</v>
      </c>
      <c r="E191" s="10" t="s">
        <v>254</v>
      </c>
      <c r="F191" s="10">
        <v>1</v>
      </c>
      <c r="G191" s="10"/>
      <c r="H191" s="10"/>
      <c r="I191" s="10"/>
    </row>
    <row r="192" spans="1:9" x14ac:dyDescent="0.25">
      <c r="A192" s="10"/>
      <c r="B192" s="10"/>
      <c r="C192" s="10"/>
      <c r="D192" s="10">
        <v>196</v>
      </c>
      <c r="E192" s="10" t="s">
        <v>76</v>
      </c>
      <c r="F192" s="10">
        <v>1</v>
      </c>
      <c r="G192" s="10"/>
      <c r="H192" s="10"/>
      <c r="I192" s="10"/>
    </row>
    <row r="193" spans="1:9" x14ac:dyDescent="0.25">
      <c r="A193" s="10"/>
      <c r="B193" s="10"/>
      <c r="C193" s="10"/>
      <c r="D193" s="10">
        <v>197</v>
      </c>
      <c r="E193" s="10" t="s">
        <v>94</v>
      </c>
      <c r="F193" s="10">
        <v>1</v>
      </c>
      <c r="G193" s="10"/>
      <c r="H193" s="10"/>
      <c r="I193" s="10"/>
    </row>
    <row r="194" spans="1:9" x14ac:dyDescent="0.25">
      <c r="A194" s="10"/>
      <c r="B194" s="10"/>
      <c r="C194" s="10"/>
      <c r="D194" s="10">
        <v>198</v>
      </c>
      <c r="E194" s="10" t="s">
        <v>111</v>
      </c>
      <c r="F194" s="10">
        <v>1</v>
      </c>
      <c r="G194" s="10"/>
      <c r="H194" s="10"/>
      <c r="I194" s="10"/>
    </row>
    <row r="195" spans="1:9" x14ac:dyDescent="0.25">
      <c r="A195" s="10"/>
      <c r="B195" s="10"/>
      <c r="C195" s="10"/>
      <c r="D195" s="10">
        <v>199</v>
      </c>
      <c r="E195" s="10" t="s">
        <v>129</v>
      </c>
      <c r="F195" s="10">
        <v>1</v>
      </c>
      <c r="G195" s="10"/>
      <c r="H195" s="10"/>
      <c r="I195" s="10"/>
    </row>
    <row r="196" spans="1:9" x14ac:dyDescent="0.25">
      <c r="A196" s="10"/>
      <c r="B196" s="10"/>
      <c r="C196" s="10"/>
      <c r="D196" s="10">
        <v>200</v>
      </c>
      <c r="E196" s="10" t="s">
        <v>147</v>
      </c>
      <c r="F196" s="10">
        <v>1</v>
      </c>
      <c r="G196" s="10"/>
      <c r="H196" s="10"/>
      <c r="I196" s="10"/>
    </row>
    <row r="197" spans="1:9" x14ac:dyDescent="0.25">
      <c r="A197" s="10"/>
      <c r="B197" s="10"/>
      <c r="C197" s="10"/>
      <c r="D197" s="10">
        <v>201</v>
      </c>
      <c r="E197" s="10" t="s">
        <v>164</v>
      </c>
      <c r="F197" s="10">
        <v>1</v>
      </c>
      <c r="G197" s="10"/>
      <c r="H197" s="10"/>
      <c r="I197" s="10"/>
    </row>
    <row r="198" spans="1:9" x14ac:dyDescent="0.25">
      <c r="A198" s="10"/>
      <c r="B198" s="10"/>
      <c r="C198" s="10"/>
      <c r="D198" s="10">
        <v>202</v>
      </c>
      <c r="E198" s="10" t="s">
        <v>180</v>
      </c>
      <c r="F198" s="10">
        <v>1</v>
      </c>
      <c r="G198" s="10"/>
      <c r="H198" s="10"/>
      <c r="I198" s="10"/>
    </row>
    <row r="199" spans="1:9" x14ac:dyDescent="0.25">
      <c r="A199" s="10"/>
      <c r="B199" s="10"/>
      <c r="C199" s="10"/>
      <c r="D199" s="10">
        <v>203</v>
      </c>
      <c r="E199" s="10" t="s">
        <v>196</v>
      </c>
      <c r="F199" s="10">
        <v>1</v>
      </c>
      <c r="G199" s="10"/>
      <c r="H199" s="10"/>
      <c r="I199" s="10"/>
    </row>
    <row r="200" spans="1:9" x14ac:dyDescent="0.25">
      <c r="A200" s="10"/>
      <c r="B200" s="10"/>
      <c r="C200" s="10"/>
      <c r="D200" s="10">
        <v>204</v>
      </c>
      <c r="E200" s="10" t="s">
        <v>212</v>
      </c>
      <c r="F200" s="10">
        <v>1</v>
      </c>
      <c r="G200" s="10"/>
      <c r="H200" s="10"/>
      <c r="I200" s="10"/>
    </row>
    <row r="201" spans="1:9" x14ac:dyDescent="0.25">
      <c r="A201" s="10"/>
      <c r="B201" s="10"/>
      <c r="C201" s="10"/>
      <c r="D201" s="10">
        <v>205</v>
      </c>
      <c r="E201" s="10" t="s">
        <v>228</v>
      </c>
      <c r="F201" s="10">
        <v>1</v>
      </c>
      <c r="G201" s="10"/>
      <c r="H201" s="10"/>
      <c r="I201" s="10"/>
    </row>
    <row r="202" spans="1:9" x14ac:dyDescent="0.25">
      <c r="A202" s="10"/>
      <c r="B202" s="10"/>
      <c r="C202" s="10"/>
      <c r="D202" s="10">
        <v>206</v>
      </c>
      <c r="E202" s="10" t="s">
        <v>241</v>
      </c>
      <c r="F202" s="10">
        <v>1</v>
      </c>
      <c r="G202" s="10"/>
      <c r="H202" s="10"/>
      <c r="I202" s="10"/>
    </row>
  </sheetData>
  <mergeCells count="2">
    <mergeCell ref="A1:B2"/>
    <mergeCell ref="D1:F2"/>
  </mergeCells>
  <pageMargins left="0.7" right="0.7" top="0.75" bottom="0.75" header="0.3" footer="0.3"/>
  <tableParts count="2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Кўчмас мулк объектлари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Jaloliddin Fazliddin-ugli Shofiyev</dc:creator>
  <cp:lastModifiedBy>Jaloliddin Fazliddin-ugli Shofiyev</cp:lastModifiedBy>
  <dcterms:created xsi:type="dcterms:W3CDTF">2022-11-11T05:31:04Z</dcterms:created>
  <dcterms:modified xsi:type="dcterms:W3CDTF">2022-11-28T05:32:53Z</dcterms:modified>
</cp:coreProperties>
</file>